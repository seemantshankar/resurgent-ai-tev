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defaultThemeVersion="124226"/>
  <mc:AlternateContent xmlns:mc="http://schemas.openxmlformats.org/markup-compatibility/2006">
    <mc:Choice Requires="x15">
      <x15ac:absPath xmlns:x15ac="http://schemas.microsoft.com/office/spreadsheetml/2010/11/ac" url="D:\working\waccache\PN1PEPF00006971\EXCELCNV\865af3e3-fabe-442d-aee5-2fc21f6e5704\"/>
    </mc:Choice>
  </mc:AlternateContent>
  <xr:revisionPtr revIDLastSave="0" documentId="8_{B1C74C26-583D-4DDB-9C59-C22C1348035C}" xr6:coauthVersionLast="47" xr6:coauthVersionMax="47" xr10:uidLastSave="{00000000-0000-0000-0000-000000000000}"/>
  <bookViews>
    <workbookView xWindow="-60" yWindow="-60" windowWidth="15480" windowHeight="11640" tabRatio="898" firstSheet="21" activeTab="21" xr2:uid="{2CAC8705-63AD-41CE-A5F7-54F6E4F77D81}"/>
  </bookViews>
  <sheets>
    <sheet name="Req_PNB" sheetId="34" state="hidden" r:id="rId1"/>
    <sheet name="IRR_CASE_II" sheetId="36" state="hidden" r:id="rId2"/>
    <sheet name="BEP ANAYSIS_II" sheetId="41" state="hidden" r:id="rId3"/>
    <sheet name="P  L _Case_II" sheetId="35" state="hidden" r:id="rId4"/>
    <sheet name="IRR_CASE_III" sheetId="38" state="hidden" r:id="rId5"/>
    <sheet name="P  L _Case_III" sheetId="37" state="hidden" r:id="rId6"/>
    <sheet name="BEP ANAYSIS_IV" sheetId="43" state="hidden" r:id="rId7"/>
    <sheet name="IRR_CASE_IV" sheetId="40" state="hidden" r:id="rId8"/>
    <sheet name="P  L _Case_IV" sheetId="39" state="hidden" r:id="rId9"/>
    <sheet name="Pages" sheetId="22" state="hidden" r:id="rId10"/>
    <sheet name="AT GLANCE" sheetId="19" r:id="rId11"/>
    <sheet name="PROJECT_COST" sheetId="24" state="hidden" r:id="rId12"/>
    <sheet name="CAPITAL COST" sheetId="1" r:id="rId13"/>
    <sheet name=" wORKING CAPITAL" sheetId="8" r:id="rId14"/>
    <sheet name="BN_2" sheetId="44" state="hidden" r:id="rId15"/>
    <sheet name="P  L " sheetId="6" r:id="rId16"/>
    <sheet name="B  S " sheetId="16" r:id="rId17"/>
    <sheet name="Finanacials" sheetId="52" state="hidden" r:id="rId18"/>
    <sheet name="CASH FLOW" sheetId="13" r:id="rId19"/>
    <sheet name="ASSETS" sheetId="25" r:id="rId20"/>
    <sheet name="details of fixed assets  " sheetId="32" state="hidden" r:id="rId21"/>
    <sheet name="PREOPERATIVE EXP" sheetId="4" r:id="rId22"/>
    <sheet name="SALESPROJECTION" sheetId="5" r:id="rId23"/>
    <sheet name="Interest" sheetId="20" r:id="rId24"/>
    <sheet name="depreciation" sheetId="9" r:id="rId25"/>
    <sheet name="iNCOME tAX cOMPUTATION" sheetId="10" state="hidden" r:id="rId26"/>
    <sheet name="area statement &amp; civil cost" sheetId="18" state="hidden" r:id="rId27"/>
    <sheet name="cma_FNL" sheetId="33" state="hidden" r:id="rId28"/>
    <sheet name="OP_STATEMENT" sheetId="27" state="hidden" r:id="rId29"/>
    <sheet name="BS_ANLYSIS" sheetId="28" state="hidden" r:id="rId30"/>
    <sheet name="CA_CL" sheetId="29" state="hidden" r:id="rId31"/>
    <sheet name="MPBF" sheetId="30" state="hidden" r:id="rId32"/>
    <sheet name="FUND_FLOW" sheetId="31" state="hidden" r:id="rId33"/>
    <sheet name="Sheet2" sheetId="46" state="hidden" r:id="rId34"/>
    <sheet name="Sheet3" sheetId="47" state="hidden" r:id="rId35"/>
    <sheet name="Sheet4" sheetId="48" state="hidden" r:id="rId36"/>
    <sheet name="Sheet5" sheetId="49" state="hidden" r:id="rId37"/>
    <sheet name="Sheet6" sheetId="50" state="hidden" r:id="rId38"/>
    <sheet name="BALANCESHEET" sheetId="51" state="hidden" r:id="rId39"/>
    <sheet name="Land Calcn" sheetId="23" state="hidden" r:id="rId40"/>
    <sheet name="Sheet1" sheetId="45" state="hidden" r:id="rId41"/>
    <sheet name="Prof. assumptions" sheetId="55" r:id="rId42"/>
    <sheet name="Manpower" sheetId="56" r:id="rId43"/>
    <sheet name="Power" sheetId="57" state="hidden" r:id="rId44"/>
    <sheet name="Floor area" sheetId="58" r:id="rId45"/>
    <sheet name="power cost" sheetId="59" r:id="rId46"/>
    <sheet name="Details" sheetId="60"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___a65537" localSheetId="2">[1]BLSHEET06!#REF!</definedName>
    <definedName name="___a65537" localSheetId="6">[1]BLSHEET06!#REF!</definedName>
    <definedName name="___a65537" localSheetId="14">[1]BLSHEET06!#REF!</definedName>
    <definedName name="___a65537" localSheetId="1">[1]BLSHEET06!#REF!</definedName>
    <definedName name="___a65537" localSheetId="4">[1]BLSHEET06!#REF!</definedName>
    <definedName name="___a65537" localSheetId="7">[1]BLSHEET06!#REF!</definedName>
    <definedName name="___a65537" localSheetId="3">[1]BLSHEET06!#REF!</definedName>
    <definedName name="___a65537" localSheetId="5">[1]BLSHEET06!#REF!</definedName>
    <definedName name="___a65537" localSheetId="8">[1]BLSHEET06!#REF!</definedName>
    <definedName name="___a65537">[1]BLSHEET06!#REF!</definedName>
    <definedName name="__a65537" localSheetId="2">[1]BLSHEET06!#REF!</definedName>
    <definedName name="__a65537" localSheetId="6">[1]BLSHEET06!#REF!</definedName>
    <definedName name="__a65537" localSheetId="14">[1]BLSHEET06!#REF!</definedName>
    <definedName name="__a65537" localSheetId="1">[1]BLSHEET06!#REF!</definedName>
    <definedName name="__a65537" localSheetId="4">[1]BLSHEET06!#REF!</definedName>
    <definedName name="__a65537" localSheetId="7">[1]BLSHEET06!#REF!</definedName>
    <definedName name="__a65537" localSheetId="3">[1]BLSHEET06!#REF!</definedName>
    <definedName name="__a65537" localSheetId="5">[1]BLSHEET06!#REF!</definedName>
    <definedName name="__a65537" localSheetId="8">[1]BLSHEET06!#REF!</definedName>
    <definedName name="__a65537">[1]BLSHEET06!#REF!</definedName>
    <definedName name="__jj102">#REF!</definedName>
    <definedName name="_a65537" localSheetId="2">[1]BLSHEET06!#REF!</definedName>
    <definedName name="_a65537" localSheetId="6">[1]BLSHEET06!#REF!</definedName>
    <definedName name="_a65537" localSheetId="14">[1]BLSHEET06!#REF!</definedName>
    <definedName name="_a65537" localSheetId="27">[1]BLSHEET06!#REF!</definedName>
    <definedName name="_a65537" localSheetId="1">[1]BLSHEET06!#REF!</definedName>
    <definedName name="_a65537" localSheetId="4">[1]BLSHEET06!#REF!</definedName>
    <definedName name="_a65537" localSheetId="7">[1]BLSHEET06!#REF!</definedName>
    <definedName name="_a65537" localSheetId="3">[1]BLSHEET06!#REF!</definedName>
    <definedName name="_a65537" localSheetId="5">[1]BLSHEET06!#REF!</definedName>
    <definedName name="_a65537" localSheetId="8">[1]BLSHEET06!#REF!</definedName>
    <definedName name="_a65537">[1]BLSHEET06!#REF!</definedName>
    <definedName name="_Fill" localSheetId="27" hidden="1">#REF!</definedName>
    <definedName name="_Fill" localSheetId="20" hidden="1">#REF!</definedName>
    <definedName name="_Fill" localSheetId="0" hidden="1">#REF!</definedName>
    <definedName name="_Fill" hidden="1">#REF!</definedName>
    <definedName name="_jj102">#REF!</definedName>
    <definedName name="A" localSheetId="2">[2]BLSHEET06!#REF!</definedName>
    <definedName name="A" localSheetId="6">[2]BLSHEET06!#REF!</definedName>
    <definedName name="A" localSheetId="14">[2]BLSHEET06!#REF!</definedName>
    <definedName name="A" localSheetId="27">[2]BLSHEET06!#REF!</definedName>
    <definedName name="A" localSheetId="1">[2]BLSHEET06!#REF!</definedName>
    <definedName name="A" localSheetId="4">[2]BLSHEET06!#REF!</definedName>
    <definedName name="A" localSheetId="7">[2]BLSHEET06!#REF!</definedName>
    <definedName name="A" localSheetId="3">[2]BLSHEET06!#REF!</definedName>
    <definedName name="A" localSheetId="5">[2]BLSHEET06!#REF!</definedName>
    <definedName name="A" localSheetId="8">[2]BLSHEET06!#REF!</definedName>
    <definedName name="A">[2]BLSHEET06!#REF!</definedName>
    <definedName name="a17J554" localSheetId="2">[3]Sheet4!#REF!</definedName>
    <definedName name="a17J554" localSheetId="6">[3]Sheet4!#REF!</definedName>
    <definedName name="a17J554" localSheetId="14">[3]Sheet4!#REF!</definedName>
    <definedName name="a17J554" localSheetId="1">[3]Sheet4!#REF!</definedName>
    <definedName name="a17J554" localSheetId="4">[3]Sheet4!#REF!</definedName>
    <definedName name="a17J554" localSheetId="7">[3]Sheet4!#REF!</definedName>
    <definedName name="a17J554" localSheetId="3">[3]Sheet4!#REF!</definedName>
    <definedName name="a17J554" localSheetId="5">[3]Sheet4!#REF!</definedName>
    <definedName name="a17J554" localSheetId="8">[3]Sheet4!#REF!</definedName>
    <definedName name="a17J554">[3]Sheet4!#REF!</definedName>
    <definedName name="abc" localSheetId="2">[1]BLSHEET06!#REF!</definedName>
    <definedName name="abc" localSheetId="6">[1]BLSHEET06!#REF!</definedName>
    <definedName name="abc" localSheetId="14">[1]BLSHEET06!#REF!</definedName>
    <definedName name="abc" localSheetId="4">[1]BLSHEET06!#REF!</definedName>
    <definedName name="abc" localSheetId="7">[1]BLSHEET06!#REF!</definedName>
    <definedName name="abc" localSheetId="8">[1]BLSHEET06!#REF!</definedName>
    <definedName name="abc">[1]BLSHEET06!#REF!</definedName>
    <definedName name="add">#REF!</definedName>
    <definedName name="additions">[4]SCH_DETAILS!#REF!</definedName>
    <definedName name="arial">'[5]BS &amp; PL'!#REF!</definedName>
    <definedName name="az">#REF!</definedName>
    <definedName name="CASH">[6]Schedule!$S$47</definedName>
    <definedName name="Challan_No">'[7]Challan Detail'!$A$2:$A$65536</definedName>
    <definedName name="cmb_DDT.RateDividPrevYrType">#REF!</definedName>
    <definedName name="cmb_TCS.StateCode">[8]IT_FBT_DDTP!$J$65:$J$100</definedName>
    <definedName name="cmb_TDS2.StateCode">'[9]TDS-TCS'!$G$62:$G$97</definedName>
    <definedName name="DDT.AddLITPlusIntrestPayable">#REF!</definedName>
    <definedName name="DDT.TaxAndInterestPaid">#REF!</definedName>
    <definedName name="FA_DEP">[4]SCH_DETAILS!#REF!</definedName>
    <definedName name="FA_DEP_CO">[4]SCH_DETAILS!#REF!</definedName>
    <definedName name="gg">#REF!</definedName>
    <definedName name="L">'[10]FORM-III'!$M$149</definedName>
    <definedName name="Mane">#REF!</definedName>
    <definedName name="opening">'[11]31.3.08'!$A$1:$C$135</definedName>
    <definedName name="pm">#REF!</definedName>
    <definedName name="_xlnm.Print_Area" localSheetId="13">' wORKING CAPITAL'!$A$1:$N$34</definedName>
    <definedName name="_xlnm.Print_Area" localSheetId="19">ASSETS!$A$1:$I$92</definedName>
    <definedName name="_xlnm.Print_Area" localSheetId="10">'AT GLANCE'!$A$1:$J$44</definedName>
    <definedName name="_xlnm.Print_Area" localSheetId="16">'B  S '!$A$1:$N$36</definedName>
    <definedName name="_xlnm.Print_Area" localSheetId="29">BS_ANLYSIS!$A$1:$S$188</definedName>
    <definedName name="_xlnm.Print_Area" localSheetId="30">CA_CL!$A$1:$P$93</definedName>
    <definedName name="_xlnm.Print_Area" localSheetId="18">'CASH FLOW'!$A$1:$N$46</definedName>
    <definedName name="_xlnm.Print_Area" localSheetId="27">cma_FNL!$A$1:$N$874</definedName>
    <definedName name="_xlnm.Print_Area" localSheetId="24">depreciation!$A$1:$M$148</definedName>
    <definedName name="_xlnm.Print_Area" localSheetId="46">Details!$A$1:$I$235</definedName>
    <definedName name="_xlnm.Print_Area" localSheetId="32">FUND_FLOW!$A$1:$AB$80</definedName>
    <definedName name="_xlnm.Print_Area" localSheetId="25">'iNCOME tAX cOMPUTATION'!$A$1:$M$22</definedName>
    <definedName name="_xlnm.Print_Area" localSheetId="23">Interest!$A$2:$H$163</definedName>
    <definedName name="_xlnm.Print_Area" localSheetId="1">IRR_CASE_II!$A$1:$L$36</definedName>
    <definedName name="_xlnm.Print_Area" localSheetId="7">IRR_CASE_IV!$A$1:$L$36</definedName>
    <definedName name="_xlnm.Print_Area" localSheetId="31">MPBF!$A$1:$Q$51</definedName>
    <definedName name="_xlnm.Print_Area" localSheetId="28">OP_STATEMENT!$A$1:$P$95</definedName>
    <definedName name="_xlnm.Print_Area" localSheetId="15">'P  L '!$A$1:$M$71</definedName>
    <definedName name="_xlnm.Print_Area" localSheetId="3">'P  L _Case_II'!$A$1:$K$69</definedName>
    <definedName name="_xlnm.Print_Area" localSheetId="5">'P  L _Case_III'!$A$1:$M$71</definedName>
    <definedName name="_xlnm.Print_Area" localSheetId="8">'P  L _Case_IV'!$A$1:$M$71</definedName>
    <definedName name="_xlnm.Print_Area" localSheetId="9">Pages!$A$1:$D$49</definedName>
    <definedName name="_xlnm.Print_Area" localSheetId="21">'PREOPERATIVE EXP'!$A$1:$D$20</definedName>
    <definedName name="_xlnm.Print_Area" localSheetId="22">SALESPROJECTION!$A$1:$P$83</definedName>
    <definedName name="Refund">#REF!</definedName>
    <definedName name="StateList">[12]Master!$E$2:$E$36</definedName>
    <definedName name="TCS.AmtTCSClaimedThisYear">#REF!</definedName>
    <definedName name="TDS2.ClaimOutOfTotTDSOnAmtPaid">#REF!</definedName>
    <definedName name="wdq" localSheetId="2">[1]BLSHEET06!#REF!</definedName>
    <definedName name="wdq" localSheetId="6">[1]BLSHEET06!#REF!</definedName>
    <definedName name="wdq" localSheetId="14">[1]BLSHEET06!#REF!</definedName>
    <definedName name="wdq" localSheetId="7">[1]BLSHEET06!#REF!</definedName>
    <definedName name="wdq">[1]BLSHEET06!#REF!</definedName>
    <definedName name="YESNO">[12]Master!$D$2:$D$3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G124" i="9"/>
  <c r="F124" i="9"/>
  <c r="E124" i="9"/>
  <c r="C125" i="9"/>
  <c r="I19" i="1"/>
  <c r="L19" i="1"/>
  <c r="L16" i="1"/>
  <c r="I15" i="1"/>
  <c r="C18" i="1"/>
  <c r="C16" i="1"/>
  <c r="C14" i="1"/>
  <c r="M40" i="16"/>
  <c r="N40" i="16"/>
  <c r="D12" i="1"/>
  <c r="L36" i="6"/>
  <c r="M36" i="6"/>
  <c r="I10" i="59"/>
  <c r="I11" i="59"/>
  <c r="J16" i="59"/>
  <c r="J23" i="59"/>
  <c r="J26" i="59"/>
  <c r="C18" i="56"/>
  <c r="F18" i="16"/>
  <c r="F32" i="13"/>
  <c r="G18" i="16"/>
  <c r="F19" i="16"/>
  <c r="G19" i="16"/>
  <c r="H16" i="5"/>
  <c r="H17" i="5"/>
  <c r="H25" i="5"/>
  <c r="H15" i="5"/>
  <c r="F15" i="5"/>
  <c r="K42" i="5"/>
  <c r="K41" i="5"/>
  <c r="J42" i="5"/>
  <c r="J41" i="5"/>
  <c r="I42" i="5"/>
  <c r="I41" i="5"/>
  <c r="H42" i="5"/>
  <c r="H41" i="5"/>
  <c r="G42" i="5"/>
  <c r="G41" i="5"/>
  <c r="F42" i="5"/>
  <c r="F41" i="5"/>
  <c r="Q119" i="20"/>
  <c r="R120" i="20"/>
  <c r="A20" i="58"/>
  <c r="A21" i="58"/>
  <c r="A22" i="58"/>
  <c r="A24" i="58"/>
  <c r="A25" i="58"/>
  <c r="A26" i="58"/>
  <c r="A27" i="58"/>
  <c r="A28" i="58"/>
  <c r="E60" i="5"/>
  <c r="E76" i="5"/>
  <c r="E63" i="5"/>
  <c r="E61" i="5"/>
  <c r="E77" i="5"/>
  <c r="I16" i="5"/>
  <c r="E49" i="20"/>
  <c r="E50" i="20"/>
  <c r="E51" i="20"/>
  <c r="E52" i="20"/>
  <c r="D18" i="20"/>
  <c r="D50" i="1"/>
  <c r="D17" i="4"/>
  <c r="F35" i="25"/>
  <c r="G128" i="60"/>
  <c r="G129" i="60"/>
  <c r="G130" i="60"/>
  <c r="I55" i="25"/>
  <c r="D46" i="60"/>
  <c r="E46" i="60"/>
  <c r="G46" i="60"/>
  <c r="D47" i="60"/>
  <c r="E47" i="60"/>
  <c r="G47" i="60"/>
  <c r="D48" i="60"/>
  <c r="E48" i="60"/>
  <c r="G48" i="60"/>
  <c r="D49" i="60"/>
  <c r="E49" i="60"/>
  <c r="G49" i="60"/>
  <c r="D50" i="60"/>
  <c r="E50" i="60"/>
  <c r="G50" i="60"/>
  <c r="D51" i="60"/>
  <c r="E51" i="60"/>
  <c r="G51" i="60"/>
  <c r="F52" i="60"/>
  <c r="J82" i="25"/>
  <c r="J92" i="25"/>
  <c r="J62" i="25"/>
  <c r="J47" i="25"/>
  <c r="M47" i="25"/>
  <c r="F187" i="60"/>
  <c r="I72" i="25"/>
  <c r="K72" i="25"/>
  <c r="E158" i="60"/>
  <c r="F158" i="60"/>
  <c r="F160" i="60"/>
  <c r="I60" i="25"/>
  <c r="I71" i="25"/>
  <c r="K71" i="25"/>
  <c r="P27" i="25"/>
  <c r="F30" i="25"/>
  <c r="I59" i="25"/>
  <c r="F37" i="25"/>
  <c r="F36" i="25"/>
  <c r="D21" i="25"/>
  <c r="F20" i="25"/>
  <c r="F19" i="25"/>
  <c r="F18" i="25"/>
  <c r="F17" i="25"/>
  <c r="F16" i="25"/>
  <c r="F15" i="25"/>
  <c r="F14" i="25"/>
  <c r="F13" i="25"/>
  <c r="F12" i="25"/>
  <c r="B12" i="25"/>
  <c r="B13" i="25"/>
  <c r="B14" i="25"/>
  <c r="B15" i="25"/>
  <c r="B16" i="25"/>
  <c r="B17" i="25"/>
  <c r="B18" i="25"/>
  <c r="B19" i="25"/>
  <c r="B20" i="25"/>
  <c r="F11" i="25"/>
  <c r="E21" i="60"/>
  <c r="E23" i="60"/>
  <c r="E26" i="60"/>
  <c r="F175" i="60"/>
  <c r="F176" i="60"/>
  <c r="E146" i="60"/>
  <c r="E145" i="60"/>
  <c r="F233" i="60"/>
  <c r="F234" i="60"/>
  <c r="I90" i="25"/>
  <c r="C13" i="60"/>
  <c r="E12" i="60"/>
  <c r="E11" i="60"/>
  <c r="E10" i="60"/>
  <c r="E9" i="60"/>
  <c r="E8" i="60"/>
  <c r="E7" i="60"/>
  <c r="E6" i="60"/>
  <c r="E5" i="60"/>
  <c r="E4" i="60"/>
  <c r="E3" i="60"/>
  <c r="A4" i="60"/>
  <c r="A5" i="60"/>
  <c r="A6" i="60"/>
  <c r="A7" i="60"/>
  <c r="A8" i="60"/>
  <c r="A9" i="60"/>
  <c r="A10" i="60"/>
  <c r="A11" i="60"/>
  <c r="A12" i="60"/>
  <c r="F41" i="60"/>
  <c r="F42" i="60"/>
  <c r="F41" i="25"/>
  <c r="F159" i="60"/>
  <c r="F35" i="60"/>
  <c r="F34" i="60"/>
  <c r="F33" i="60"/>
  <c r="F32" i="60"/>
  <c r="F31" i="60"/>
  <c r="F30" i="60"/>
  <c r="F221" i="60"/>
  <c r="F220" i="60"/>
  <c r="F219" i="60"/>
  <c r="F218" i="60"/>
  <c r="F217" i="60"/>
  <c r="F216" i="60"/>
  <c r="F215" i="60"/>
  <c r="F214" i="60"/>
  <c r="F213" i="60"/>
  <c r="F212" i="60"/>
  <c r="F211" i="60"/>
  <c r="F210" i="60"/>
  <c r="F209" i="60"/>
  <c r="F208" i="60"/>
  <c r="F207" i="60"/>
  <c r="F206" i="60"/>
  <c r="F205" i="60"/>
  <c r="F204" i="60"/>
  <c r="F203" i="60"/>
  <c r="F202" i="60"/>
  <c r="F201" i="60"/>
  <c r="F200" i="60"/>
  <c r="F199" i="60"/>
  <c r="G168" i="60"/>
  <c r="G170" i="60"/>
  <c r="J18" i="59"/>
  <c r="J19" i="59"/>
  <c r="J25" i="59"/>
  <c r="E32" i="59"/>
  <c r="E4" i="57"/>
  <c r="E5" i="57"/>
  <c r="E6" i="57"/>
  <c r="E7" i="57"/>
  <c r="E8" i="57"/>
  <c r="E10" i="57"/>
  <c r="E32" i="57"/>
  <c r="E33" i="57"/>
  <c r="E13" i="57"/>
  <c r="E14" i="57"/>
  <c r="E15" i="57"/>
  <c r="E18" i="57"/>
  <c r="E19" i="57"/>
  <c r="E20" i="57"/>
  <c r="E21" i="57"/>
  <c r="E22" i="57"/>
  <c r="E23" i="57"/>
  <c r="E24" i="57"/>
  <c r="E25" i="57"/>
  <c r="E28" i="57"/>
  <c r="E30" i="57"/>
  <c r="C32" i="57"/>
  <c r="D7" i="56"/>
  <c r="D8" i="56"/>
  <c r="D9" i="56"/>
  <c r="D10" i="56"/>
  <c r="D18" i="56"/>
  <c r="D35" i="6"/>
  <c r="D11" i="56"/>
  <c r="D12" i="56"/>
  <c r="D13" i="56"/>
  <c r="D14" i="56"/>
  <c r="D15" i="56"/>
  <c r="D16" i="56"/>
  <c r="D17" i="56"/>
  <c r="G42" i="19"/>
  <c r="A19" i="55"/>
  <c r="A20" i="55"/>
  <c r="B24" i="55"/>
  <c r="C24" i="55"/>
  <c r="I2" i="45"/>
  <c r="C6" i="45"/>
  <c r="C9" i="45"/>
  <c r="D6" i="45"/>
  <c r="C7" i="45"/>
  <c r="D7" i="45"/>
  <c r="C8" i="45"/>
  <c r="F7" i="23"/>
  <c r="J4" i="23"/>
  <c r="F14" i="23"/>
  <c r="G14" i="23"/>
  <c r="H14" i="23"/>
  <c r="F15" i="23"/>
  <c r="H15" i="23"/>
  <c r="G15" i="23"/>
  <c r="F16" i="23"/>
  <c r="G16" i="23"/>
  <c r="I16" i="23"/>
  <c r="L18" i="23"/>
  <c r="L30" i="23"/>
  <c r="L22" i="23"/>
  <c r="L27" i="23"/>
  <c r="M18" i="23"/>
  <c r="M22" i="23"/>
  <c r="N18" i="23"/>
  <c r="N22" i="23"/>
  <c r="L25" i="23"/>
  <c r="L31" i="23"/>
  <c r="I4" i="51"/>
  <c r="I6" i="51"/>
  <c r="I5" i="51"/>
  <c r="I9" i="51"/>
  <c r="I10" i="51"/>
  <c r="I12" i="51"/>
  <c r="I19" i="51"/>
  <c r="I20" i="51"/>
  <c r="I21" i="51"/>
  <c r="I22" i="51"/>
  <c r="I26" i="51"/>
  <c r="I30" i="51"/>
  <c r="I31" i="51"/>
  <c r="I32" i="51"/>
  <c r="I34" i="51"/>
  <c r="I37" i="51"/>
  <c r="I36" i="51"/>
  <c r="B2" i="50"/>
  <c r="C2" i="51"/>
  <c r="C2" i="50"/>
  <c r="D2" i="51"/>
  <c r="D2" i="50"/>
  <c r="E2" i="51"/>
  <c r="E2" i="50"/>
  <c r="F2" i="51"/>
  <c r="F2" i="50"/>
  <c r="G2" i="51"/>
  <c r="G2" i="50"/>
  <c r="H2" i="51"/>
  <c r="B3" i="50"/>
  <c r="C3" i="50"/>
  <c r="D3" i="50"/>
  <c r="E3" i="50"/>
  <c r="F3" i="50"/>
  <c r="G3" i="50"/>
  <c r="H3" i="50"/>
  <c r="B4" i="50"/>
  <c r="C4" i="50"/>
  <c r="D4" i="50"/>
  <c r="E4" i="50"/>
  <c r="F4" i="50"/>
  <c r="G4" i="50"/>
  <c r="H4" i="50"/>
  <c r="H6" i="50"/>
  <c r="H7" i="50"/>
  <c r="B5" i="50"/>
  <c r="B6" i="50"/>
  <c r="C5" i="50"/>
  <c r="D5" i="50"/>
  <c r="E5" i="50"/>
  <c r="F5" i="50"/>
  <c r="G5" i="50"/>
  <c r="H5" i="50"/>
  <c r="B8" i="50"/>
  <c r="C8" i="50"/>
  <c r="D8" i="50"/>
  <c r="E8" i="50"/>
  <c r="F8" i="50"/>
  <c r="G8" i="50"/>
  <c r="H8" i="50"/>
  <c r="B9" i="50"/>
  <c r="C9" i="50"/>
  <c r="D9" i="50"/>
  <c r="E9" i="50"/>
  <c r="F9" i="50"/>
  <c r="G9" i="50"/>
  <c r="H9" i="50"/>
  <c r="B12" i="50"/>
  <c r="C12" i="50"/>
  <c r="D12" i="50"/>
  <c r="E12" i="50"/>
  <c r="F12" i="50"/>
  <c r="G12" i="50"/>
  <c r="H12" i="50"/>
  <c r="B13" i="50"/>
  <c r="C13" i="50"/>
  <c r="D13" i="50"/>
  <c r="E13" i="50"/>
  <c r="F13" i="50"/>
  <c r="G13" i="50"/>
  <c r="H13" i="50"/>
  <c r="B14" i="50"/>
  <c r="B18" i="50"/>
  <c r="C14" i="50"/>
  <c r="D14" i="50"/>
  <c r="E14" i="50"/>
  <c r="E18" i="50"/>
  <c r="F14" i="50"/>
  <c r="G14" i="50"/>
  <c r="G18" i="50"/>
  <c r="H14" i="50"/>
  <c r="H18" i="50"/>
  <c r="B15" i="50"/>
  <c r="C15" i="50"/>
  <c r="D15" i="50"/>
  <c r="E15" i="50"/>
  <c r="F15" i="50"/>
  <c r="G15" i="50"/>
  <c r="H15" i="50"/>
  <c r="B16" i="50"/>
  <c r="C16" i="50"/>
  <c r="D16" i="50"/>
  <c r="E16" i="50"/>
  <c r="F16" i="50"/>
  <c r="G16" i="50"/>
  <c r="H16" i="50"/>
  <c r="B17" i="50"/>
  <c r="C17" i="50"/>
  <c r="C18" i="50"/>
  <c r="D17" i="50"/>
  <c r="D18" i="50"/>
  <c r="E17" i="50"/>
  <c r="F17" i="50"/>
  <c r="F18" i="50"/>
  <c r="G17" i="50"/>
  <c r="H17" i="50"/>
  <c r="B3" i="49"/>
  <c r="B7" i="49"/>
  <c r="B9" i="49"/>
  <c r="C3" i="49"/>
  <c r="D3" i="49"/>
  <c r="E3" i="49"/>
  <c r="F3" i="49"/>
  <c r="G3" i="49"/>
  <c r="B6" i="49"/>
  <c r="C6" i="49"/>
  <c r="D6" i="49"/>
  <c r="E6" i="49"/>
  <c r="E7" i="49"/>
  <c r="E9" i="49"/>
  <c r="F6" i="49"/>
  <c r="F7" i="49"/>
  <c r="F9" i="49"/>
  <c r="G6" i="49"/>
  <c r="G7" i="49"/>
  <c r="G9" i="49"/>
  <c r="D7" i="49"/>
  <c r="D9" i="49"/>
  <c r="B13" i="49"/>
  <c r="B15" i="49"/>
  <c r="C13" i="49"/>
  <c r="C15" i="49"/>
  <c r="D13" i="49"/>
  <c r="E13" i="49"/>
  <c r="E15" i="49"/>
  <c r="F13" i="49"/>
  <c r="G13" i="49"/>
  <c r="B14" i="49"/>
  <c r="C14" i="49"/>
  <c r="D14" i="49"/>
  <c r="D15" i="49"/>
  <c r="E14" i="49"/>
  <c r="F14" i="49"/>
  <c r="F15" i="49"/>
  <c r="G14" i="49"/>
  <c r="D24" i="49"/>
  <c r="D25" i="49"/>
  <c r="G15" i="49"/>
  <c r="G24" i="49"/>
  <c r="G25" i="49"/>
  <c r="B17" i="49"/>
  <c r="C17" i="49"/>
  <c r="D17" i="49"/>
  <c r="E17" i="49"/>
  <c r="F17" i="49"/>
  <c r="G17" i="49"/>
  <c r="B18" i="49"/>
  <c r="C18" i="49"/>
  <c r="D18" i="49"/>
  <c r="E18" i="49"/>
  <c r="F18" i="49"/>
  <c r="G18" i="49"/>
  <c r="B19" i="49"/>
  <c r="B22" i="49"/>
  <c r="C19" i="49"/>
  <c r="C22" i="49"/>
  <c r="D19" i="49"/>
  <c r="E19" i="49"/>
  <c r="E21" i="49"/>
  <c r="K21" i="49"/>
  <c r="F19" i="49"/>
  <c r="F21" i="49"/>
  <c r="L21" i="49"/>
  <c r="G19" i="49"/>
  <c r="G21" i="49"/>
  <c r="M21" i="49"/>
  <c r="B20" i="49"/>
  <c r="C20" i="49"/>
  <c r="D20" i="49"/>
  <c r="D21" i="49"/>
  <c r="J21" i="49"/>
  <c r="E20" i="49"/>
  <c r="E22" i="49"/>
  <c r="F20" i="49"/>
  <c r="G20" i="49"/>
  <c r="B4" i="48"/>
  <c r="C4" i="48"/>
  <c r="D4" i="48"/>
  <c r="E4" i="48"/>
  <c r="F4" i="48"/>
  <c r="G4" i="48"/>
  <c r="B5" i="48"/>
  <c r="C5" i="48"/>
  <c r="D5" i="48"/>
  <c r="E5" i="48"/>
  <c r="F5" i="48"/>
  <c r="G5" i="48"/>
  <c r="B6" i="48"/>
  <c r="C6" i="48"/>
  <c r="D6" i="48"/>
  <c r="E6" i="48"/>
  <c r="F6" i="48"/>
  <c r="G6" i="48"/>
  <c r="B7" i="48"/>
  <c r="C7" i="48"/>
  <c r="D7" i="48"/>
  <c r="E7" i="48"/>
  <c r="F7" i="48"/>
  <c r="G7" i="48"/>
  <c r="B8" i="48"/>
  <c r="C8" i="48"/>
  <c r="D8" i="48"/>
  <c r="E8" i="48"/>
  <c r="F8" i="48"/>
  <c r="G8" i="48"/>
  <c r="B9" i="48"/>
  <c r="C9" i="48"/>
  <c r="D9" i="48"/>
  <c r="E9" i="48"/>
  <c r="F9" i="48"/>
  <c r="G9" i="48"/>
  <c r="B10" i="48"/>
  <c r="C10" i="48"/>
  <c r="D10" i="48"/>
  <c r="E10" i="48"/>
  <c r="F10" i="48"/>
  <c r="G10" i="48"/>
  <c r="B11" i="48"/>
  <c r="B16" i="48"/>
  <c r="C11" i="48"/>
  <c r="C16" i="48"/>
  <c r="D11" i="48"/>
  <c r="D16" i="48"/>
  <c r="E11" i="48"/>
  <c r="E16" i="48"/>
  <c r="F11" i="48"/>
  <c r="G11" i="48"/>
  <c r="G16" i="48"/>
  <c r="B12" i="48"/>
  <c r="B15" i="48"/>
  <c r="B18" i="48"/>
  <c r="C12" i="48"/>
  <c r="D12" i="48"/>
  <c r="E12" i="48"/>
  <c r="F12" i="48"/>
  <c r="F15" i="48"/>
  <c r="F18" i="48"/>
  <c r="G12" i="48"/>
  <c r="G15" i="48"/>
  <c r="G18" i="48"/>
  <c r="B13" i="48"/>
  <c r="C13" i="48"/>
  <c r="D13" i="48"/>
  <c r="E13" i="48"/>
  <c r="F13" i="48"/>
  <c r="G13" i="48"/>
  <c r="B14" i="48"/>
  <c r="B19" i="48"/>
  <c r="C14" i="48"/>
  <c r="C19" i="48"/>
  <c r="D14" i="48"/>
  <c r="D19" i="48"/>
  <c r="E14" i="48"/>
  <c r="E19" i="48"/>
  <c r="F14" i="48"/>
  <c r="F19" i="48"/>
  <c r="G14" i="48"/>
  <c r="G19" i="48"/>
  <c r="F16" i="48"/>
  <c r="B2" i="47"/>
  <c r="C2" i="47"/>
  <c r="D2" i="47"/>
  <c r="E2" i="47"/>
  <c r="F2" i="47"/>
  <c r="G2" i="47"/>
  <c r="H2" i="47"/>
  <c r="H4" i="47"/>
  <c r="B3" i="47"/>
  <c r="C3" i="47"/>
  <c r="C4" i="47"/>
  <c r="D3" i="47"/>
  <c r="D4" i="47"/>
  <c r="E3" i="47"/>
  <c r="E4" i="47"/>
  <c r="F3" i="47"/>
  <c r="F4" i="47"/>
  <c r="G3" i="47"/>
  <c r="H3" i="47"/>
  <c r="G4" i="47"/>
  <c r="B5" i="47"/>
  <c r="C5" i="47"/>
  <c r="D5" i="47"/>
  <c r="E5" i="47"/>
  <c r="F5" i="47"/>
  <c r="G5" i="47"/>
  <c r="H5" i="47"/>
  <c r="B6" i="47"/>
  <c r="C6" i="47"/>
  <c r="D6" i="47"/>
  <c r="E6" i="47"/>
  <c r="F6" i="47"/>
  <c r="G6" i="47"/>
  <c r="H6" i="47"/>
  <c r="B7" i="47"/>
  <c r="C7" i="47"/>
  <c r="D7" i="47"/>
  <c r="E7" i="47"/>
  <c r="F7" i="47"/>
  <c r="G7" i="47"/>
  <c r="H7" i="47"/>
  <c r="B8" i="47"/>
  <c r="C8" i="47"/>
  <c r="D8" i="47"/>
  <c r="E8" i="47"/>
  <c r="F8" i="47"/>
  <c r="G8" i="47"/>
  <c r="H8" i="47"/>
  <c r="S14" i="31"/>
  <c r="T14" i="31"/>
  <c r="U14" i="31"/>
  <c r="V14" i="31"/>
  <c r="W14" i="31"/>
  <c r="X14" i="31"/>
  <c r="Y14" i="31"/>
  <c r="Q17" i="31"/>
  <c r="R17" i="31"/>
  <c r="T17" i="31"/>
  <c r="T19" i="31"/>
  <c r="T23" i="31"/>
  <c r="U23" i="31"/>
  <c r="V23" i="31"/>
  <c r="T33" i="31"/>
  <c r="U33" i="31"/>
  <c r="V33" i="31"/>
  <c r="W33" i="31"/>
  <c r="S40" i="31"/>
  <c r="T40" i="31"/>
  <c r="U40" i="31"/>
  <c r="V40" i="31"/>
  <c r="W47" i="31"/>
  <c r="Y51" i="31"/>
  <c r="J56" i="31"/>
  <c r="S68" i="31"/>
  <c r="T68" i="31"/>
  <c r="U68" i="31"/>
  <c r="V68" i="31"/>
  <c r="W68" i="31"/>
  <c r="X68" i="31"/>
  <c r="Y68" i="31"/>
  <c r="Z68" i="31"/>
  <c r="AA68" i="31"/>
  <c r="AB68" i="31"/>
  <c r="T69" i="31"/>
  <c r="W70" i="31"/>
  <c r="X70" i="31"/>
  <c r="Y70" i="31"/>
  <c r="J86" i="31"/>
  <c r="K86" i="31"/>
  <c r="L86" i="31"/>
  <c r="M86" i="31"/>
  <c r="N86" i="31"/>
  <c r="O86" i="31"/>
  <c r="P86" i="31"/>
  <c r="Q86" i="31"/>
  <c r="H53" i="30"/>
  <c r="I53" i="30"/>
  <c r="J53" i="30"/>
  <c r="K53" i="30"/>
  <c r="L53" i="30"/>
  <c r="M53" i="30"/>
  <c r="G17" i="29"/>
  <c r="H17" i="29"/>
  <c r="I17" i="29"/>
  <c r="J17" i="29"/>
  <c r="K17" i="29"/>
  <c r="L17" i="29"/>
  <c r="M17" i="29"/>
  <c r="N17" i="29"/>
  <c r="O17" i="29"/>
  <c r="G31" i="29"/>
  <c r="H31" i="29"/>
  <c r="I31" i="29"/>
  <c r="J31" i="29"/>
  <c r="K31" i="29"/>
  <c r="L31" i="29"/>
  <c r="M31" i="29"/>
  <c r="N31" i="29"/>
  <c r="O31" i="29"/>
  <c r="G53" i="29"/>
  <c r="H53" i="29"/>
  <c r="I53" i="29"/>
  <c r="J53" i="29"/>
  <c r="K53" i="29"/>
  <c r="L53" i="29"/>
  <c r="M53" i="29"/>
  <c r="N53" i="29"/>
  <c r="O53" i="29"/>
  <c r="G75" i="29"/>
  <c r="H75" i="29"/>
  <c r="I75" i="29"/>
  <c r="J75" i="29"/>
  <c r="K75" i="29"/>
  <c r="L75" i="29"/>
  <c r="M75" i="29"/>
  <c r="N75" i="29"/>
  <c r="O75" i="29"/>
  <c r="G77" i="29"/>
  <c r="H77" i="29"/>
  <c r="I77" i="29"/>
  <c r="J77" i="29"/>
  <c r="K77" i="29"/>
  <c r="L77" i="29"/>
  <c r="M77" i="29"/>
  <c r="N77" i="29"/>
  <c r="O77" i="29"/>
  <c r="N80" i="29"/>
  <c r="O80" i="29"/>
  <c r="G84" i="29"/>
  <c r="H84" i="29"/>
  <c r="I84" i="29"/>
  <c r="J84" i="29"/>
  <c r="K84" i="29"/>
  <c r="L84" i="29"/>
  <c r="M84" i="29"/>
  <c r="N84" i="29"/>
  <c r="O84" i="29"/>
  <c r="G110" i="29"/>
  <c r="H110" i="29"/>
  <c r="I110" i="29"/>
  <c r="J110" i="29"/>
  <c r="K110" i="29"/>
  <c r="L110" i="29"/>
  <c r="M110" i="29"/>
  <c r="N110" i="29"/>
  <c r="O110" i="29"/>
  <c r="G111" i="29"/>
  <c r="H111" i="29"/>
  <c r="I111" i="29"/>
  <c r="J111" i="29"/>
  <c r="K111" i="29"/>
  <c r="L111" i="29"/>
  <c r="M111" i="29"/>
  <c r="N111" i="29"/>
  <c r="O111" i="29"/>
  <c r="G112" i="29"/>
  <c r="H112" i="29"/>
  <c r="I112" i="29"/>
  <c r="J112" i="29"/>
  <c r="K112" i="29"/>
  <c r="L112" i="29"/>
  <c r="M112" i="29"/>
  <c r="N112" i="29"/>
  <c r="O112" i="29"/>
  <c r="G126" i="29"/>
  <c r="H126" i="29"/>
  <c r="I126" i="29"/>
  <c r="J126" i="29"/>
  <c r="G127" i="29"/>
  <c r="H127" i="29"/>
  <c r="I127" i="29"/>
  <c r="J127" i="29"/>
  <c r="J6" i="28"/>
  <c r="G8" i="29"/>
  <c r="H9" i="30"/>
  <c r="J8" i="31"/>
  <c r="K6" i="28"/>
  <c r="H8" i="29"/>
  <c r="I9" i="30"/>
  <c r="K8" i="31"/>
  <c r="L6" i="28"/>
  <c r="I8" i="29"/>
  <c r="J9" i="30"/>
  <c r="L8" i="31"/>
  <c r="M6" i="28"/>
  <c r="J8" i="29"/>
  <c r="K9" i="30"/>
  <c r="M8" i="31"/>
  <c r="N6" i="28"/>
  <c r="K8" i="29"/>
  <c r="L9" i="30"/>
  <c r="N8" i="31"/>
  <c r="O6" i="28"/>
  <c r="L8" i="29"/>
  <c r="M9" i="30"/>
  <c r="O8" i="31"/>
  <c r="P6" i="28"/>
  <c r="M8" i="29"/>
  <c r="N9" i="30"/>
  <c r="P8" i="31"/>
  <c r="Q6" i="28"/>
  <c r="N8" i="29"/>
  <c r="O9" i="30"/>
  <c r="Q8" i="31"/>
  <c r="R6" i="28"/>
  <c r="O8" i="29"/>
  <c r="P9" i="30"/>
  <c r="R8" i="31"/>
  <c r="J7" i="28"/>
  <c r="G9" i="29"/>
  <c r="H10" i="30"/>
  <c r="J10" i="31"/>
  <c r="K7" i="28"/>
  <c r="H9" i="29"/>
  <c r="I10" i="30"/>
  <c r="K10" i="31"/>
  <c r="L7" i="28"/>
  <c r="I9" i="29"/>
  <c r="J10" i="30"/>
  <c r="L10" i="31"/>
  <c r="M7" i="28"/>
  <c r="J9" i="29"/>
  <c r="K10" i="30"/>
  <c r="M10" i="31"/>
  <c r="N7" i="28"/>
  <c r="K9" i="29"/>
  <c r="L10" i="30"/>
  <c r="N10" i="31"/>
  <c r="O7" i="28"/>
  <c r="L9" i="29"/>
  <c r="M10" i="30"/>
  <c r="O10" i="31"/>
  <c r="P7" i="28"/>
  <c r="M9" i="29"/>
  <c r="N10" i="30"/>
  <c r="P10" i="31"/>
  <c r="Q7" i="28"/>
  <c r="N9" i="29"/>
  <c r="O10" i="30"/>
  <c r="Q10" i="31"/>
  <c r="R7" i="28"/>
  <c r="O9" i="29"/>
  <c r="P10" i="30"/>
  <c r="R10" i="31"/>
  <c r="U17" i="28"/>
  <c r="T44" i="28"/>
  <c r="U44" i="28"/>
  <c r="V44" i="28"/>
  <c r="W44" i="28"/>
  <c r="X44" i="28"/>
  <c r="Y44" i="28"/>
  <c r="Z44" i="28"/>
  <c r="Z45" i="28"/>
  <c r="J57" i="28"/>
  <c r="K57" i="28"/>
  <c r="L57" i="28"/>
  <c r="M57" i="28"/>
  <c r="N57" i="28"/>
  <c r="O57" i="28"/>
  <c r="P57" i="28"/>
  <c r="Q57" i="28"/>
  <c r="R57" i="28"/>
  <c r="T63" i="28"/>
  <c r="U63" i="28"/>
  <c r="V63" i="28"/>
  <c r="W63" i="28"/>
  <c r="X63" i="28"/>
  <c r="Y63" i="28"/>
  <c r="Z63" i="28"/>
  <c r="AA63" i="28"/>
  <c r="AB63" i="28"/>
  <c r="AB64" i="28"/>
  <c r="AE74" i="28"/>
  <c r="T82" i="28"/>
  <c r="U82" i="28"/>
  <c r="V82" i="28"/>
  <c r="W82" i="28"/>
  <c r="X82" i="28"/>
  <c r="O94" i="28"/>
  <c r="AF97" i="28"/>
  <c r="S111" i="28"/>
  <c r="S120" i="28"/>
  <c r="T124" i="28"/>
  <c r="U124" i="28"/>
  <c r="V124" i="28"/>
  <c r="W124" i="28"/>
  <c r="X124" i="28"/>
  <c r="W172" i="28"/>
  <c r="X172" i="28"/>
  <c r="Y172" i="28"/>
  <c r="Z172" i="28"/>
  <c r="AA172" i="28"/>
  <c r="AB172" i="28"/>
  <c r="AC172" i="28"/>
  <c r="AC173" i="28"/>
  <c r="W174" i="28"/>
  <c r="X174" i="28"/>
  <c r="Y174" i="28"/>
  <c r="Z174" i="28"/>
  <c r="AA174" i="28"/>
  <c r="AB174" i="28"/>
  <c r="AC174" i="28"/>
  <c r="AC175" i="28"/>
  <c r="G29" i="27"/>
  <c r="H29" i="27"/>
  <c r="I29" i="27"/>
  <c r="J29" i="27"/>
  <c r="K29" i="27"/>
  <c r="L29" i="27"/>
  <c r="M29" i="27"/>
  <c r="N29" i="27"/>
  <c r="O29" i="27"/>
  <c r="G46" i="27"/>
  <c r="G47" i="27"/>
  <c r="G49" i="27"/>
  <c r="H46" i="27"/>
  <c r="I46" i="27"/>
  <c r="I47" i="27"/>
  <c r="I49" i="27"/>
  <c r="H47" i="27"/>
  <c r="H49" i="27"/>
  <c r="G74" i="27"/>
  <c r="G75" i="27"/>
  <c r="H74" i="27"/>
  <c r="H75" i="27"/>
  <c r="I74" i="27"/>
  <c r="I75" i="27"/>
  <c r="J75" i="27"/>
  <c r="K75" i="27"/>
  <c r="L75" i="27"/>
  <c r="M75" i="27"/>
  <c r="N75" i="27"/>
  <c r="O75" i="27"/>
  <c r="E11" i="33"/>
  <c r="E163" i="33"/>
  <c r="E268" i="33"/>
  <c r="E406" i="33"/>
  <c r="E495" i="33"/>
  <c r="F11" i="33"/>
  <c r="F163" i="33"/>
  <c r="F268" i="33"/>
  <c r="F406" i="33"/>
  <c r="F495" i="33"/>
  <c r="G11" i="33"/>
  <c r="G163" i="33"/>
  <c r="G268" i="33"/>
  <c r="G406" i="33"/>
  <c r="G495" i="33"/>
  <c r="H11" i="33"/>
  <c r="I11" i="33"/>
  <c r="J11" i="33"/>
  <c r="J163" i="33"/>
  <c r="J268" i="33"/>
  <c r="J406" i="33"/>
  <c r="J495" i="33"/>
  <c r="K11" i="33"/>
  <c r="K163" i="33"/>
  <c r="K268" i="33"/>
  <c r="K406" i="33"/>
  <c r="K495" i="33"/>
  <c r="L11" i="33"/>
  <c r="L163" i="33"/>
  <c r="L268" i="33"/>
  <c r="L406" i="33"/>
  <c r="L495" i="33"/>
  <c r="L748" i="33"/>
  <c r="L769" i="33"/>
  <c r="L786" i="33"/>
  <c r="M11" i="33"/>
  <c r="M163" i="33"/>
  <c r="M268" i="33"/>
  <c r="M406" i="33"/>
  <c r="M495" i="33"/>
  <c r="F59" i="33"/>
  <c r="G59" i="33"/>
  <c r="H59" i="33"/>
  <c r="I59" i="33"/>
  <c r="J59" i="33"/>
  <c r="K59" i="33"/>
  <c r="L59" i="33"/>
  <c r="M59" i="33"/>
  <c r="F69" i="33"/>
  <c r="G69" i="33"/>
  <c r="H69" i="33"/>
  <c r="I69" i="33"/>
  <c r="J69" i="33"/>
  <c r="K69" i="33"/>
  <c r="L69" i="33"/>
  <c r="M69" i="33"/>
  <c r="E105" i="33"/>
  <c r="F105" i="33"/>
  <c r="G105" i="33"/>
  <c r="H105" i="33"/>
  <c r="I105" i="33"/>
  <c r="J105" i="33"/>
  <c r="K105" i="33"/>
  <c r="L105" i="33"/>
  <c r="M105" i="33"/>
  <c r="F109" i="33"/>
  <c r="F346" i="33"/>
  <c r="E111" i="33"/>
  <c r="E114" i="33"/>
  <c r="E119" i="33"/>
  <c r="F119" i="33"/>
  <c r="G119" i="33"/>
  <c r="H119" i="33"/>
  <c r="I119" i="33"/>
  <c r="J119" i="33"/>
  <c r="K119" i="33"/>
  <c r="L119" i="33"/>
  <c r="M119" i="33"/>
  <c r="H163" i="33"/>
  <c r="H268" i="33"/>
  <c r="H406" i="33"/>
  <c r="H495" i="33"/>
  <c r="I643" i="33"/>
  <c r="I163" i="33"/>
  <c r="I268" i="33"/>
  <c r="I406" i="33"/>
  <c r="I495" i="33"/>
  <c r="E164" i="33"/>
  <c r="F164" i="33"/>
  <c r="F269" i="33"/>
  <c r="G164" i="33"/>
  <c r="G269" i="33"/>
  <c r="G407" i="33"/>
  <c r="G496" i="33"/>
  <c r="H164" i="33"/>
  <c r="H269" i="33"/>
  <c r="H407" i="33"/>
  <c r="H496" i="33"/>
  <c r="I164" i="33"/>
  <c r="J164" i="33"/>
  <c r="J269" i="33"/>
  <c r="J407" i="33"/>
  <c r="J496" i="33"/>
  <c r="J749" i="33"/>
  <c r="K164" i="33"/>
  <c r="K269" i="33"/>
  <c r="K407" i="33"/>
  <c r="K496" i="33"/>
  <c r="L164" i="33"/>
  <c r="L269" i="33"/>
  <c r="L407" i="33"/>
  <c r="M164" i="33"/>
  <c r="M269" i="33"/>
  <c r="M407" i="33"/>
  <c r="M496" i="33"/>
  <c r="F182" i="33"/>
  <c r="G182" i="33"/>
  <c r="H182" i="33"/>
  <c r="I182" i="33"/>
  <c r="J182" i="33"/>
  <c r="K182" i="33"/>
  <c r="L182" i="33"/>
  <c r="M182" i="33"/>
  <c r="E269" i="33"/>
  <c r="E407" i="33"/>
  <c r="E496" i="33"/>
  <c r="I269" i="33"/>
  <c r="L496" i="33"/>
  <c r="F407" i="33"/>
  <c r="F496" i="33"/>
  <c r="I407" i="33"/>
  <c r="I496" i="33"/>
  <c r="E419" i="33"/>
  <c r="F419" i="33"/>
  <c r="G419" i="33"/>
  <c r="H419" i="33"/>
  <c r="J721" i="33"/>
  <c r="I419" i="33"/>
  <c r="J419" i="33"/>
  <c r="K419" i="33"/>
  <c r="L419" i="33"/>
  <c r="N721" i="33"/>
  <c r="M419" i="33"/>
  <c r="E443" i="33"/>
  <c r="F443" i="33"/>
  <c r="G443" i="33"/>
  <c r="I728" i="33"/>
  <c r="H443" i="33"/>
  <c r="I443" i="33"/>
  <c r="J443" i="33"/>
  <c r="K443" i="33"/>
  <c r="M728" i="33"/>
  <c r="L443" i="33"/>
  <c r="M443" i="33"/>
  <c r="N728" i="33"/>
  <c r="E457" i="33"/>
  <c r="E460" i="33"/>
  <c r="F457" i="33"/>
  <c r="F460" i="33"/>
  <c r="G457" i="33"/>
  <c r="G460" i="33"/>
  <c r="H457" i="33"/>
  <c r="H460" i="33"/>
  <c r="I457" i="33"/>
  <c r="J457" i="33"/>
  <c r="K734" i="33"/>
  <c r="K457" i="33"/>
  <c r="L457" i="33"/>
  <c r="M457" i="33"/>
  <c r="M460" i="33"/>
  <c r="J460" i="33"/>
  <c r="K460" i="33"/>
  <c r="J770" i="33"/>
  <c r="J787" i="33"/>
  <c r="J821" i="33"/>
  <c r="F654" i="33"/>
  <c r="F679" i="33"/>
  <c r="G679" i="33"/>
  <c r="H679" i="33"/>
  <c r="I679" i="33"/>
  <c r="J679" i="33"/>
  <c r="K679" i="33"/>
  <c r="L679" i="33"/>
  <c r="M679" i="33"/>
  <c r="N679" i="33"/>
  <c r="G681" i="33"/>
  <c r="H681" i="33"/>
  <c r="I681" i="33"/>
  <c r="J681" i="33"/>
  <c r="K681" i="33"/>
  <c r="L681" i="33"/>
  <c r="M681" i="33"/>
  <c r="N681" i="33"/>
  <c r="F721" i="33"/>
  <c r="I721" i="33"/>
  <c r="M721" i="33"/>
  <c r="H728" i="33"/>
  <c r="L728" i="33"/>
  <c r="F734" i="33"/>
  <c r="G734" i="33"/>
  <c r="H734" i="33"/>
  <c r="I734" i="33"/>
  <c r="L734" i="33"/>
  <c r="A744" i="33"/>
  <c r="E772" i="33"/>
  <c r="G774" i="33"/>
  <c r="H774" i="33"/>
  <c r="I774" i="33"/>
  <c r="J774" i="33"/>
  <c r="K774" i="33"/>
  <c r="L774" i="33"/>
  <c r="M774" i="33"/>
  <c r="E777" i="33"/>
  <c r="F777" i="33"/>
  <c r="E779" i="33"/>
  <c r="F779" i="33"/>
  <c r="G779" i="33"/>
  <c r="H779" i="33"/>
  <c r="I779" i="33"/>
  <c r="J779" i="33"/>
  <c r="K779" i="33"/>
  <c r="L779" i="33"/>
  <c r="M779" i="33"/>
  <c r="E799" i="33"/>
  <c r="F799" i="33"/>
  <c r="G799" i="33"/>
  <c r="H799" i="33"/>
  <c r="I799" i="33"/>
  <c r="J799" i="33"/>
  <c r="K799" i="33"/>
  <c r="L799" i="33"/>
  <c r="M799" i="33"/>
  <c r="E807" i="33"/>
  <c r="E308" i="33"/>
  <c r="E336" i="33"/>
  <c r="M336" i="33"/>
  <c r="M343" i="33"/>
  <c r="F10" i="18"/>
  <c r="N11" i="18"/>
  <c r="C13" i="18"/>
  <c r="C14" i="18"/>
  <c r="F17" i="18"/>
  <c r="Q18" i="18"/>
  <c r="F19" i="18"/>
  <c r="Q19" i="18"/>
  <c r="Q20" i="18"/>
  <c r="F21" i="18"/>
  <c r="Q21" i="18"/>
  <c r="Q22" i="18"/>
  <c r="C23" i="18"/>
  <c r="N23" i="18"/>
  <c r="Q23" i="18"/>
  <c r="C27" i="18"/>
  <c r="N19" i="10"/>
  <c r="O47" i="9"/>
  <c r="P47" i="9"/>
  <c r="Q47" i="9"/>
  <c r="R47" i="9"/>
  <c r="S47" i="9"/>
  <c r="T47" i="9"/>
  <c r="U47" i="9"/>
  <c r="V47" i="9"/>
  <c r="E4" i="20"/>
  <c r="D12" i="20"/>
  <c r="F12" i="20"/>
  <c r="G12" i="20"/>
  <c r="B13" i="20"/>
  <c r="B14" i="20"/>
  <c r="B15" i="20"/>
  <c r="D13" i="20"/>
  <c r="F13" i="20"/>
  <c r="G13" i="20"/>
  <c r="C14" i="20"/>
  <c r="G14" i="20"/>
  <c r="M31" i="20"/>
  <c r="M32" i="20"/>
  <c r="M33" i="20"/>
  <c r="M34" i="20"/>
  <c r="M35" i="20"/>
  <c r="M36" i="20"/>
  <c r="M37" i="20"/>
  <c r="M38" i="20"/>
  <c r="M39" i="20"/>
  <c r="M40" i="20"/>
  <c r="M41" i="20"/>
  <c r="M42" i="20"/>
  <c r="M43" i="20"/>
  <c r="M44" i="20"/>
  <c r="M45" i="20"/>
  <c r="M46" i="20"/>
  <c r="M47" i="20"/>
  <c r="M48" i="20"/>
  <c r="M49" i="20"/>
  <c r="M50" i="20"/>
  <c r="M51" i="20"/>
  <c r="M52" i="20"/>
  <c r="J34" i="20"/>
  <c r="L53" i="20"/>
  <c r="L54" i="20"/>
  <c r="L55" i="20"/>
  <c r="L56" i="20"/>
  <c r="L57" i="20"/>
  <c r="L58" i="20"/>
  <c r="L59" i="20"/>
  <c r="L60" i="20"/>
  <c r="L61" i="20"/>
  <c r="L62" i="20"/>
  <c r="L63" i="20"/>
  <c r="L64" i="20"/>
  <c r="N147" i="20"/>
  <c r="N146" i="20"/>
  <c r="N145" i="20"/>
  <c r="N144" i="20"/>
  <c r="N143" i="20"/>
  <c r="N142" i="20"/>
  <c r="N141" i="20"/>
  <c r="N140" i="20"/>
  <c r="N139" i="20"/>
  <c r="N138" i="20"/>
  <c r="N137" i="20"/>
  <c r="N136" i="20"/>
  <c r="N135" i="20"/>
  <c r="N134" i="20"/>
  <c r="N133" i="20"/>
  <c r="N132" i="20"/>
  <c r="N131" i="20"/>
  <c r="N130" i="20"/>
  <c r="N129" i="20"/>
  <c r="N128" i="20"/>
  <c r="N127" i="20"/>
  <c r="N126" i="20"/>
  <c r="N125" i="20"/>
  <c r="N124" i="20"/>
  <c r="N123" i="20"/>
  <c r="N122" i="20"/>
  <c r="N121" i="20"/>
  <c r="N120" i="20"/>
  <c r="N119" i="20"/>
  <c r="N118" i="20"/>
  <c r="N117" i="20"/>
  <c r="N116" i="20"/>
  <c r="N115" i="20"/>
  <c r="N114" i="20"/>
  <c r="N113" i="20"/>
  <c r="N112" i="20"/>
  <c r="N111" i="20"/>
  <c r="N110" i="20"/>
  <c r="N109" i="20"/>
  <c r="N108" i="20"/>
  <c r="N107" i="20"/>
  <c r="N106" i="20"/>
  <c r="N105" i="20"/>
  <c r="N104" i="20"/>
  <c r="N103" i="20"/>
  <c r="N102" i="20"/>
  <c r="N101" i="20"/>
  <c r="N100" i="20"/>
  <c r="N99" i="20"/>
  <c r="N98" i="20"/>
  <c r="N97" i="20"/>
  <c r="N96" i="20"/>
  <c r="N95" i="20"/>
  <c r="N94" i="20"/>
  <c r="N93" i="20"/>
  <c r="N92" i="20"/>
  <c r="N91" i="20"/>
  <c r="N90" i="20"/>
  <c r="N89" i="20"/>
  <c r="N88" i="20"/>
  <c r="N87" i="20"/>
  <c r="N86" i="20"/>
  <c r="N85" i="20"/>
  <c r="N84" i="20"/>
  <c r="N83" i="20"/>
  <c r="N82" i="20"/>
  <c r="N81" i="20"/>
  <c r="N80" i="20"/>
  <c r="N79" i="20"/>
  <c r="N78" i="20"/>
  <c r="N77" i="20"/>
  <c r="N76" i="20"/>
  <c r="N75" i="20"/>
  <c r="N74" i="20"/>
  <c r="N73" i="20"/>
  <c r="N72" i="20"/>
  <c r="N71" i="20"/>
  <c r="N70" i="20"/>
  <c r="N69" i="20"/>
  <c r="N68" i="20"/>
  <c r="N67" i="20"/>
  <c r="N66" i="20"/>
  <c r="N65" i="20"/>
  <c r="N64" i="20"/>
  <c r="N63" i="20"/>
  <c r="N62" i="20"/>
  <c r="N61" i="20"/>
  <c r="N60" i="20"/>
  <c r="N59" i="20"/>
  <c r="N58" i="20"/>
  <c r="N57" i="20"/>
  <c r="N56" i="20"/>
  <c r="N55" i="20"/>
  <c r="N54" i="20"/>
  <c r="N53" i="20"/>
  <c r="N52" i="20"/>
  <c r="N51" i="20"/>
  <c r="N50" i="20"/>
  <c r="N49" i="20"/>
  <c r="N48" i="20"/>
  <c r="N47" i="20"/>
  <c r="N46" i="20"/>
  <c r="N45" i="20"/>
  <c r="N44" i="20"/>
  <c r="N43" i="20"/>
  <c r="N42" i="20"/>
  <c r="N41" i="20"/>
  <c r="N40" i="20"/>
  <c r="N39" i="20"/>
  <c r="N38" i="20"/>
  <c r="N37" i="20"/>
  <c r="N36" i="20"/>
  <c r="N35" i="20"/>
  <c r="N34" i="20"/>
  <c r="N33" i="20"/>
  <c r="N32" i="20"/>
  <c r="N31" i="20"/>
  <c r="N17" i="20"/>
  <c r="N15" i="20"/>
  <c r="N14" i="20"/>
  <c r="N13" i="20"/>
  <c r="N12" i="20"/>
  <c r="F176" i="20"/>
  <c r="F177" i="20"/>
  <c r="F178" i="20"/>
  <c r="G180" i="20"/>
  <c r="G181" i="20"/>
  <c r="G184" i="20"/>
  <c r="G185" i="20"/>
  <c r="D12" i="5"/>
  <c r="I15" i="5"/>
  <c r="F16" i="5"/>
  <c r="F25" i="5"/>
  <c r="F17" i="5"/>
  <c r="I17" i="5"/>
  <c r="I25" i="5"/>
  <c r="E58" i="5"/>
  <c r="K33" i="5"/>
  <c r="I45" i="5"/>
  <c r="E79" i="5"/>
  <c r="D13" i="39"/>
  <c r="E71" i="5"/>
  <c r="M71" i="5"/>
  <c r="N71" i="5"/>
  <c r="A77" i="5"/>
  <c r="A78" i="5"/>
  <c r="A14" i="6"/>
  <c r="A26" i="6"/>
  <c r="C2" i="4"/>
  <c r="H13" i="4"/>
  <c r="F21" i="4"/>
  <c r="F12" i="32"/>
  <c r="A13" i="32"/>
  <c r="A14" i="32"/>
  <c r="A15" i="32"/>
  <c r="A16" i="32"/>
  <c r="A17" i="32"/>
  <c r="A18" i="32"/>
  <c r="A19" i="32"/>
  <c r="A20" i="32"/>
  <c r="A21" i="32"/>
  <c r="A22" i="32"/>
  <c r="A23" i="32"/>
  <c r="A24" i="32"/>
  <c r="A25" i="32"/>
  <c r="A26" i="32"/>
  <c r="A27" i="32"/>
  <c r="A28" i="32"/>
  <c r="A29" i="32"/>
  <c r="A30" i="32"/>
  <c r="A31" i="32"/>
  <c r="A32" i="32"/>
  <c r="E13" i="32"/>
  <c r="F13" i="32"/>
  <c r="F14" i="32"/>
  <c r="F15" i="32"/>
  <c r="F16" i="32"/>
  <c r="F17" i="32"/>
  <c r="F18" i="32"/>
  <c r="F19" i="32"/>
  <c r="F34" i="32"/>
  <c r="F20" i="32"/>
  <c r="F21" i="32"/>
  <c r="F22" i="32"/>
  <c r="F23" i="32"/>
  <c r="F24" i="32"/>
  <c r="F25" i="32"/>
  <c r="E26" i="32"/>
  <c r="F26" i="32"/>
  <c r="F27" i="32"/>
  <c r="I27" i="32"/>
  <c r="F28" i="32"/>
  <c r="F29" i="32"/>
  <c r="F30" i="32"/>
  <c r="F31" i="32"/>
  <c r="F32" i="32"/>
  <c r="I32" i="32"/>
  <c r="F37" i="32"/>
  <c r="F40" i="32"/>
  <c r="F139" i="32"/>
  <c r="F38" i="32"/>
  <c r="F43" i="32"/>
  <c r="F46" i="32"/>
  <c r="F140" i="32"/>
  <c r="F44" i="32"/>
  <c r="F45" i="32"/>
  <c r="F53" i="32"/>
  <c r="F58" i="32"/>
  <c r="F141" i="32"/>
  <c r="F54" i="32"/>
  <c r="F55" i="32"/>
  <c r="F56" i="32"/>
  <c r="F62" i="32"/>
  <c r="F63" i="32"/>
  <c r="F64" i="32"/>
  <c r="F65" i="32"/>
  <c r="F66" i="32"/>
  <c r="F74" i="32"/>
  <c r="F75" i="32"/>
  <c r="F78" i="32"/>
  <c r="F143" i="32"/>
  <c r="F76" i="32"/>
  <c r="F82" i="32"/>
  <c r="F83" i="32"/>
  <c r="F85" i="32"/>
  <c r="F144" i="32"/>
  <c r="F90" i="32"/>
  <c r="F91" i="32"/>
  <c r="F92" i="32"/>
  <c r="F93" i="32"/>
  <c r="F94" i="32"/>
  <c r="F96" i="32"/>
  <c r="F97" i="32"/>
  <c r="F98" i="32"/>
  <c r="F99" i="32"/>
  <c r="F100" i="32"/>
  <c r="F102" i="32"/>
  <c r="F103" i="32"/>
  <c r="F104" i="32"/>
  <c r="F105" i="32"/>
  <c r="F106" i="32"/>
  <c r="F108" i="32"/>
  <c r="F109" i="32"/>
  <c r="F110" i="32"/>
  <c r="F112" i="32"/>
  <c r="F113" i="32"/>
  <c r="F114" i="32"/>
  <c r="F115" i="32"/>
  <c r="F117" i="32"/>
  <c r="F145" i="32"/>
  <c r="F121" i="32"/>
  <c r="F122" i="32"/>
  <c r="F123" i="32"/>
  <c r="F125" i="32"/>
  <c r="F146" i="32"/>
  <c r="F124" i="32"/>
  <c r="F129" i="32"/>
  <c r="F132" i="32"/>
  <c r="F147" i="32"/>
  <c r="F130" i="32"/>
  <c r="F131" i="32"/>
  <c r="E2" i="25"/>
  <c r="E2" i="13"/>
  <c r="E14" i="13"/>
  <c r="F14" i="13"/>
  <c r="G14" i="13"/>
  <c r="H14" i="13"/>
  <c r="I14" i="13"/>
  <c r="J14" i="13"/>
  <c r="K14" i="13"/>
  <c r="L14" i="13"/>
  <c r="M14" i="13"/>
  <c r="N14" i="13"/>
  <c r="E32" i="13"/>
  <c r="E33" i="13"/>
  <c r="N33" i="13"/>
  <c r="D39" i="13"/>
  <c r="F2" i="16"/>
  <c r="D29" i="16"/>
  <c r="D16" i="13"/>
  <c r="N31" i="16"/>
  <c r="F33" i="16"/>
  <c r="D2" i="6"/>
  <c r="D8" i="6"/>
  <c r="E8" i="6"/>
  <c r="F8" i="6"/>
  <c r="G8" i="6"/>
  <c r="H8" i="6"/>
  <c r="I8" i="6"/>
  <c r="J8" i="6"/>
  <c r="K8" i="6"/>
  <c r="L8" i="6"/>
  <c r="M8" i="6"/>
  <c r="A13" i="6"/>
  <c r="A25" i="6"/>
  <c r="E18" i="6"/>
  <c r="N23" i="6"/>
  <c r="B35" i="6"/>
  <c r="B36" i="6"/>
  <c r="B4" i="44"/>
  <c r="C4" i="44"/>
  <c r="D4" i="44"/>
  <c r="E4" i="44"/>
  <c r="F4" i="44"/>
  <c r="G4" i="44"/>
  <c r="H4" i="44"/>
  <c r="I4" i="44"/>
  <c r="J4" i="44"/>
  <c r="B5" i="44"/>
  <c r="C5" i="44"/>
  <c r="J5" i="44"/>
  <c r="B10" i="44"/>
  <c r="C10" i="44"/>
  <c r="D10" i="44"/>
  <c r="E10" i="44"/>
  <c r="F10" i="44"/>
  <c r="G10" i="44"/>
  <c r="H10" i="44"/>
  <c r="H47" i="44"/>
  <c r="I10" i="44"/>
  <c r="J10" i="44"/>
  <c r="D47" i="44"/>
  <c r="E47" i="44"/>
  <c r="I47" i="44"/>
  <c r="D48" i="44"/>
  <c r="E48" i="44"/>
  <c r="H48" i="44"/>
  <c r="I48" i="44"/>
  <c r="D49" i="44"/>
  <c r="E49" i="44"/>
  <c r="F49" i="44"/>
  <c r="H49" i="44"/>
  <c r="I49" i="44"/>
  <c r="D50" i="44"/>
  <c r="E50" i="44"/>
  <c r="H50" i="44"/>
  <c r="I50" i="44"/>
  <c r="B98" i="44"/>
  <c r="C98" i="44"/>
  <c r="D98" i="44"/>
  <c r="D100" i="44"/>
  <c r="E98" i="44"/>
  <c r="E100" i="44"/>
  <c r="F98" i="44"/>
  <c r="G98" i="44"/>
  <c r="G100" i="44"/>
  <c r="H98" i="44"/>
  <c r="I98" i="44"/>
  <c r="I100" i="44"/>
  <c r="J98" i="44"/>
  <c r="F100" i="44"/>
  <c r="H100" i="44"/>
  <c r="B102" i="44"/>
  <c r="C102" i="44"/>
  <c r="C104" i="44"/>
  <c r="D102" i="44"/>
  <c r="E102" i="44"/>
  <c r="E104" i="44"/>
  <c r="F102" i="44"/>
  <c r="F104" i="44"/>
  <c r="G102" i="44"/>
  <c r="H102" i="44"/>
  <c r="H104" i="44"/>
  <c r="I102" i="44"/>
  <c r="I104" i="44"/>
  <c r="J102" i="44"/>
  <c r="J104" i="44"/>
  <c r="D104" i="44"/>
  <c r="B106" i="44"/>
  <c r="C106" i="44"/>
  <c r="D106" i="44"/>
  <c r="E106" i="44"/>
  <c r="F106" i="44"/>
  <c r="G106" i="44"/>
  <c r="H106" i="44"/>
  <c r="I106" i="44"/>
  <c r="J106" i="44"/>
  <c r="F2" i="8"/>
  <c r="C2" i="1"/>
  <c r="I12" i="24"/>
  <c r="F13" i="24"/>
  <c r="F15" i="24"/>
  <c r="F17" i="24"/>
  <c r="F19" i="24"/>
  <c r="F21" i="24"/>
  <c r="F23" i="24"/>
  <c r="F25" i="24"/>
  <c r="I27" i="24"/>
  <c r="F34" i="24"/>
  <c r="G17" i="19"/>
  <c r="J32" i="19"/>
  <c r="G43" i="19"/>
  <c r="D16" i="39"/>
  <c r="D23" i="39"/>
  <c r="L46" i="39"/>
  <c r="D17" i="40"/>
  <c r="E23" i="40"/>
  <c r="F23" i="40"/>
  <c r="G23" i="40"/>
  <c r="H23" i="40"/>
  <c r="I23" i="40"/>
  <c r="J23" i="40"/>
  <c r="K23" i="40"/>
  <c r="L23" i="40"/>
  <c r="M23" i="40"/>
  <c r="F27" i="40"/>
  <c r="G27" i="40"/>
  <c r="H27" i="40"/>
  <c r="I27" i="40"/>
  <c r="J27" i="40"/>
  <c r="K27" i="40"/>
  <c r="L27" i="40"/>
  <c r="M27" i="40"/>
  <c r="E33" i="40"/>
  <c r="D88" i="34"/>
  <c r="E94" i="34"/>
  <c r="D16" i="37"/>
  <c r="E16" i="37"/>
  <c r="F16" i="37"/>
  <c r="L46" i="37"/>
  <c r="D17" i="38"/>
  <c r="E23" i="38"/>
  <c r="F23" i="38"/>
  <c r="G23" i="38"/>
  <c r="H23" i="38"/>
  <c r="I23" i="38"/>
  <c r="J23" i="38"/>
  <c r="K23" i="38"/>
  <c r="L23" i="38"/>
  <c r="M23" i="38"/>
  <c r="F27" i="38"/>
  <c r="G27" i="38"/>
  <c r="H27" i="38"/>
  <c r="I27" i="38"/>
  <c r="J27" i="38"/>
  <c r="K27" i="38"/>
  <c r="L27" i="38"/>
  <c r="M27" i="38"/>
  <c r="E33" i="38"/>
  <c r="D16" i="35"/>
  <c r="L46" i="35"/>
  <c r="D17" i="36"/>
  <c r="E23" i="36"/>
  <c r="F23" i="36"/>
  <c r="G23" i="36"/>
  <c r="H23" i="36"/>
  <c r="I23" i="36"/>
  <c r="J23" i="36"/>
  <c r="K23" i="36"/>
  <c r="L23" i="36"/>
  <c r="M23" i="36"/>
  <c r="F27" i="36"/>
  <c r="G27" i="36"/>
  <c r="H27" i="36"/>
  <c r="I27" i="36"/>
  <c r="J27" i="36"/>
  <c r="K27" i="36"/>
  <c r="L27" i="36"/>
  <c r="M27" i="36"/>
  <c r="E33" i="36"/>
  <c r="L31" i="34"/>
  <c r="L32" i="34"/>
  <c r="L33" i="34"/>
  <c r="L34" i="34"/>
  <c r="L35" i="34"/>
  <c r="L36" i="34"/>
  <c r="L37" i="34"/>
  <c r="L39" i="34"/>
  <c r="L41" i="34"/>
  <c r="L43" i="34"/>
  <c r="L42" i="34"/>
  <c r="L44" i="34"/>
  <c r="L46" i="34"/>
  <c r="L48" i="34"/>
  <c r="L45" i="34"/>
  <c r="D62" i="34"/>
  <c r="E62" i="34"/>
  <c r="E70" i="34"/>
  <c r="E77" i="34"/>
  <c r="E84" i="34"/>
  <c r="F62" i="34"/>
  <c r="F70" i="34"/>
  <c r="F77" i="34"/>
  <c r="F84" i="34"/>
  <c r="G62" i="34"/>
  <c r="H62" i="34"/>
  <c r="I62" i="34"/>
  <c r="I70" i="34"/>
  <c r="I77" i="34"/>
  <c r="I84" i="34"/>
  <c r="J62" i="34"/>
  <c r="J70" i="34"/>
  <c r="J77" i="34"/>
  <c r="J84" i="34"/>
  <c r="K62" i="34"/>
  <c r="L62" i="34"/>
  <c r="L70" i="34"/>
  <c r="L77" i="34"/>
  <c r="L84" i="34"/>
  <c r="D70" i="34"/>
  <c r="D77" i="34"/>
  <c r="D84" i="34"/>
  <c r="G70" i="34"/>
  <c r="G77" i="34"/>
  <c r="G84" i="34"/>
  <c r="H70" i="34"/>
  <c r="H77" i="34"/>
  <c r="H84" i="34"/>
  <c r="K70" i="34"/>
  <c r="K77" i="34"/>
  <c r="K84" i="34"/>
  <c r="D74" i="34"/>
  <c r="E93" i="34"/>
  <c r="D81" i="34"/>
  <c r="E104" i="34"/>
  <c r="J644" i="33"/>
  <c r="I749" i="33"/>
  <c r="I770" i="33"/>
  <c r="I787" i="33"/>
  <c r="I821" i="33"/>
  <c r="H840" i="33"/>
  <c r="K644" i="33"/>
  <c r="F32" i="59"/>
  <c r="F71" i="5"/>
  <c r="F18" i="6"/>
  <c r="G32" i="59"/>
  <c r="D24" i="13"/>
  <c r="D14" i="20"/>
  <c r="C15" i="20"/>
  <c r="D15" i="20"/>
  <c r="F15" i="20"/>
  <c r="J122" i="28"/>
  <c r="C10" i="51"/>
  <c r="R52" i="28"/>
  <c r="M216" i="33"/>
  <c r="J39" i="28"/>
  <c r="G86" i="29"/>
  <c r="E197" i="33"/>
  <c r="R120" i="28"/>
  <c r="D22" i="49"/>
  <c r="M30" i="23"/>
  <c r="M31" i="23"/>
  <c r="M25" i="23"/>
  <c r="G15" i="20"/>
  <c r="F14" i="20"/>
  <c r="F38" i="25"/>
  <c r="F27" i="24"/>
  <c r="F36" i="24"/>
  <c r="F32" i="24"/>
  <c r="I28" i="24"/>
  <c r="E147" i="60"/>
  <c r="E148" i="60"/>
  <c r="E149" i="60"/>
  <c r="I57" i="25"/>
  <c r="K57" i="25"/>
  <c r="G169" i="60"/>
  <c r="G171" i="60"/>
  <c r="I67" i="25"/>
  <c r="F37" i="60"/>
  <c r="F40" i="25"/>
  <c r="E13" i="60"/>
  <c r="E15" i="60"/>
  <c r="F67" i="32"/>
  <c r="F142" i="32"/>
  <c r="G71" i="5"/>
  <c r="G18" i="6"/>
  <c r="D5" i="44"/>
  <c r="E16" i="35"/>
  <c r="F48" i="44"/>
  <c r="F50" i="44"/>
  <c r="B47" i="44"/>
  <c r="B49" i="44"/>
  <c r="B104" i="44"/>
  <c r="B48" i="44"/>
  <c r="B50" i="44"/>
  <c r="F47" i="44"/>
  <c r="J100" i="44"/>
  <c r="E15" i="48"/>
  <c r="E18" i="48"/>
  <c r="G23" i="49"/>
  <c r="E16" i="39"/>
  <c r="B100" i="44"/>
  <c r="G47" i="44"/>
  <c r="G48" i="44"/>
  <c r="G49" i="44"/>
  <c r="G50" i="44"/>
  <c r="G104" i="44"/>
  <c r="C47" i="44"/>
  <c r="C48" i="44"/>
  <c r="C49" i="44"/>
  <c r="C50" i="44"/>
  <c r="C100" i="44"/>
  <c r="Q24" i="18"/>
  <c r="Q30" i="18"/>
  <c r="D15" i="48"/>
  <c r="D18" i="48"/>
  <c r="F23" i="18"/>
  <c r="C29" i="18"/>
  <c r="T70" i="31"/>
  <c r="E34" i="59"/>
  <c r="F34" i="59"/>
  <c r="G34" i="59"/>
  <c r="G18" i="20"/>
  <c r="C19" i="20"/>
  <c r="I460" i="33"/>
  <c r="J734" i="33"/>
  <c r="C15" i="48"/>
  <c r="C18" i="48"/>
  <c r="E6" i="50"/>
  <c r="F21" i="25"/>
  <c r="I9" i="25"/>
  <c r="B4" i="47"/>
  <c r="B21" i="49"/>
  <c r="H21" i="49"/>
  <c r="C21" i="49"/>
  <c r="I21" i="49"/>
  <c r="C7" i="49"/>
  <c r="C9" i="49"/>
  <c r="G22" i="49"/>
  <c r="H71" i="5"/>
  <c r="H18" i="6"/>
  <c r="F5" i="44"/>
  <c r="E5" i="44"/>
  <c r="H32" i="59"/>
  <c r="Q29" i="18"/>
  <c r="Q32" i="18"/>
  <c r="E7" i="50"/>
  <c r="E10" i="50"/>
  <c r="F16" i="39"/>
  <c r="F16" i="35"/>
  <c r="G16" i="35"/>
  <c r="G16" i="39"/>
  <c r="D13" i="35"/>
  <c r="D23" i="35"/>
  <c r="D13" i="37"/>
  <c r="D23" i="37"/>
  <c r="D15" i="6"/>
  <c r="D27" i="6"/>
  <c r="F79" i="5"/>
  <c r="E13" i="39"/>
  <c r="E23" i="39"/>
  <c r="E30" i="39"/>
  <c r="F77" i="5"/>
  <c r="D13" i="6"/>
  <c r="D25" i="6"/>
  <c r="D21" i="20"/>
  <c r="F21" i="20"/>
  <c r="F18" i="20"/>
  <c r="G79" i="5"/>
  <c r="F15" i="6"/>
  <c r="F27" i="6"/>
  <c r="E15" i="6"/>
  <c r="E27" i="6"/>
  <c r="E13" i="35"/>
  <c r="E23" i="35"/>
  <c r="G21" i="20"/>
  <c r="H79" i="5"/>
  <c r="I79" i="5"/>
  <c r="C22" i="20"/>
  <c r="G33" i="16"/>
  <c r="H33" i="16"/>
  <c r="J120" i="28"/>
  <c r="K39" i="28"/>
  <c r="H86" i="29"/>
  <c r="F197" i="33"/>
  <c r="R152" i="28"/>
  <c r="R159" i="28"/>
  <c r="AE159" i="28"/>
  <c r="C23" i="49"/>
  <c r="C24" i="49"/>
  <c r="C25" i="49"/>
  <c r="B23" i="49"/>
  <c r="H10" i="50"/>
  <c r="I40" i="51"/>
  <c r="F22" i="49"/>
  <c r="P35" i="28"/>
  <c r="K196" i="33"/>
  <c r="M83" i="29"/>
  <c r="Q30" i="31"/>
  <c r="E53" i="20"/>
  <c r="J46" i="20"/>
  <c r="E34" i="13"/>
  <c r="E130" i="20"/>
  <c r="E131" i="20"/>
  <c r="E132" i="20"/>
  <c r="E133" i="20"/>
  <c r="E134" i="20"/>
  <c r="E135" i="20"/>
  <c r="E136" i="20"/>
  <c r="E137" i="20"/>
  <c r="E138" i="20"/>
  <c r="D12" i="35"/>
  <c r="D22" i="35"/>
  <c r="D30" i="35"/>
  <c r="D12" i="37"/>
  <c r="D22" i="37"/>
  <c r="D30" i="37"/>
  <c r="D12" i="39"/>
  <c r="D22" i="39"/>
  <c r="D30" i="39"/>
  <c r="D12" i="6"/>
  <c r="D24" i="6"/>
  <c r="D34" i="6"/>
  <c r="F76" i="5"/>
  <c r="E12" i="39"/>
  <c r="E22" i="39"/>
  <c r="E35" i="6"/>
  <c r="E12" i="35"/>
  <c r="E22" i="35"/>
  <c r="G76" i="5"/>
  <c r="F12" i="6"/>
  <c r="F24" i="6"/>
  <c r="F34" i="6"/>
  <c r="E12" i="37"/>
  <c r="E22" i="37"/>
  <c r="E12" i="6"/>
  <c r="E24" i="6"/>
  <c r="E34" i="6"/>
  <c r="F35" i="6"/>
  <c r="H32" i="27"/>
  <c r="F50" i="33"/>
  <c r="E33" i="59"/>
  <c r="E36" i="59"/>
  <c r="D36" i="6"/>
  <c r="H33" i="59"/>
  <c r="G33" i="59"/>
  <c r="F33" i="59"/>
  <c r="F36" i="59"/>
  <c r="E36" i="6"/>
  <c r="F308" i="33"/>
  <c r="G33" i="13"/>
  <c r="K120" i="28"/>
  <c r="F33" i="13"/>
  <c r="K122" i="28"/>
  <c r="D10" i="51"/>
  <c r="F336" i="33"/>
  <c r="K152" i="28"/>
  <c r="K34" i="31"/>
  <c r="E33" i="34"/>
  <c r="F343" i="33"/>
  <c r="D66" i="34"/>
  <c r="E92" i="34"/>
  <c r="E74" i="5"/>
  <c r="D10" i="35"/>
  <c r="D20" i="35"/>
  <c r="F74" i="5"/>
  <c r="E10" i="6"/>
  <c r="E22" i="6"/>
  <c r="E10" i="37"/>
  <c r="E20" i="37"/>
  <c r="K55" i="25"/>
  <c r="G16" i="37"/>
  <c r="E343" i="33"/>
  <c r="F677" i="33"/>
  <c r="G677" i="33"/>
  <c r="K35" i="5"/>
  <c r="I35" i="5"/>
  <c r="F35" i="5"/>
  <c r="H35" i="5"/>
  <c r="E62" i="5"/>
  <c r="E78" i="5"/>
  <c r="G35" i="5"/>
  <c r="J35" i="5"/>
  <c r="G644" i="33"/>
  <c r="F749" i="33"/>
  <c r="F770" i="33"/>
  <c r="F787" i="33"/>
  <c r="F821" i="33"/>
  <c r="I644" i="33"/>
  <c r="H749" i="33"/>
  <c r="H770" i="33"/>
  <c r="H787" i="33"/>
  <c r="H821" i="33"/>
  <c r="G840" i="33"/>
  <c r="G867" i="33"/>
  <c r="F31" i="25"/>
  <c r="F32" i="25"/>
  <c r="I26" i="25"/>
  <c r="K60" i="25"/>
  <c r="H18" i="16"/>
  <c r="G32" i="13"/>
  <c r="M48" i="33"/>
  <c r="O31" i="27"/>
  <c r="D34" i="35"/>
  <c r="D35" i="35"/>
  <c r="G35" i="6"/>
  <c r="E30" i="35"/>
  <c r="E139" i="20"/>
  <c r="E140" i="20"/>
  <c r="E141" i="20"/>
  <c r="E142" i="20"/>
  <c r="E143" i="20"/>
  <c r="E144" i="20"/>
  <c r="E145" i="20"/>
  <c r="E146" i="20"/>
  <c r="E147" i="20"/>
  <c r="E148" i="20"/>
  <c r="E149" i="20"/>
  <c r="E150" i="20"/>
  <c r="F12" i="35"/>
  <c r="F22" i="35"/>
  <c r="F12" i="37"/>
  <c r="F22" i="37"/>
  <c r="F30" i="37"/>
  <c r="H76" i="5"/>
  <c r="F12" i="39"/>
  <c r="F22" i="39"/>
  <c r="H16" i="35"/>
  <c r="E10" i="35"/>
  <c r="D10" i="6"/>
  <c r="D10" i="37"/>
  <c r="G32" i="27"/>
  <c r="E50" i="33"/>
  <c r="G74" i="5"/>
  <c r="H15" i="6"/>
  <c r="H27" i="6"/>
  <c r="H13" i="35"/>
  <c r="H13" i="37"/>
  <c r="J79" i="5"/>
  <c r="G13" i="39"/>
  <c r="G13" i="35"/>
  <c r="G23" i="35"/>
  <c r="G15" i="6"/>
  <c r="G27" i="6"/>
  <c r="G13" i="37"/>
  <c r="D19" i="20"/>
  <c r="G19" i="20"/>
  <c r="C20" i="20"/>
  <c r="H867" i="33"/>
  <c r="I840" i="33"/>
  <c r="M749" i="33"/>
  <c r="M770" i="33"/>
  <c r="M787" i="33"/>
  <c r="M821" i="33"/>
  <c r="N644" i="33"/>
  <c r="H748" i="33"/>
  <c r="H769" i="33"/>
  <c r="H786" i="33"/>
  <c r="K748" i="33"/>
  <c r="K769" i="33"/>
  <c r="K786" i="33"/>
  <c r="K568" i="33"/>
  <c r="L643" i="33"/>
  <c r="G748" i="33"/>
  <c r="G769" i="33"/>
  <c r="G786" i="33"/>
  <c r="H643" i="33"/>
  <c r="G568" i="33"/>
  <c r="F24" i="49"/>
  <c r="F25" i="49"/>
  <c r="F23" i="49"/>
  <c r="F42" i="25"/>
  <c r="I34" i="25"/>
  <c r="K34" i="25"/>
  <c r="D33" i="34"/>
  <c r="J152" i="28"/>
  <c r="H16" i="39"/>
  <c r="G23" i="39"/>
  <c r="E13" i="6"/>
  <c r="E25" i="6"/>
  <c r="G77" i="5"/>
  <c r="H13" i="39"/>
  <c r="E13" i="37"/>
  <c r="E23" i="37"/>
  <c r="E30" i="37"/>
  <c r="G22" i="20"/>
  <c r="C23" i="20"/>
  <c r="D22" i="20"/>
  <c r="F22" i="20"/>
  <c r="F13" i="37"/>
  <c r="F23" i="37"/>
  <c r="F13" i="35"/>
  <c r="F23" i="35"/>
  <c r="K67" i="25"/>
  <c r="F138" i="32"/>
  <c r="F48" i="32"/>
  <c r="L749" i="33"/>
  <c r="L770" i="33"/>
  <c r="L787" i="33"/>
  <c r="L821" i="33"/>
  <c r="M644" i="33"/>
  <c r="J643" i="33"/>
  <c r="I568" i="33"/>
  <c r="I748" i="33"/>
  <c r="I769" i="33"/>
  <c r="I786" i="33"/>
  <c r="F644" i="33"/>
  <c r="E749" i="33"/>
  <c r="K749" i="33"/>
  <c r="K770" i="33"/>
  <c r="K787" i="33"/>
  <c r="K821" i="33"/>
  <c r="L644" i="33"/>
  <c r="G749" i="33"/>
  <c r="G770" i="33"/>
  <c r="G787" i="33"/>
  <c r="G821" i="33"/>
  <c r="F840" i="33"/>
  <c r="F867" i="33"/>
  <c r="H644" i="33"/>
  <c r="M748" i="33"/>
  <c r="M769" i="33"/>
  <c r="M786" i="33"/>
  <c r="M568" i="33"/>
  <c r="N643" i="33"/>
  <c r="B7" i="50"/>
  <c r="B10" i="50"/>
  <c r="E41" i="57"/>
  <c r="E43" i="57"/>
  <c r="E44" i="57"/>
  <c r="E45" i="57"/>
  <c r="E36" i="57"/>
  <c r="E37" i="57"/>
  <c r="F177" i="60"/>
  <c r="F178" i="60"/>
  <c r="F179" i="60"/>
  <c r="I69" i="25"/>
  <c r="G52" i="60"/>
  <c r="I54" i="25"/>
  <c r="K54" i="25"/>
  <c r="G109" i="33"/>
  <c r="F19" i="20"/>
  <c r="G308" i="33"/>
  <c r="L122" i="28"/>
  <c r="E10" i="51"/>
  <c r="F37" i="5"/>
  <c r="G47" i="5"/>
  <c r="G46" i="5"/>
  <c r="F10" i="35"/>
  <c r="F10" i="37"/>
  <c r="F10" i="39"/>
  <c r="H74" i="5"/>
  <c r="F10" i="6"/>
  <c r="E20" i="35"/>
  <c r="G31" i="27"/>
  <c r="E48" i="33"/>
  <c r="H35" i="6"/>
  <c r="K26" i="25"/>
  <c r="I46" i="5"/>
  <c r="H37" i="5"/>
  <c r="H38" i="5"/>
  <c r="H109" i="33"/>
  <c r="G111" i="33"/>
  <c r="G114" i="33"/>
  <c r="G777" i="33"/>
  <c r="G346" i="33"/>
  <c r="D47" i="6"/>
  <c r="E47" i="6"/>
  <c r="F47" i="6"/>
  <c r="G47" i="6"/>
  <c r="H47" i="6"/>
  <c r="I47" i="6"/>
  <c r="J47" i="6"/>
  <c r="K47" i="6"/>
  <c r="L47" i="6"/>
  <c r="M47" i="6"/>
  <c r="F148" i="32"/>
  <c r="D43" i="35"/>
  <c r="E43" i="35"/>
  <c r="F43" i="35"/>
  <c r="G43" i="35"/>
  <c r="H43" i="35"/>
  <c r="I43" i="35"/>
  <c r="J43" i="35"/>
  <c r="K43" i="35"/>
  <c r="L43" i="35"/>
  <c r="D43" i="39"/>
  <c r="E43" i="39"/>
  <c r="F43" i="39"/>
  <c r="G43" i="39"/>
  <c r="H43" i="39"/>
  <c r="I43" i="39"/>
  <c r="J43" i="39"/>
  <c r="K43" i="39"/>
  <c r="L43" i="39"/>
  <c r="D43" i="37"/>
  <c r="E43" i="37"/>
  <c r="F43" i="37"/>
  <c r="G43" i="37"/>
  <c r="H43" i="37"/>
  <c r="I43" i="37"/>
  <c r="J43" i="37"/>
  <c r="K43" i="37"/>
  <c r="L43" i="37"/>
  <c r="I76" i="5"/>
  <c r="G12" i="39"/>
  <c r="G22" i="39"/>
  <c r="G30" i="39"/>
  <c r="G12" i="37"/>
  <c r="G12" i="6"/>
  <c r="G24" i="6"/>
  <c r="G34" i="6"/>
  <c r="G12" i="35"/>
  <c r="G22" i="35"/>
  <c r="G30" i="35"/>
  <c r="J159" i="28"/>
  <c r="C26" i="51"/>
  <c r="J34" i="31"/>
  <c r="D22" i="6"/>
  <c r="E840" i="33"/>
  <c r="E867" i="33"/>
  <c r="E821" i="33"/>
  <c r="F78" i="5"/>
  <c r="D14" i="6"/>
  <c r="D26" i="6"/>
  <c r="L46" i="5"/>
  <c r="K37" i="5"/>
  <c r="K38" i="5"/>
  <c r="F30" i="35"/>
  <c r="I62" i="25"/>
  <c r="F13" i="6"/>
  <c r="F25" i="6"/>
  <c r="H77" i="5"/>
  <c r="K46" i="5"/>
  <c r="J38" i="5"/>
  <c r="J37" i="5"/>
  <c r="K47" i="5"/>
  <c r="K49" i="5"/>
  <c r="I16" i="39"/>
  <c r="H23" i="39"/>
  <c r="I867" i="33"/>
  <c r="J840" i="33"/>
  <c r="I13" i="39"/>
  <c r="K79" i="5"/>
  <c r="I15" i="6"/>
  <c r="I13" i="35"/>
  <c r="I13" i="37"/>
  <c r="D20" i="37"/>
  <c r="I16" i="35"/>
  <c r="H23" i="35"/>
  <c r="G50" i="33"/>
  <c r="I32" i="27"/>
  <c r="I18" i="16"/>
  <c r="H32" i="13"/>
  <c r="M122" i="28"/>
  <c r="F10" i="51"/>
  <c r="G37" i="5"/>
  <c r="H47" i="5"/>
  <c r="H46" i="5"/>
  <c r="J46" i="5"/>
  <c r="I37" i="5"/>
  <c r="J47" i="5"/>
  <c r="G23" i="37"/>
  <c r="G30" i="37"/>
  <c r="G22" i="37"/>
  <c r="H16" i="37"/>
  <c r="H308" i="33"/>
  <c r="I23" i="35"/>
  <c r="J16" i="35"/>
  <c r="K840" i="33"/>
  <c r="J867" i="33"/>
  <c r="D39" i="6"/>
  <c r="D38" i="6"/>
  <c r="H50" i="33"/>
  <c r="J32" i="27"/>
  <c r="E34" i="35"/>
  <c r="E35" i="35"/>
  <c r="I74" i="5"/>
  <c r="G10" i="35"/>
  <c r="G10" i="6"/>
  <c r="G10" i="37"/>
  <c r="G10" i="39"/>
  <c r="F20" i="35"/>
  <c r="O46" i="5"/>
  <c r="G49" i="5"/>
  <c r="I38" i="5"/>
  <c r="D34" i="37"/>
  <c r="D35" i="37"/>
  <c r="C20" i="1"/>
  <c r="D20" i="1"/>
  <c r="J18" i="16"/>
  <c r="I32" i="13"/>
  <c r="I23" i="39"/>
  <c r="J16" i="39"/>
  <c r="E14" i="6"/>
  <c r="E26" i="6"/>
  <c r="G78" i="5"/>
  <c r="I35" i="6"/>
  <c r="F22" i="6"/>
  <c r="F20" i="37"/>
  <c r="G38" i="5"/>
  <c r="F38" i="5"/>
  <c r="I16" i="37"/>
  <c r="H23" i="37"/>
  <c r="J13" i="39"/>
  <c r="J13" i="37"/>
  <c r="J15" i="6"/>
  <c r="J13" i="35"/>
  <c r="L79" i="5"/>
  <c r="G13" i="6"/>
  <c r="G25" i="6"/>
  <c r="I77" i="5"/>
  <c r="H12" i="39"/>
  <c r="H22" i="39"/>
  <c r="H30" i="39"/>
  <c r="J76" i="5"/>
  <c r="H12" i="6"/>
  <c r="H24" i="6"/>
  <c r="H34" i="6"/>
  <c r="H12" i="37"/>
  <c r="H22" i="37"/>
  <c r="H30" i="37"/>
  <c r="H12" i="35"/>
  <c r="H22" i="35"/>
  <c r="H30" i="35"/>
  <c r="H777" i="33"/>
  <c r="H111" i="33"/>
  <c r="H114" i="33"/>
  <c r="I109" i="33"/>
  <c r="I111" i="33"/>
  <c r="I114" i="33"/>
  <c r="F20" i="39"/>
  <c r="H49" i="5"/>
  <c r="I308" i="33"/>
  <c r="N122" i="28"/>
  <c r="G10" i="51"/>
  <c r="M79" i="5"/>
  <c r="K13" i="37"/>
  <c r="K13" i="35"/>
  <c r="K15" i="6"/>
  <c r="K13" i="39"/>
  <c r="G20" i="39"/>
  <c r="G20" i="35"/>
  <c r="K16" i="35"/>
  <c r="J23" i="35"/>
  <c r="J35" i="6"/>
  <c r="H10" i="35"/>
  <c r="H10" i="6"/>
  <c r="H10" i="39"/>
  <c r="H10" i="37"/>
  <c r="J74" i="5"/>
  <c r="I346" i="33"/>
  <c r="J109" i="33"/>
  <c r="F34" i="37"/>
  <c r="F35" i="37"/>
  <c r="H78" i="5"/>
  <c r="F14" i="6"/>
  <c r="F26" i="6"/>
  <c r="F35" i="35"/>
  <c r="F34" i="35"/>
  <c r="G22" i="6"/>
  <c r="L840" i="33"/>
  <c r="K867" i="33"/>
  <c r="F39" i="6"/>
  <c r="F38" i="6"/>
  <c r="G20" i="37"/>
  <c r="F35" i="39"/>
  <c r="F34" i="39"/>
  <c r="I12" i="39"/>
  <c r="I22" i="39"/>
  <c r="I30" i="39"/>
  <c r="I12" i="37"/>
  <c r="I22" i="37"/>
  <c r="I12" i="6"/>
  <c r="I12" i="35"/>
  <c r="I22" i="35"/>
  <c r="I30" i="35"/>
  <c r="K76" i="5"/>
  <c r="J77" i="5"/>
  <c r="H13" i="6"/>
  <c r="H25" i="6"/>
  <c r="J16" i="37"/>
  <c r="I23" i="37"/>
  <c r="I30" i="37"/>
  <c r="I50" i="33"/>
  <c r="K32" i="27"/>
  <c r="K16" i="39"/>
  <c r="J23" i="39"/>
  <c r="K18" i="16"/>
  <c r="J32" i="13"/>
  <c r="K23" i="39"/>
  <c r="L16" i="39"/>
  <c r="M840" i="33"/>
  <c r="M867" i="33"/>
  <c r="L867" i="33"/>
  <c r="J777" i="33"/>
  <c r="J111" i="33"/>
  <c r="J114" i="33"/>
  <c r="K109" i="33"/>
  <c r="H22" i="6"/>
  <c r="L13" i="39"/>
  <c r="L23" i="39"/>
  <c r="L13" i="35"/>
  <c r="L13" i="37"/>
  <c r="N79" i="5"/>
  <c r="M15" i="6"/>
  <c r="M27" i="6"/>
  <c r="L15" i="6"/>
  <c r="L27" i="6"/>
  <c r="O122" i="28"/>
  <c r="H10" i="51"/>
  <c r="J308" i="33"/>
  <c r="H20" i="39"/>
  <c r="L32" i="27"/>
  <c r="J50" i="33"/>
  <c r="G34" i="39"/>
  <c r="G35" i="39"/>
  <c r="J346" i="33"/>
  <c r="K346" i="33"/>
  <c r="L346" i="33"/>
  <c r="K16" i="37"/>
  <c r="J23" i="37"/>
  <c r="I10" i="35"/>
  <c r="I10" i="39"/>
  <c r="K74" i="5"/>
  <c r="I10" i="37"/>
  <c r="I10" i="6"/>
  <c r="H20" i="35"/>
  <c r="L18" i="16"/>
  <c r="K32" i="13"/>
  <c r="K77" i="5"/>
  <c r="I13" i="6"/>
  <c r="J12" i="6"/>
  <c r="L76" i="5"/>
  <c r="J12" i="37"/>
  <c r="J22" i="37"/>
  <c r="J30" i="37"/>
  <c r="J12" i="35"/>
  <c r="J22" i="35"/>
  <c r="J30" i="35"/>
  <c r="J12" i="39"/>
  <c r="J22" i="39"/>
  <c r="J30" i="39"/>
  <c r="G35" i="37"/>
  <c r="G34" i="37"/>
  <c r="G38" i="6"/>
  <c r="G39" i="6"/>
  <c r="G14" i="6"/>
  <c r="G26" i="6"/>
  <c r="I78" i="5"/>
  <c r="H20" i="37"/>
  <c r="K35" i="6"/>
  <c r="L16" i="35"/>
  <c r="K23" i="35"/>
  <c r="L23" i="35"/>
  <c r="G35" i="35"/>
  <c r="G34" i="35"/>
  <c r="I20" i="39"/>
  <c r="K12" i="39"/>
  <c r="K22" i="39"/>
  <c r="K30" i="39"/>
  <c r="K12" i="37"/>
  <c r="K12" i="35"/>
  <c r="K22" i="35"/>
  <c r="K30" i="35"/>
  <c r="K12" i="6"/>
  <c r="M76" i="5"/>
  <c r="P122" i="28"/>
  <c r="K308" i="33"/>
  <c r="L74" i="5"/>
  <c r="J10" i="37"/>
  <c r="J10" i="39"/>
  <c r="J10" i="6"/>
  <c r="J10" i="35"/>
  <c r="K111" i="33"/>
  <c r="K114" i="33"/>
  <c r="K777" i="33"/>
  <c r="L109" i="33"/>
  <c r="L777" i="33"/>
  <c r="J78" i="5"/>
  <c r="H14" i="6"/>
  <c r="H26" i="6"/>
  <c r="J13" i="6"/>
  <c r="L77" i="5"/>
  <c r="H34" i="35"/>
  <c r="H35" i="35"/>
  <c r="I20" i="37"/>
  <c r="H34" i="39"/>
  <c r="H35" i="39"/>
  <c r="M32" i="27"/>
  <c r="K50" i="33"/>
  <c r="H35" i="37"/>
  <c r="H34" i="37"/>
  <c r="M18" i="16"/>
  <c r="L308" i="33"/>
  <c r="L32" i="13"/>
  <c r="I20" i="35"/>
  <c r="L16" i="37"/>
  <c r="K22" i="37"/>
  <c r="K30" i="37"/>
  <c r="K23" i="37"/>
  <c r="L23" i="37"/>
  <c r="H38" i="6"/>
  <c r="H39" i="6"/>
  <c r="Q122" i="28"/>
  <c r="M77" i="5"/>
  <c r="N77" i="5"/>
  <c r="M13" i="6"/>
  <c r="K13" i="6"/>
  <c r="I35" i="37"/>
  <c r="I34" i="37"/>
  <c r="L12" i="35"/>
  <c r="L22" i="35"/>
  <c r="L30" i="35"/>
  <c r="N76" i="5"/>
  <c r="M12" i="6"/>
  <c r="M24" i="6"/>
  <c r="M34" i="6"/>
  <c r="L12" i="6"/>
  <c r="L24" i="6"/>
  <c r="L34" i="6"/>
  <c r="L12" i="37"/>
  <c r="L22" i="37"/>
  <c r="L30" i="37"/>
  <c r="L12" i="39"/>
  <c r="L22" i="39"/>
  <c r="L30" i="39"/>
  <c r="I34" i="39"/>
  <c r="I35" i="39"/>
  <c r="L111" i="33"/>
  <c r="L114" i="33"/>
  <c r="J20" i="39"/>
  <c r="J35" i="39"/>
  <c r="J20" i="35"/>
  <c r="J35" i="35"/>
  <c r="M74" i="5"/>
  <c r="K10" i="6"/>
  <c r="K10" i="39"/>
  <c r="K10" i="35"/>
  <c r="K20" i="35"/>
  <c r="K10" i="37"/>
  <c r="N32" i="27"/>
  <c r="L50" i="33"/>
  <c r="I34" i="35"/>
  <c r="I35" i="35"/>
  <c r="N18" i="16"/>
  <c r="M32" i="13"/>
  <c r="I14" i="6"/>
  <c r="K78" i="5"/>
  <c r="J20" i="37"/>
  <c r="M308" i="33"/>
  <c r="R122" i="28"/>
  <c r="K20" i="37"/>
  <c r="J34" i="39"/>
  <c r="N32" i="13"/>
  <c r="K20" i="39"/>
  <c r="J34" i="37"/>
  <c r="J35" i="37"/>
  <c r="M25" i="6"/>
  <c r="N74" i="5"/>
  <c r="L10" i="35"/>
  <c r="L10" i="37"/>
  <c r="L10" i="39"/>
  <c r="L10" i="6"/>
  <c r="L20" i="39"/>
  <c r="M10" i="6"/>
  <c r="M22" i="6"/>
  <c r="K35" i="37"/>
  <c r="K34" i="37"/>
  <c r="L22" i="6"/>
  <c r="L20" i="35"/>
  <c r="L35" i="35"/>
  <c r="L20" i="37"/>
  <c r="L39" i="6"/>
  <c r="L38" i="6"/>
  <c r="L34" i="39"/>
  <c r="L35" i="39"/>
  <c r="L35" i="37"/>
  <c r="L34" i="37"/>
  <c r="M38" i="6"/>
  <c r="M39" i="6"/>
  <c r="M797" i="33"/>
  <c r="M820" i="33"/>
  <c r="M839" i="33"/>
  <c r="M866" i="33"/>
  <c r="E748" i="33"/>
  <c r="E769" i="33"/>
  <c r="E786" i="33"/>
  <c r="F643" i="33"/>
  <c r="E568" i="33"/>
  <c r="G820" i="33"/>
  <c r="G839" i="33"/>
  <c r="G866" i="33"/>
  <c r="G797" i="33"/>
  <c r="J568" i="33"/>
  <c r="J748" i="33"/>
  <c r="J769" i="33"/>
  <c r="J786" i="33"/>
  <c r="K643" i="33"/>
  <c r="G643" i="33"/>
  <c r="F748" i="33"/>
  <c r="F769" i="33"/>
  <c r="F786" i="33"/>
  <c r="F568" i="33"/>
  <c r="L568" i="33"/>
  <c r="H568" i="33"/>
  <c r="K159" i="28"/>
  <c r="D26" i="51"/>
  <c r="M643" i="33"/>
  <c r="D129" i="9"/>
  <c r="D14" i="9"/>
  <c r="D73" i="9"/>
  <c r="D77" i="9"/>
  <c r="E73" i="9"/>
  <c r="E77" i="9"/>
  <c r="F73" i="9"/>
  <c r="F77" i="9"/>
  <c r="G73" i="9"/>
  <c r="G77" i="9"/>
  <c r="H73" i="9"/>
  <c r="H77" i="9"/>
  <c r="I73" i="9"/>
  <c r="I77" i="9"/>
  <c r="J73" i="9"/>
  <c r="J77" i="9"/>
  <c r="K73" i="9"/>
  <c r="K77" i="9"/>
  <c r="L73" i="9"/>
  <c r="L77" i="9"/>
  <c r="M73" i="9"/>
  <c r="M77" i="9"/>
  <c r="C26" i="1"/>
  <c r="D26" i="1"/>
  <c r="D28" i="13"/>
  <c r="E108" i="34"/>
  <c r="D15" i="13"/>
  <c r="J34" i="19"/>
  <c r="F53" i="34"/>
  <c r="E662" i="33"/>
  <c r="E29" i="16"/>
  <c r="D29" i="34"/>
  <c r="L34" i="35"/>
  <c r="J34" i="35"/>
  <c r="K35" i="39"/>
  <c r="K34" i="39"/>
  <c r="K34" i="35"/>
  <c r="K35" i="35"/>
  <c r="J14" i="6"/>
  <c r="L78" i="5"/>
  <c r="L13" i="6"/>
  <c r="L25" i="6"/>
  <c r="I820" i="33"/>
  <c r="I839" i="33"/>
  <c r="I866" i="33"/>
  <c r="I797" i="33"/>
  <c r="E151" i="20"/>
  <c r="E152" i="20"/>
  <c r="E153" i="20"/>
  <c r="E154" i="20"/>
  <c r="E155" i="20"/>
  <c r="E156" i="20"/>
  <c r="E157" i="20"/>
  <c r="E158" i="20"/>
  <c r="E159" i="20"/>
  <c r="E160" i="20"/>
  <c r="E161" i="20"/>
  <c r="E162" i="20"/>
  <c r="M66" i="25"/>
  <c r="K69" i="25"/>
  <c r="I82" i="25"/>
  <c r="G23" i="20"/>
  <c r="C24" i="20"/>
  <c r="D23" i="20"/>
  <c r="F23" i="20"/>
  <c r="K797" i="33"/>
  <c r="K820" i="33"/>
  <c r="K839" i="33"/>
  <c r="K866" i="33"/>
  <c r="M109" i="33"/>
  <c r="M346" i="33"/>
  <c r="J49" i="5"/>
  <c r="E797" i="33"/>
  <c r="E820" i="33"/>
  <c r="E839" i="33"/>
  <c r="E866" i="33"/>
  <c r="L797" i="33"/>
  <c r="L820" i="33"/>
  <c r="L839" i="33"/>
  <c r="L866" i="33"/>
  <c r="H797" i="33"/>
  <c r="H820" i="33"/>
  <c r="H839" i="33"/>
  <c r="H866" i="33"/>
  <c r="D20" i="20"/>
  <c r="G20" i="20"/>
  <c r="I777" i="33"/>
  <c r="J142" i="20"/>
  <c r="M34" i="13"/>
  <c r="E39" i="6"/>
  <c r="E38" i="6"/>
  <c r="L47" i="5"/>
  <c r="L49" i="5"/>
  <c r="I47" i="5"/>
  <c r="I49" i="5"/>
  <c r="K515" i="33"/>
  <c r="L672" i="33"/>
  <c r="I47" i="25"/>
  <c r="G36" i="59"/>
  <c r="F36" i="6"/>
  <c r="H34" i="59"/>
  <c r="E34" i="37"/>
  <c r="E35" i="37"/>
  <c r="I33" i="16"/>
  <c r="E10" i="39"/>
  <c r="D10" i="39"/>
  <c r="E54" i="20"/>
  <c r="F13" i="39"/>
  <c r="F23" i="39"/>
  <c r="F30" i="39"/>
  <c r="F29" i="16"/>
  <c r="I71" i="5"/>
  <c r="Q33" i="18"/>
  <c r="I18" i="6"/>
  <c r="I26" i="6"/>
  <c r="I32" i="59"/>
  <c r="I33" i="59"/>
  <c r="Q27" i="18"/>
  <c r="Q28" i="18"/>
  <c r="Q31" i="18"/>
  <c r="H19" i="16"/>
  <c r="L460" i="33"/>
  <c r="M734" i="33"/>
  <c r="N734" i="33"/>
  <c r="J728" i="33"/>
  <c r="K728" i="33"/>
  <c r="F728" i="33"/>
  <c r="G728" i="33"/>
  <c r="K721" i="33"/>
  <c r="L721" i="33"/>
  <c r="G721" i="33"/>
  <c r="H721" i="33"/>
  <c r="B24" i="49"/>
  <c r="B25" i="49"/>
  <c r="E24" i="49"/>
  <c r="E25" i="49"/>
  <c r="E23" i="49"/>
  <c r="M27" i="23"/>
  <c r="G6" i="50"/>
  <c r="C6" i="50"/>
  <c r="F111" i="33"/>
  <c r="F114" i="33"/>
  <c r="D23" i="49"/>
  <c r="F6" i="50"/>
  <c r="H16" i="23"/>
  <c r="F222" i="60"/>
  <c r="D6" i="50"/>
  <c r="J820" i="33"/>
  <c r="J839" i="33"/>
  <c r="J866" i="33"/>
  <c r="J797" i="33"/>
  <c r="D18" i="9"/>
  <c r="E14" i="9"/>
  <c r="E18" i="9"/>
  <c r="F14" i="9"/>
  <c r="F18" i="9"/>
  <c r="G14" i="9"/>
  <c r="G18" i="9"/>
  <c r="H14" i="9"/>
  <c r="H18" i="9"/>
  <c r="I14" i="9"/>
  <c r="I18" i="9"/>
  <c r="J14" i="9"/>
  <c r="J18" i="9"/>
  <c r="K14" i="9"/>
  <c r="K18" i="9"/>
  <c r="L14" i="9"/>
  <c r="L18" i="9"/>
  <c r="M14" i="9"/>
  <c r="M18" i="9"/>
  <c r="F797" i="33"/>
  <c r="F820" i="33"/>
  <c r="F839" i="33"/>
  <c r="F866" i="33"/>
  <c r="D18" i="34"/>
  <c r="G336" i="33"/>
  <c r="Q34" i="18"/>
  <c r="G29" i="16"/>
  <c r="G35" i="13"/>
  <c r="E29" i="34"/>
  <c r="F35" i="13"/>
  <c r="M39" i="28"/>
  <c r="J86" i="29"/>
  <c r="H197" i="33"/>
  <c r="I34" i="59"/>
  <c r="J34" i="59"/>
  <c r="K34" i="59"/>
  <c r="L34" i="59"/>
  <c r="H36" i="59"/>
  <c r="G36" i="6"/>
  <c r="K82" i="25"/>
  <c r="D42" i="35"/>
  <c r="E42" i="35"/>
  <c r="F42" i="35"/>
  <c r="G42" i="35"/>
  <c r="H42" i="35"/>
  <c r="I42" i="35"/>
  <c r="J42" i="35"/>
  <c r="K42" i="35"/>
  <c r="L42" i="35"/>
  <c r="D16" i="1"/>
  <c r="D42" i="37"/>
  <c r="E42" i="37"/>
  <c r="F42" i="37"/>
  <c r="G42" i="37"/>
  <c r="H42" i="37"/>
  <c r="I42" i="37"/>
  <c r="J42" i="37"/>
  <c r="K42" i="37"/>
  <c r="L42" i="37"/>
  <c r="D46" i="6"/>
  <c r="E46" i="6"/>
  <c r="F46" i="6"/>
  <c r="G46" i="6"/>
  <c r="H46" i="6"/>
  <c r="I46" i="6"/>
  <c r="J46" i="6"/>
  <c r="K46" i="6"/>
  <c r="L46" i="6"/>
  <c r="M46" i="6"/>
  <c r="D42" i="39"/>
  <c r="E42" i="39"/>
  <c r="F42" i="39"/>
  <c r="G42" i="39"/>
  <c r="H42" i="39"/>
  <c r="I42" i="39"/>
  <c r="J42" i="39"/>
  <c r="K42" i="39"/>
  <c r="L42" i="39"/>
  <c r="F7" i="50"/>
  <c r="F10" i="50"/>
  <c r="I19" i="16"/>
  <c r="H33" i="13"/>
  <c r="M120" i="28"/>
  <c r="E223" i="33"/>
  <c r="I36" i="59"/>
  <c r="H36" i="6"/>
  <c r="J33" i="16"/>
  <c r="K807" i="33"/>
  <c r="L31" i="16"/>
  <c r="F20" i="20"/>
  <c r="G10" i="50"/>
  <c r="G7" i="50"/>
  <c r="D10" i="50"/>
  <c r="D7" i="50"/>
  <c r="L39" i="28"/>
  <c r="I86" i="29"/>
  <c r="G197" i="33"/>
  <c r="D20" i="39"/>
  <c r="K47" i="25"/>
  <c r="D14" i="1"/>
  <c r="L15" i="1"/>
  <c r="M777" i="33"/>
  <c r="M111" i="33"/>
  <c r="M114" i="33"/>
  <c r="C7" i="50"/>
  <c r="C10" i="50"/>
  <c r="F225" i="60"/>
  <c r="F88" i="25"/>
  <c r="F89" i="25"/>
  <c r="I86" i="25"/>
  <c r="L120" i="28"/>
  <c r="J18" i="6"/>
  <c r="J26" i="6"/>
  <c r="G5" i="44"/>
  <c r="J32" i="59"/>
  <c r="J33" i="59"/>
  <c r="J36" i="59"/>
  <c r="I36" i="6"/>
  <c r="J71" i="5"/>
  <c r="I24" i="6"/>
  <c r="I27" i="6"/>
  <c r="I25" i="6"/>
  <c r="I22" i="6"/>
  <c r="E55" i="20"/>
  <c r="E56" i="20"/>
  <c r="E57" i="20"/>
  <c r="E58" i="20"/>
  <c r="E59" i="20"/>
  <c r="E60" i="20"/>
  <c r="E61" i="20"/>
  <c r="E62" i="20"/>
  <c r="E63" i="20"/>
  <c r="E64" i="20"/>
  <c r="E65" i="20"/>
  <c r="E66" i="20"/>
  <c r="E20" i="39"/>
  <c r="H31" i="27"/>
  <c r="F48" i="33"/>
  <c r="D24" i="20"/>
  <c r="F24" i="20"/>
  <c r="G24" i="20"/>
  <c r="C25" i="20"/>
  <c r="J150" i="20"/>
  <c r="N34" i="13"/>
  <c r="O47" i="5"/>
  <c r="O49" i="5"/>
  <c r="E59" i="5"/>
  <c r="M78" i="5"/>
  <c r="K14" i="6"/>
  <c r="J59" i="28"/>
  <c r="J22" i="31"/>
  <c r="E35" i="39"/>
  <c r="E34" i="39"/>
  <c r="G48" i="33"/>
  <c r="I31" i="27"/>
  <c r="F33" i="34"/>
  <c r="L152" i="28"/>
  <c r="I34" i="6"/>
  <c r="K86" i="25"/>
  <c r="I92" i="25"/>
  <c r="H336" i="33"/>
  <c r="H29" i="16"/>
  <c r="F29" i="34"/>
  <c r="H35" i="13"/>
  <c r="G343" i="33"/>
  <c r="H677" i="33"/>
  <c r="G25" i="20"/>
  <c r="C26" i="20"/>
  <c r="D25" i="20"/>
  <c r="F25" i="20"/>
  <c r="J58" i="20"/>
  <c r="I38" i="6"/>
  <c r="I39" i="6"/>
  <c r="H5" i="44"/>
  <c r="K18" i="6"/>
  <c r="K32" i="59"/>
  <c r="K33" i="59"/>
  <c r="K36" i="59"/>
  <c r="J36" i="6"/>
  <c r="K71" i="5"/>
  <c r="J27" i="6"/>
  <c r="J24" i="6"/>
  <c r="J22" i="6"/>
  <c r="J25" i="6"/>
  <c r="D45" i="6"/>
  <c r="D41" i="35"/>
  <c r="E41" i="35"/>
  <c r="F41" i="35"/>
  <c r="G41" i="35"/>
  <c r="H41" i="35"/>
  <c r="I41" i="35"/>
  <c r="J41" i="35"/>
  <c r="K41" i="35"/>
  <c r="L41" i="35"/>
  <c r="D41" i="39"/>
  <c r="E41" i="39"/>
  <c r="F41" i="39"/>
  <c r="G41" i="39"/>
  <c r="H41" i="39"/>
  <c r="I41" i="39"/>
  <c r="J41" i="39"/>
  <c r="K41" i="39"/>
  <c r="L41" i="39"/>
  <c r="D124" i="9"/>
  <c r="D41" i="37"/>
  <c r="E41" i="37"/>
  <c r="F41" i="37"/>
  <c r="G41" i="37"/>
  <c r="H41" i="37"/>
  <c r="I41" i="37"/>
  <c r="J41" i="37"/>
  <c r="K41" i="37"/>
  <c r="L41" i="37"/>
  <c r="E105" i="34"/>
  <c r="D35" i="39"/>
  <c r="D34" i="39"/>
  <c r="I197" i="33"/>
  <c r="N39" i="28"/>
  <c r="K86" i="29"/>
  <c r="E106" i="34"/>
  <c r="E75" i="5"/>
  <c r="E65" i="5"/>
  <c r="M31" i="16"/>
  <c r="N78" i="5"/>
  <c r="M14" i="6"/>
  <c r="M26" i="6"/>
  <c r="L14" i="6"/>
  <c r="L26" i="6"/>
  <c r="E67" i="20"/>
  <c r="Q35" i="28"/>
  <c r="K33" i="16"/>
  <c r="J19" i="16"/>
  <c r="N120" i="28"/>
  <c r="I33" i="13"/>
  <c r="F223" i="33"/>
  <c r="G662" i="33"/>
  <c r="E18" i="34"/>
  <c r="K59" i="28"/>
  <c r="C31" i="51"/>
  <c r="E68" i="20"/>
  <c r="E69" i="20"/>
  <c r="E70" i="20"/>
  <c r="E71" i="20"/>
  <c r="E72" i="20"/>
  <c r="E73" i="20"/>
  <c r="E74" i="20"/>
  <c r="E75" i="20"/>
  <c r="E76" i="20"/>
  <c r="E77" i="20"/>
  <c r="E78" i="20"/>
  <c r="D31" i="51"/>
  <c r="K22" i="31"/>
  <c r="O39" i="28"/>
  <c r="L86" i="29"/>
  <c r="J197" i="33"/>
  <c r="L196" i="33"/>
  <c r="J70" i="20"/>
  <c r="G34" i="13"/>
  <c r="R35" i="28"/>
  <c r="O83" i="29"/>
  <c r="J31" i="27"/>
  <c r="H48" i="33"/>
  <c r="J34" i="6"/>
  <c r="G223" i="33"/>
  <c r="L59" i="28"/>
  <c r="F18" i="34"/>
  <c r="L159" i="28"/>
  <c r="E26" i="51"/>
  <c r="L34" i="31"/>
  <c r="L33" i="16"/>
  <c r="L71" i="5"/>
  <c r="K27" i="6"/>
  <c r="L32" i="59"/>
  <c r="L33" i="59"/>
  <c r="L36" i="59"/>
  <c r="K36" i="6"/>
  <c r="I5" i="44"/>
  <c r="K25" i="6"/>
  <c r="K24" i="6"/>
  <c r="K22" i="6"/>
  <c r="I29" i="16"/>
  <c r="I35" i="13"/>
  <c r="G29" i="34"/>
  <c r="K31" i="27"/>
  <c r="I48" i="33"/>
  <c r="I336" i="33"/>
  <c r="X46" i="6"/>
  <c r="W42" i="35"/>
  <c r="D26" i="13"/>
  <c r="W42" i="39"/>
  <c r="W42" i="37"/>
  <c r="W41" i="37"/>
  <c r="D25" i="13"/>
  <c r="W41" i="39"/>
  <c r="W41" i="35"/>
  <c r="X45" i="6"/>
  <c r="G26" i="20"/>
  <c r="C27" i="20"/>
  <c r="D26" i="20"/>
  <c r="F26" i="20"/>
  <c r="G33" i="34"/>
  <c r="M152" i="28"/>
  <c r="E67" i="5"/>
  <c r="E80" i="5"/>
  <c r="E69" i="5"/>
  <c r="K19" i="16"/>
  <c r="J33" i="13"/>
  <c r="O120" i="28"/>
  <c r="R30" i="31"/>
  <c r="N83" i="29"/>
  <c r="L31" i="27"/>
  <c r="J48" i="33"/>
  <c r="D11" i="39"/>
  <c r="D11" i="37"/>
  <c r="E81" i="5"/>
  <c r="D11" i="35"/>
  <c r="C75" i="5"/>
  <c r="D11" i="6"/>
  <c r="F75" i="5"/>
  <c r="E45" i="6"/>
  <c r="J39" i="6"/>
  <c r="J38" i="6"/>
  <c r="F34" i="13"/>
  <c r="K26" i="6"/>
  <c r="H343" i="33"/>
  <c r="I677" i="33"/>
  <c r="K92" i="25"/>
  <c r="H124" i="9"/>
  <c r="D18" i="1"/>
  <c r="L47" i="25"/>
  <c r="G125" i="9"/>
  <c r="D125" i="9"/>
  <c r="E125" i="9"/>
  <c r="F125" i="9"/>
  <c r="E107" i="34"/>
  <c r="D21" i="35"/>
  <c r="D15" i="35"/>
  <c r="M33" i="16"/>
  <c r="M196" i="33"/>
  <c r="F45" i="6"/>
  <c r="G75" i="5"/>
  <c r="E11" i="35"/>
  <c r="E11" i="39"/>
  <c r="E11" i="6"/>
  <c r="E11" i="37"/>
  <c r="C77" i="5"/>
  <c r="C78" i="5"/>
  <c r="C76" i="5"/>
  <c r="C74" i="5"/>
  <c r="C79" i="5"/>
  <c r="J336" i="33"/>
  <c r="D14" i="39"/>
  <c r="D24" i="39"/>
  <c r="F80" i="5"/>
  <c r="C80" i="5"/>
  <c r="D14" i="35"/>
  <c r="D24" i="35"/>
  <c r="D16" i="6"/>
  <c r="D28" i="6"/>
  <c r="D14" i="37"/>
  <c r="D24" i="37"/>
  <c r="E31" i="51"/>
  <c r="L22" i="31"/>
  <c r="F31" i="16"/>
  <c r="I343" i="33"/>
  <c r="J677" i="33"/>
  <c r="D23" i="6"/>
  <c r="D17" i="6"/>
  <c r="D21" i="37"/>
  <c r="M34" i="31"/>
  <c r="M159" i="28"/>
  <c r="F26" i="51"/>
  <c r="D27" i="20"/>
  <c r="G27" i="20"/>
  <c r="C28" i="20"/>
  <c r="H33" i="34"/>
  <c r="N152" i="28"/>
  <c r="H29" i="34"/>
  <c r="J29" i="16"/>
  <c r="J35" i="13"/>
  <c r="K39" i="6"/>
  <c r="K38" i="6"/>
  <c r="E31" i="16"/>
  <c r="D21" i="39"/>
  <c r="D15" i="39"/>
  <c r="L19" i="16"/>
  <c r="K33" i="13"/>
  <c r="P120" i="28"/>
  <c r="H223" i="33"/>
  <c r="G18" i="34"/>
  <c r="M59" i="28"/>
  <c r="K34" i="6"/>
  <c r="P39" i="28"/>
  <c r="M86" i="29"/>
  <c r="K197" i="33"/>
  <c r="K48" i="33"/>
  <c r="M31" i="27"/>
  <c r="L515" i="33"/>
  <c r="M672" i="33"/>
  <c r="E79" i="20"/>
  <c r="E80" i="20"/>
  <c r="E81" i="20"/>
  <c r="E82" i="20"/>
  <c r="E83" i="20"/>
  <c r="E84" i="20"/>
  <c r="E85" i="20"/>
  <c r="E86" i="20"/>
  <c r="E87" i="20"/>
  <c r="E88" i="20"/>
  <c r="E89" i="20"/>
  <c r="E90" i="20"/>
  <c r="J82" i="20"/>
  <c r="H125" i="9"/>
  <c r="H34" i="13"/>
  <c r="M22" i="31"/>
  <c r="F31" i="51"/>
  <c r="N159" i="28"/>
  <c r="G26" i="51"/>
  <c r="N34" i="31"/>
  <c r="E16" i="6"/>
  <c r="E28" i="6"/>
  <c r="E14" i="37"/>
  <c r="E24" i="37"/>
  <c r="E14" i="39"/>
  <c r="E24" i="39"/>
  <c r="E14" i="35"/>
  <c r="E24" i="35"/>
  <c r="G80" i="5"/>
  <c r="I33" i="34"/>
  <c r="O152" i="28"/>
  <c r="E21" i="39"/>
  <c r="E15" i="39"/>
  <c r="E111" i="34"/>
  <c r="E91" i="20"/>
  <c r="E92" i="20"/>
  <c r="E93" i="20"/>
  <c r="E94" i="20"/>
  <c r="E95" i="20"/>
  <c r="E96" i="20"/>
  <c r="E97" i="20"/>
  <c r="E98" i="20"/>
  <c r="E99" i="20"/>
  <c r="E100" i="20"/>
  <c r="E101" i="20"/>
  <c r="E102" i="20"/>
  <c r="K336" i="33"/>
  <c r="I223" i="33"/>
  <c r="N59" i="28"/>
  <c r="H18" i="34"/>
  <c r="D33" i="6"/>
  <c r="D29" i="6"/>
  <c r="G16" i="27"/>
  <c r="D10" i="34"/>
  <c r="E21" i="35"/>
  <c r="E15" i="35"/>
  <c r="T15" i="35"/>
  <c r="G45" i="6"/>
  <c r="D25" i="35"/>
  <c r="D29" i="35"/>
  <c r="J35" i="28"/>
  <c r="L807" i="33"/>
  <c r="D29" i="39"/>
  <c r="D25" i="39"/>
  <c r="G28" i="20"/>
  <c r="C29" i="20"/>
  <c r="D28" i="20"/>
  <c r="D29" i="37"/>
  <c r="D25" i="37"/>
  <c r="K35" i="28"/>
  <c r="C81" i="5"/>
  <c r="E15" i="37"/>
  <c r="E21" i="37"/>
  <c r="F81" i="5"/>
  <c r="N672" i="33"/>
  <c r="M515" i="33"/>
  <c r="N33" i="16"/>
  <c r="Q120" i="28"/>
  <c r="L33" i="13"/>
  <c r="M33" i="13"/>
  <c r="L48" i="33"/>
  <c r="N31" i="27"/>
  <c r="K29" i="16"/>
  <c r="K35" i="13"/>
  <c r="I29" i="34"/>
  <c r="F27" i="20"/>
  <c r="D15" i="37"/>
  <c r="J343" i="33"/>
  <c r="K677" i="33"/>
  <c r="E23" i="6"/>
  <c r="E17" i="6"/>
  <c r="U17" i="6"/>
  <c r="H75" i="5"/>
  <c r="F11" i="39"/>
  <c r="G81" i="5"/>
  <c r="F11" i="35"/>
  <c r="F11" i="6"/>
  <c r="F11" i="37"/>
  <c r="L197" i="33"/>
  <c r="Q39" i="28"/>
  <c r="N86" i="29"/>
  <c r="O59" i="28"/>
  <c r="J223" i="33"/>
  <c r="I18" i="34"/>
  <c r="E29" i="37"/>
  <c r="E25" i="37"/>
  <c r="F196" i="33"/>
  <c r="E103" i="20"/>
  <c r="E104" i="20"/>
  <c r="E105" i="20"/>
  <c r="E106" i="20"/>
  <c r="E107" i="20"/>
  <c r="E108" i="20"/>
  <c r="E109" i="20"/>
  <c r="E110" i="20"/>
  <c r="E111" i="20"/>
  <c r="E112" i="20"/>
  <c r="E113" i="20"/>
  <c r="E114" i="20"/>
  <c r="J106" i="20"/>
  <c r="J34" i="13"/>
  <c r="F14" i="35"/>
  <c r="F24" i="35"/>
  <c r="F14" i="39"/>
  <c r="F24" i="39"/>
  <c r="F16" i="6"/>
  <c r="F28" i="6"/>
  <c r="H80" i="5"/>
  <c r="F14" i="37"/>
  <c r="F24" i="37"/>
  <c r="D27" i="13"/>
  <c r="F21" i="37"/>
  <c r="F15" i="37"/>
  <c r="U15" i="37"/>
  <c r="F21" i="39"/>
  <c r="F15" i="39"/>
  <c r="U15" i="39"/>
  <c r="T15" i="37"/>
  <c r="L30" i="31"/>
  <c r="D19" i="51"/>
  <c r="H83" i="29"/>
  <c r="D29" i="20"/>
  <c r="F29" i="20"/>
  <c r="G29" i="20"/>
  <c r="C30" i="20"/>
  <c r="G83" i="29"/>
  <c r="C19" i="51"/>
  <c r="K30" i="31"/>
  <c r="D39" i="35"/>
  <c r="D37" i="35"/>
  <c r="D36" i="35"/>
  <c r="D38" i="35"/>
  <c r="D31" i="35"/>
  <c r="E9" i="41"/>
  <c r="D32" i="35"/>
  <c r="D45" i="35"/>
  <c r="E25" i="35"/>
  <c r="E29" i="35"/>
  <c r="G12" i="27"/>
  <c r="G13" i="27"/>
  <c r="G15" i="27"/>
  <c r="E18" i="33"/>
  <c r="L677" i="33"/>
  <c r="K343" i="33"/>
  <c r="O159" i="28"/>
  <c r="H26" i="51"/>
  <c r="O34" i="31"/>
  <c r="G31" i="16"/>
  <c r="F28" i="20"/>
  <c r="J33" i="34"/>
  <c r="P152" i="28"/>
  <c r="E29" i="39"/>
  <c r="E25" i="39"/>
  <c r="E10" i="34"/>
  <c r="H16" i="27"/>
  <c r="F17" i="6"/>
  <c r="V17" i="6"/>
  <c r="F23" i="6"/>
  <c r="G11" i="6"/>
  <c r="G11" i="35"/>
  <c r="G11" i="39"/>
  <c r="H81" i="5"/>
  <c r="G11" i="37"/>
  <c r="I75" i="5"/>
  <c r="M807" i="33"/>
  <c r="D31" i="37"/>
  <c r="D36" i="37"/>
  <c r="D39" i="37"/>
  <c r="D38" i="37"/>
  <c r="D37" i="37"/>
  <c r="D32" i="37"/>
  <c r="D45" i="37"/>
  <c r="D38" i="39"/>
  <c r="D31" i="39"/>
  <c r="D37" i="39"/>
  <c r="D32" i="39"/>
  <c r="E9" i="43"/>
  <c r="D45" i="39"/>
  <c r="D36" i="39"/>
  <c r="D39" i="39"/>
  <c r="E196" i="33"/>
  <c r="D41" i="6"/>
  <c r="D42" i="6"/>
  <c r="D6" i="34"/>
  <c r="D9" i="34"/>
  <c r="B6" i="52"/>
  <c r="D49" i="6"/>
  <c r="D43" i="6"/>
  <c r="E12" i="8"/>
  <c r="D40" i="6"/>
  <c r="N22" i="31"/>
  <c r="G31" i="51"/>
  <c r="E29" i="6"/>
  <c r="E33" i="6"/>
  <c r="F15" i="35"/>
  <c r="U15" i="35"/>
  <c r="F21" i="35"/>
  <c r="J29" i="34"/>
  <c r="L29" i="16"/>
  <c r="L35" i="13"/>
  <c r="L336" i="33"/>
  <c r="M197" i="33"/>
  <c r="R39" i="28"/>
  <c r="O86" i="29"/>
  <c r="H45" i="6"/>
  <c r="E15" i="8"/>
  <c r="J94" i="20"/>
  <c r="T15" i="39"/>
  <c r="I45" i="6"/>
  <c r="F29" i="6"/>
  <c r="F33" i="6"/>
  <c r="E31" i="39"/>
  <c r="E38" i="39"/>
  <c r="E36" i="39"/>
  <c r="E39" i="39"/>
  <c r="F9" i="43"/>
  <c r="E45" i="39"/>
  <c r="E37" i="39"/>
  <c r="E32" i="39"/>
  <c r="G16" i="6"/>
  <c r="G28" i="6"/>
  <c r="G14" i="39"/>
  <c r="G24" i="39"/>
  <c r="G14" i="37"/>
  <c r="G24" i="37"/>
  <c r="I80" i="5"/>
  <c r="G14" i="35"/>
  <c r="G24" i="35"/>
  <c r="F15" i="8"/>
  <c r="G15" i="39"/>
  <c r="V15" i="39"/>
  <c r="G21" i="39"/>
  <c r="G30" i="20"/>
  <c r="D30" i="20"/>
  <c r="F30" i="20"/>
  <c r="C31" i="20"/>
  <c r="F10" i="34"/>
  <c r="I16" i="27"/>
  <c r="E115" i="20"/>
  <c r="E116" i="20"/>
  <c r="E117" i="20"/>
  <c r="E118" i="20"/>
  <c r="E119" i="20"/>
  <c r="E120" i="20"/>
  <c r="E121" i="20"/>
  <c r="E122" i="20"/>
  <c r="E123" i="20"/>
  <c r="E124" i="20"/>
  <c r="E125" i="20"/>
  <c r="E126" i="20"/>
  <c r="F9" i="41"/>
  <c r="E45" i="35"/>
  <c r="E36" i="35"/>
  <c r="E31" i="35"/>
  <c r="E37" i="35"/>
  <c r="E39" i="35"/>
  <c r="E38" i="35"/>
  <c r="E32" i="35"/>
  <c r="F29" i="37"/>
  <c r="F25" i="37"/>
  <c r="I31" i="16"/>
  <c r="O22" i="31"/>
  <c r="H31" i="51"/>
  <c r="I34" i="13"/>
  <c r="D44" i="39"/>
  <c r="D44" i="37"/>
  <c r="E30" i="8"/>
  <c r="E30" i="13"/>
  <c r="D48" i="6"/>
  <c r="D44" i="35"/>
  <c r="M29" i="16"/>
  <c r="M35" i="13"/>
  <c r="K29" i="34"/>
  <c r="P59" i="28"/>
  <c r="P22" i="31"/>
  <c r="J18" i="34"/>
  <c r="K223" i="33"/>
  <c r="F18" i="33"/>
  <c r="H12" i="27"/>
  <c r="H13" i="27"/>
  <c r="H15" i="27"/>
  <c r="J75" i="5"/>
  <c r="H11" i="37"/>
  <c r="H11" i="39"/>
  <c r="H11" i="6"/>
  <c r="H11" i="35"/>
  <c r="G15" i="35"/>
  <c r="V15" i="35"/>
  <c r="G21" i="35"/>
  <c r="L35" i="28"/>
  <c r="F29" i="39"/>
  <c r="F25" i="39"/>
  <c r="G25" i="27"/>
  <c r="G26" i="27"/>
  <c r="E42" i="33"/>
  <c r="N677" i="33"/>
  <c r="L343" i="33"/>
  <c r="M677" i="33"/>
  <c r="G17" i="27"/>
  <c r="H19" i="27"/>
  <c r="K56" i="31"/>
  <c r="F515" i="33"/>
  <c r="G672" i="33"/>
  <c r="Q152" i="28"/>
  <c r="K33" i="34"/>
  <c r="F29" i="35"/>
  <c r="F25" i="35"/>
  <c r="F12" i="8"/>
  <c r="E6" i="34"/>
  <c r="E43" i="6"/>
  <c r="C6" i="52"/>
  <c r="E40" i="6"/>
  <c r="E49" i="6"/>
  <c r="E41" i="6"/>
  <c r="E42" i="6"/>
  <c r="E31" i="8"/>
  <c r="E31" i="13"/>
  <c r="E19" i="8"/>
  <c r="E515" i="33"/>
  <c r="F672" i="33"/>
  <c r="G15" i="37"/>
  <c r="V15" i="37"/>
  <c r="G21" i="37"/>
  <c r="G23" i="6"/>
  <c r="G17" i="6"/>
  <c r="W17" i="6"/>
  <c r="P159" i="28"/>
  <c r="P34" i="31"/>
  <c r="E23" i="33"/>
  <c r="E29" i="33"/>
  <c r="E872" i="33"/>
  <c r="E37" i="37"/>
  <c r="E36" i="37"/>
  <c r="E31" i="37"/>
  <c r="E38" i="37"/>
  <c r="E45" i="37"/>
  <c r="E39" i="37"/>
  <c r="E32" i="37"/>
  <c r="H21" i="39"/>
  <c r="G31" i="20"/>
  <c r="D31" i="20"/>
  <c r="F31" i="20"/>
  <c r="C32" i="20"/>
  <c r="H14" i="35"/>
  <c r="H24" i="35"/>
  <c r="H14" i="39"/>
  <c r="H24" i="39"/>
  <c r="H16" i="6"/>
  <c r="H28" i="6"/>
  <c r="H14" i="37"/>
  <c r="H24" i="37"/>
  <c r="J80" i="5"/>
  <c r="G15" i="8"/>
  <c r="F704" i="33"/>
  <c r="E751" i="33"/>
  <c r="G33" i="6"/>
  <c r="G29" i="6"/>
  <c r="F807" i="33"/>
  <c r="E17" i="16"/>
  <c r="C9" i="51"/>
  <c r="E8" i="34"/>
  <c r="E9" i="34"/>
  <c r="E421" i="33"/>
  <c r="I81" i="5"/>
  <c r="L223" i="33"/>
  <c r="K18" i="34"/>
  <c r="Q59" i="28"/>
  <c r="Q22" i="31"/>
  <c r="H31" i="16"/>
  <c r="H25" i="27"/>
  <c r="H26" i="27"/>
  <c r="F42" i="33"/>
  <c r="I12" i="27"/>
  <c r="I13" i="27"/>
  <c r="I15" i="27"/>
  <c r="G18" i="33"/>
  <c r="G29" i="35"/>
  <c r="G25" i="35"/>
  <c r="F23" i="33"/>
  <c r="F29" i="33"/>
  <c r="F872" i="33"/>
  <c r="F37" i="37"/>
  <c r="F39" i="37"/>
  <c r="F31" i="37"/>
  <c r="F38" i="37"/>
  <c r="F32" i="37"/>
  <c r="F45" i="37"/>
  <c r="F36" i="37"/>
  <c r="G25" i="39"/>
  <c r="G29" i="39"/>
  <c r="J45" i="6"/>
  <c r="G29" i="37"/>
  <c r="G25" i="37"/>
  <c r="E19" i="51"/>
  <c r="M30" i="31"/>
  <c r="I83" i="29"/>
  <c r="H21" i="35"/>
  <c r="H15" i="35"/>
  <c r="W15" i="35"/>
  <c r="H21" i="37"/>
  <c r="H15" i="37"/>
  <c r="W15" i="37"/>
  <c r="E303" i="33"/>
  <c r="J115" i="28"/>
  <c r="D6" i="52"/>
  <c r="F40" i="6"/>
  <c r="F43" i="6"/>
  <c r="F42" i="6"/>
  <c r="F41" i="6"/>
  <c r="G12" i="8"/>
  <c r="F49" i="6"/>
  <c r="F6" i="34"/>
  <c r="F31" i="35"/>
  <c r="G9" i="41"/>
  <c r="F45" i="35"/>
  <c r="F38" i="35"/>
  <c r="F37" i="35"/>
  <c r="F39" i="35"/>
  <c r="F36" i="35"/>
  <c r="F32" i="35"/>
  <c r="Q159" i="28"/>
  <c r="R34" i="31"/>
  <c r="Q34" i="31"/>
  <c r="F36" i="39"/>
  <c r="F38" i="39"/>
  <c r="F39" i="39"/>
  <c r="G9" i="43"/>
  <c r="F37" i="39"/>
  <c r="F45" i="39"/>
  <c r="F32" i="39"/>
  <c r="F31" i="39"/>
  <c r="J130" i="20"/>
  <c r="L34" i="13"/>
  <c r="E127" i="20"/>
  <c r="E128" i="20"/>
  <c r="E163" i="20"/>
  <c r="J97" i="28"/>
  <c r="E278" i="33"/>
  <c r="F19" i="8"/>
  <c r="F31" i="8"/>
  <c r="F31" i="13"/>
  <c r="G807" i="33"/>
  <c r="G196" i="33"/>
  <c r="H23" i="6"/>
  <c r="H17" i="6"/>
  <c r="X17" i="6"/>
  <c r="I11" i="6"/>
  <c r="I11" i="39"/>
  <c r="I11" i="35"/>
  <c r="K75" i="5"/>
  <c r="J81" i="5"/>
  <c r="I11" i="37"/>
  <c r="I19" i="27"/>
  <c r="L56" i="31"/>
  <c r="H17" i="27"/>
  <c r="N29" i="16"/>
  <c r="L29" i="34"/>
  <c r="N35" i="28"/>
  <c r="J118" i="20"/>
  <c r="E44" i="37"/>
  <c r="E48" i="6"/>
  <c r="F30" i="8"/>
  <c r="F30" i="13"/>
  <c r="E44" i="39"/>
  <c r="E44" i="35"/>
  <c r="G10" i="34"/>
  <c r="N35" i="13"/>
  <c r="J11" i="37"/>
  <c r="J11" i="6"/>
  <c r="J11" i="39"/>
  <c r="L75" i="5"/>
  <c r="J11" i="35"/>
  <c r="J16" i="27"/>
  <c r="K34" i="13"/>
  <c r="J163" i="20"/>
  <c r="E88" i="33"/>
  <c r="G56" i="27"/>
  <c r="I21" i="35"/>
  <c r="F278" i="33"/>
  <c r="K97" i="28"/>
  <c r="I15" i="37"/>
  <c r="X15" i="37"/>
  <c r="I21" i="37"/>
  <c r="I21" i="39"/>
  <c r="F17" i="16"/>
  <c r="D9" i="51"/>
  <c r="F8" i="34"/>
  <c r="F9" i="34"/>
  <c r="G45" i="37"/>
  <c r="G38" i="37"/>
  <c r="G36" i="37"/>
  <c r="G32" i="37"/>
  <c r="G37" i="37"/>
  <c r="G31" i="37"/>
  <c r="G39" i="37"/>
  <c r="F421" i="33"/>
  <c r="H15" i="8"/>
  <c r="F44" i="39"/>
  <c r="F44" i="35"/>
  <c r="F48" i="6"/>
  <c r="F44" i="37"/>
  <c r="G30" i="8"/>
  <c r="G30" i="13"/>
  <c r="H15" i="39"/>
  <c r="W15" i="39"/>
  <c r="G19" i="51"/>
  <c r="O30" i="31"/>
  <c r="K83" i="29"/>
  <c r="I17" i="6"/>
  <c r="Y17" i="6"/>
  <c r="I23" i="6"/>
  <c r="G40" i="29"/>
  <c r="G44" i="29"/>
  <c r="J65" i="31"/>
  <c r="G26" i="29"/>
  <c r="J68" i="31"/>
  <c r="E432" i="33"/>
  <c r="E832" i="33"/>
  <c r="H29" i="37"/>
  <c r="H25" i="37"/>
  <c r="U22" i="31"/>
  <c r="T22" i="31"/>
  <c r="T24" i="31"/>
  <c r="G38" i="39"/>
  <c r="G37" i="39"/>
  <c r="H9" i="43"/>
  <c r="G36" i="39"/>
  <c r="G45" i="39"/>
  <c r="G31" i="39"/>
  <c r="G39" i="39"/>
  <c r="G32" i="39"/>
  <c r="F751" i="33"/>
  <c r="G704" i="33"/>
  <c r="F31" i="33"/>
  <c r="G872" i="33"/>
  <c r="G23" i="33"/>
  <c r="G29" i="33"/>
  <c r="H18" i="33"/>
  <c r="J12" i="27"/>
  <c r="J13" i="27"/>
  <c r="J15" i="27"/>
  <c r="I16" i="6"/>
  <c r="I28" i="6"/>
  <c r="I14" i="37"/>
  <c r="I24" i="37"/>
  <c r="I14" i="35"/>
  <c r="I24" i="35"/>
  <c r="K80" i="5"/>
  <c r="K81" i="5"/>
  <c r="I14" i="39"/>
  <c r="I24" i="39"/>
  <c r="G19" i="8"/>
  <c r="G31" i="8"/>
  <c r="G31" i="13"/>
  <c r="J19" i="27"/>
  <c r="M56" i="31"/>
  <c r="I17" i="27"/>
  <c r="I196" i="33"/>
  <c r="F303" i="33"/>
  <c r="K115" i="28"/>
  <c r="M223" i="33"/>
  <c r="M225" i="33"/>
  <c r="R59" i="28"/>
  <c r="L18" i="34"/>
  <c r="H33" i="6"/>
  <c r="H29" i="6"/>
  <c r="H672" i="33"/>
  <c r="G515" i="33"/>
  <c r="F732" i="33"/>
  <c r="E451" i="33"/>
  <c r="H25" i="35"/>
  <c r="H29" i="35"/>
  <c r="K45" i="6"/>
  <c r="G31" i="35"/>
  <c r="G45" i="35"/>
  <c r="G37" i="35"/>
  <c r="G32" i="35"/>
  <c r="G39" i="35"/>
  <c r="G38" i="35"/>
  <c r="H9" i="41"/>
  <c r="G36" i="35"/>
  <c r="M35" i="28"/>
  <c r="G40" i="6"/>
  <c r="G43" i="6"/>
  <c r="G42" i="6"/>
  <c r="H12" i="8"/>
  <c r="G6" i="34"/>
  <c r="E6" i="52"/>
  <c r="G41" i="6"/>
  <c r="G49" i="6"/>
  <c r="E800" i="33"/>
  <c r="G42" i="33"/>
  <c r="I25" i="27"/>
  <c r="I26" i="27"/>
  <c r="H10" i="34"/>
  <c r="G32" i="20"/>
  <c r="D32" i="20"/>
  <c r="F32" i="20"/>
  <c r="C33" i="20"/>
  <c r="H29" i="39"/>
  <c r="H25" i="39"/>
  <c r="I56" i="27"/>
  <c r="G88" i="33"/>
  <c r="H26" i="29"/>
  <c r="K68" i="31"/>
  <c r="H704" i="33"/>
  <c r="G31" i="33"/>
  <c r="G751" i="33"/>
  <c r="C34" i="20"/>
  <c r="G33" i="20"/>
  <c r="D33" i="20"/>
  <c r="F33" i="20"/>
  <c r="G421" i="33"/>
  <c r="L45" i="6"/>
  <c r="I18" i="33"/>
  <c r="K12" i="27"/>
  <c r="K13" i="27"/>
  <c r="K15" i="27"/>
  <c r="R61" i="28"/>
  <c r="R22" i="31"/>
  <c r="F832" i="33"/>
  <c r="F432" i="33"/>
  <c r="L97" i="28"/>
  <c r="G278" i="33"/>
  <c r="F800" i="33"/>
  <c r="G303" i="33"/>
  <c r="L115" i="28"/>
  <c r="I15" i="39"/>
  <c r="X15" i="39"/>
  <c r="G732" i="33"/>
  <c r="F451" i="33"/>
  <c r="J23" i="6"/>
  <c r="K16" i="27"/>
  <c r="E833" i="33"/>
  <c r="E453" i="33"/>
  <c r="E592" i="33"/>
  <c r="I12" i="8"/>
  <c r="H6" i="34"/>
  <c r="H40" i="6"/>
  <c r="H43" i="6"/>
  <c r="H42" i="6"/>
  <c r="F6" i="52"/>
  <c r="H49" i="6"/>
  <c r="H41" i="6"/>
  <c r="G17" i="16"/>
  <c r="E9" i="51"/>
  <c r="J17" i="27"/>
  <c r="J21" i="39"/>
  <c r="G8" i="34"/>
  <c r="G9" i="34"/>
  <c r="H196" i="33"/>
  <c r="I15" i="8"/>
  <c r="M843" i="33"/>
  <c r="J672" i="33"/>
  <c r="I515" i="33"/>
  <c r="I10" i="34"/>
  <c r="H872" i="33"/>
  <c r="H23" i="33"/>
  <c r="H29" i="33"/>
  <c r="E590" i="33"/>
  <c r="E434" i="33"/>
  <c r="F737" i="33"/>
  <c r="J25" i="27"/>
  <c r="J26" i="27"/>
  <c r="H42" i="33"/>
  <c r="I29" i="39"/>
  <c r="I25" i="39"/>
  <c r="K65" i="31"/>
  <c r="H40" i="29"/>
  <c r="H44" i="29"/>
  <c r="I29" i="35"/>
  <c r="I25" i="35"/>
  <c r="J21" i="35"/>
  <c r="J15" i="35"/>
  <c r="Y15" i="35"/>
  <c r="H39" i="39"/>
  <c r="H36" i="39"/>
  <c r="H31" i="39"/>
  <c r="H32" i="39"/>
  <c r="H45" i="39"/>
  <c r="I9" i="43"/>
  <c r="H38" i="39"/>
  <c r="H37" i="39"/>
  <c r="H19" i="8"/>
  <c r="H31" i="8"/>
  <c r="H31" i="13"/>
  <c r="J83" i="29"/>
  <c r="F19" i="51"/>
  <c r="T35" i="28"/>
  <c r="N30" i="31"/>
  <c r="H31" i="35"/>
  <c r="H36" i="35"/>
  <c r="H39" i="35"/>
  <c r="H38" i="35"/>
  <c r="H32" i="35"/>
  <c r="H45" i="35"/>
  <c r="I9" i="41"/>
  <c r="H37" i="35"/>
  <c r="H807" i="33"/>
  <c r="E3" i="45"/>
  <c r="J14" i="39"/>
  <c r="J24" i="39"/>
  <c r="L80" i="5"/>
  <c r="J14" i="35"/>
  <c r="J24" i="35"/>
  <c r="J16" i="6"/>
  <c r="J28" i="6"/>
  <c r="J14" i="37"/>
  <c r="J24" i="37"/>
  <c r="F88" i="33"/>
  <c r="H56" i="27"/>
  <c r="H31" i="37"/>
  <c r="H45" i="37"/>
  <c r="H37" i="37"/>
  <c r="H39" i="37"/>
  <c r="H38" i="37"/>
  <c r="H36" i="37"/>
  <c r="H32" i="37"/>
  <c r="I33" i="6"/>
  <c r="I29" i="6"/>
  <c r="V22" i="31"/>
  <c r="G44" i="37"/>
  <c r="G48" i="6"/>
  <c r="G44" i="39"/>
  <c r="G44" i="35"/>
  <c r="H30" i="8"/>
  <c r="H30" i="13"/>
  <c r="I29" i="37"/>
  <c r="I25" i="37"/>
  <c r="I15" i="35"/>
  <c r="X15" i="35"/>
  <c r="J31" i="16"/>
  <c r="M75" i="5"/>
  <c r="K11" i="35"/>
  <c r="K11" i="6"/>
  <c r="K11" i="37"/>
  <c r="K11" i="39"/>
  <c r="L81" i="5"/>
  <c r="J21" i="37"/>
  <c r="J15" i="37"/>
  <c r="Y15" i="37"/>
  <c r="K21" i="37"/>
  <c r="L16" i="27"/>
  <c r="J15" i="39"/>
  <c r="Y15" i="39"/>
  <c r="K17" i="27"/>
  <c r="J29" i="37"/>
  <c r="J25" i="37"/>
  <c r="K17" i="6"/>
  <c r="K23" i="6"/>
  <c r="O35" i="28"/>
  <c r="J15" i="8"/>
  <c r="J10" i="34"/>
  <c r="M16" i="27"/>
  <c r="J29" i="35"/>
  <c r="J25" i="35"/>
  <c r="H421" i="33"/>
  <c r="H31" i="33"/>
  <c r="I704" i="33"/>
  <c r="H751" i="33"/>
  <c r="J29" i="39"/>
  <c r="J25" i="39"/>
  <c r="K19" i="27"/>
  <c r="N56" i="31"/>
  <c r="H8" i="34"/>
  <c r="H9" i="34"/>
  <c r="L68" i="31"/>
  <c r="I26" i="29"/>
  <c r="F434" i="33"/>
  <c r="F590" i="33"/>
  <c r="G737" i="33"/>
  <c r="H17" i="16"/>
  <c r="F9" i="51"/>
  <c r="F453" i="33"/>
  <c r="F592" i="33"/>
  <c r="F833" i="33"/>
  <c r="G451" i="33"/>
  <c r="H732" i="33"/>
  <c r="K15" i="35"/>
  <c r="K21" i="35"/>
  <c r="H303" i="33"/>
  <c r="M115" i="28"/>
  <c r="I36" i="35"/>
  <c r="I37" i="35"/>
  <c r="I39" i="35"/>
  <c r="J9" i="41"/>
  <c r="I38" i="35"/>
  <c r="I45" i="35"/>
  <c r="I31" i="35"/>
  <c r="I32" i="35"/>
  <c r="I36" i="39"/>
  <c r="I38" i="39"/>
  <c r="I32" i="39"/>
  <c r="I45" i="39"/>
  <c r="J9" i="43"/>
  <c r="I39" i="39"/>
  <c r="I37" i="39"/>
  <c r="I31" i="39"/>
  <c r="J807" i="33"/>
  <c r="F3" i="45"/>
  <c r="J33" i="6"/>
  <c r="J29" i="6"/>
  <c r="I41" i="6"/>
  <c r="I43" i="6"/>
  <c r="J12" i="8"/>
  <c r="I49" i="6"/>
  <c r="G6" i="52"/>
  <c r="I40" i="6"/>
  <c r="I6" i="34"/>
  <c r="I42" i="6"/>
  <c r="I42" i="33"/>
  <c r="K25" i="27"/>
  <c r="K26" i="27"/>
  <c r="K21" i="39"/>
  <c r="L11" i="6"/>
  <c r="N75" i="5"/>
  <c r="L11" i="37"/>
  <c r="L11" i="39"/>
  <c r="L11" i="35"/>
  <c r="M81" i="5"/>
  <c r="I32" i="37"/>
  <c r="I31" i="37"/>
  <c r="I36" i="37"/>
  <c r="I39" i="37"/>
  <c r="I45" i="37"/>
  <c r="I37" i="37"/>
  <c r="I38" i="37"/>
  <c r="J18" i="33"/>
  <c r="L12" i="27"/>
  <c r="L13" i="27"/>
  <c r="L15" i="27"/>
  <c r="K16" i="6"/>
  <c r="K28" i="6"/>
  <c r="K14" i="35"/>
  <c r="K24" i="35"/>
  <c r="K14" i="37"/>
  <c r="K24" i="37"/>
  <c r="K14" i="39"/>
  <c r="K24" i="39"/>
  <c r="M80" i="5"/>
  <c r="M97" i="28"/>
  <c r="H278" i="33"/>
  <c r="H44" i="39"/>
  <c r="I30" i="8"/>
  <c r="I30" i="13"/>
  <c r="H48" i="6"/>
  <c r="H44" i="37"/>
  <c r="H44" i="35"/>
  <c r="H515" i="33"/>
  <c r="I672" i="33"/>
  <c r="I19" i="8"/>
  <c r="I31" i="8"/>
  <c r="I31" i="13"/>
  <c r="J17" i="6"/>
  <c r="Z17" i="6"/>
  <c r="G832" i="33"/>
  <c r="G432" i="33"/>
  <c r="I40" i="29"/>
  <c r="I44" i="29"/>
  <c r="L65" i="31"/>
  <c r="I872" i="33"/>
  <c r="I23" i="33"/>
  <c r="I29" i="33"/>
  <c r="M45" i="6"/>
  <c r="G34" i="20"/>
  <c r="D34" i="20"/>
  <c r="F34" i="20"/>
  <c r="C35" i="20"/>
  <c r="G800" i="33"/>
  <c r="J23" i="33"/>
  <c r="J29" i="33"/>
  <c r="J872" i="33"/>
  <c r="M11" i="6"/>
  <c r="J45" i="39"/>
  <c r="J32" i="39"/>
  <c r="K9" i="43"/>
  <c r="J39" i="39"/>
  <c r="J36" i="39"/>
  <c r="J38" i="39"/>
  <c r="J37" i="39"/>
  <c r="J31" i="39"/>
  <c r="G3" i="45"/>
  <c r="I807" i="33"/>
  <c r="L21" i="35"/>
  <c r="L23" i="6"/>
  <c r="I9" i="34"/>
  <c r="I8" i="34"/>
  <c r="J19" i="8"/>
  <c r="J31" i="8"/>
  <c r="J31" i="13"/>
  <c r="K18" i="33"/>
  <c r="M12" i="27"/>
  <c r="M13" i="27"/>
  <c r="M15" i="27"/>
  <c r="H800" i="33"/>
  <c r="L25" i="27"/>
  <c r="L26" i="27"/>
  <c r="J42" i="33"/>
  <c r="J196" i="33"/>
  <c r="J31" i="37"/>
  <c r="J32" i="37"/>
  <c r="J36" i="37"/>
  <c r="J37" i="37"/>
  <c r="J39" i="37"/>
  <c r="J38" i="37"/>
  <c r="J45" i="37"/>
  <c r="J704" i="33"/>
  <c r="I751" i="33"/>
  <c r="I31" i="33"/>
  <c r="J49" i="6"/>
  <c r="J43" i="6"/>
  <c r="J41" i="6"/>
  <c r="J42" i="6"/>
  <c r="J6" i="34"/>
  <c r="J40" i="6"/>
  <c r="H6" i="52"/>
  <c r="K12" i="8"/>
  <c r="H737" i="33"/>
  <c r="G434" i="33"/>
  <c r="G590" i="33"/>
  <c r="I17" i="16"/>
  <c r="G9" i="51"/>
  <c r="N115" i="28"/>
  <c r="I303" i="33"/>
  <c r="H451" i="33"/>
  <c r="I732" i="33"/>
  <c r="L21" i="39"/>
  <c r="K15" i="39"/>
  <c r="K15" i="8"/>
  <c r="H88" i="33"/>
  <c r="J56" i="27"/>
  <c r="G453" i="33"/>
  <c r="G833" i="33"/>
  <c r="G592" i="33"/>
  <c r="H19" i="51"/>
  <c r="P30" i="31"/>
  <c r="L83" i="29"/>
  <c r="K29" i="37"/>
  <c r="K25" i="37"/>
  <c r="C36" i="20"/>
  <c r="D35" i="20"/>
  <c r="F35" i="20"/>
  <c r="G35" i="20"/>
  <c r="I278" i="33"/>
  <c r="N97" i="28"/>
  <c r="M65" i="31"/>
  <c r="J40" i="29"/>
  <c r="J44" i="29"/>
  <c r="L14" i="35"/>
  <c r="L24" i="35"/>
  <c r="L14" i="37"/>
  <c r="L24" i="37"/>
  <c r="L16" i="6"/>
  <c r="L28" i="6"/>
  <c r="L14" i="39"/>
  <c r="L24" i="39"/>
  <c r="N80" i="5"/>
  <c r="M16" i="6"/>
  <c r="M28" i="6"/>
  <c r="K10" i="34"/>
  <c r="N16" i="27"/>
  <c r="M19" i="27"/>
  <c r="P56" i="31"/>
  <c r="L17" i="27"/>
  <c r="L21" i="37"/>
  <c r="L15" i="37"/>
  <c r="K29" i="39"/>
  <c r="K25" i="39"/>
  <c r="I421" i="33"/>
  <c r="M68" i="31"/>
  <c r="J26" i="29"/>
  <c r="H832" i="33"/>
  <c r="H432" i="33"/>
  <c r="K29" i="35"/>
  <c r="K25" i="35"/>
  <c r="J31" i="35"/>
  <c r="J45" i="35"/>
  <c r="J38" i="35"/>
  <c r="J32" i="35"/>
  <c r="J39" i="35"/>
  <c r="J36" i="35"/>
  <c r="J37" i="35"/>
  <c r="K9" i="41"/>
  <c r="I44" i="35"/>
  <c r="I48" i="6"/>
  <c r="I44" i="37"/>
  <c r="J30" i="8"/>
  <c r="J30" i="13"/>
  <c r="I44" i="39"/>
  <c r="K33" i="6"/>
  <c r="K29" i="6"/>
  <c r="L19" i="27"/>
  <c r="O56" i="31"/>
  <c r="K15" i="37"/>
  <c r="O16" i="27"/>
  <c r="L10" i="34"/>
  <c r="K56" i="27"/>
  <c r="I88" i="33"/>
  <c r="J17" i="16"/>
  <c r="H9" i="51"/>
  <c r="L17" i="6"/>
  <c r="M17" i="6"/>
  <c r="M23" i="6"/>
  <c r="L15" i="8"/>
  <c r="J303" i="33"/>
  <c r="O115" i="28"/>
  <c r="K32" i="35"/>
  <c r="L9" i="41"/>
  <c r="K37" i="35"/>
  <c r="K45" i="35"/>
  <c r="K38" i="35"/>
  <c r="K36" i="35"/>
  <c r="K31" i="35"/>
  <c r="K39" i="35"/>
  <c r="L25" i="37"/>
  <c r="L29" i="37"/>
  <c r="G36" i="20"/>
  <c r="C37" i="20"/>
  <c r="D36" i="20"/>
  <c r="F36" i="20"/>
  <c r="K36" i="37"/>
  <c r="K31" i="37"/>
  <c r="K32" i="37"/>
  <c r="K38" i="37"/>
  <c r="K37" i="37"/>
  <c r="K39" i="37"/>
  <c r="K45" i="37"/>
  <c r="J44" i="35"/>
  <c r="J44" i="39"/>
  <c r="J44" i="37"/>
  <c r="K30" i="8"/>
  <c r="K30" i="13"/>
  <c r="J48" i="6"/>
  <c r="L15" i="39"/>
  <c r="H592" i="33"/>
  <c r="H833" i="33"/>
  <c r="H453" i="33"/>
  <c r="I432" i="33"/>
  <c r="I832" i="33"/>
  <c r="J9" i="34"/>
  <c r="J8" i="34"/>
  <c r="K23" i="33"/>
  <c r="K29" i="33"/>
  <c r="K872" i="33"/>
  <c r="O97" i="28"/>
  <c r="J278" i="33"/>
  <c r="L33" i="6"/>
  <c r="L29" i="6"/>
  <c r="L18" i="33"/>
  <c r="N12" i="27"/>
  <c r="N13" i="27"/>
  <c r="N15" i="27"/>
  <c r="J515" i="33"/>
  <c r="K672" i="33"/>
  <c r="K38" i="39"/>
  <c r="L9" i="43"/>
  <c r="K32" i="39"/>
  <c r="K39" i="39"/>
  <c r="K45" i="39"/>
  <c r="K37" i="39"/>
  <c r="K31" i="39"/>
  <c r="K36" i="39"/>
  <c r="H3" i="45"/>
  <c r="N65" i="31"/>
  <c r="K40" i="29"/>
  <c r="K44" i="29"/>
  <c r="L29" i="39"/>
  <c r="L25" i="39"/>
  <c r="K26" i="29"/>
  <c r="N68" i="31"/>
  <c r="K31" i="8"/>
  <c r="K31" i="13"/>
  <c r="K19" i="8"/>
  <c r="I800" i="33"/>
  <c r="N19" i="27"/>
  <c r="Q56" i="31"/>
  <c r="M17" i="27"/>
  <c r="L29" i="35"/>
  <c r="L25" i="35"/>
  <c r="K704" i="33"/>
  <c r="J751" i="33"/>
  <c r="J31" i="33"/>
  <c r="J732" i="33"/>
  <c r="I451" i="33"/>
  <c r="K6" i="34"/>
  <c r="K43" i="6"/>
  <c r="K41" i="6"/>
  <c r="L12" i="8"/>
  <c r="K40" i="6"/>
  <c r="K49" i="6"/>
  <c r="I6" i="52"/>
  <c r="K42" i="6"/>
  <c r="H590" i="33"/>
  <c r="I737" i="33"/>
  <c r="H434" i="33"/>
  <c r="K42" i="33"/>
  <c r="M25" i="27"/>
  <c r="M26" i="27"/>
  <c r="J421" i="33"/>
  <c r="L15" i="35"/>
  <c r="N81" i="5"/>
  <c r="L49" i="6"/>
  <c r="L35" i="6"/>
  <c r="L55" i="6"/>
  <c r="L59" i="6"/>
  <c r="L6" i="34"/>
  <c r="L42" i="6"/>
  <c r="L40" i="6"/>
  <c r="L41" i="6"/>
  <c r="L43" i="6"/>
  <c r="M12" i="8"/>
  <c r="J432" i="33"/>
  <c r="J832" i="33"/>
  <c r="I3" i="45"/>
  <c r="P97" i="28"/>
  <c r="K278" i="33"/>
  <c r="L38" i="39"/>
  <c r="L45" i="39"/>
  <c r="L31" i="39"/>
  <c r="L39" i="39"/>
  <c r="M9" i="43"/>
  <c r="L37" i="39"/>
  <c r="L32" i="39"/>
  <c r="L36" i="39"/>
  <c r="N17" i="27"/>
  <c r="M18" i="33"/>
  <c r="O12" i="27"/>
  <c r="O13" i="27"/>
  <c r="O15" i="27"/>
  <c r="O17" i="27"/>
  <c r="K303" i="33"/>
  <c r="P115" i="28"/>
  <c r="M33" i="6"/>
  <c r="M29" i="6"/>
  <c r="I592" i="33"/>
  <c r="I833" i="33"/>
  <c r="I453" i="33"/>
  <c r="L38" i="35"/>
  <c r="L45" i="35"/>
  <c r="L36" i="35"/>
  <c r="L37" i="35"/>
  <c r="L39" i="35"/>
  <c r="L32" i="35"/>
  <c r="L31" i="35"/>
  <c r="M9" i="41"/>
  <c r="K17" i="16"/>
  <c r="M15" i="8"/>
  <c r="J451" i="33"/>
  <c r="K732" i="33"/>
  <c r="L26" i="29"/>
  <c r="O68" i="31"/>
  <c r="L42" i="33"/>
  <c r="N25" i="27"/>
  <c r="N26" i="27"/>
  <c r="D37" i="20"/>
  <c r="F37" i="20"/>
  <c r="C38" i="20"/>
  <c r="G37" i="20"/>
  <c r="K44" i="37"/>
  <c r="K44" i="39"/>
  <c r="K44" i="35"/>
  <c r="K48" i="6"/>
  <c r="L30" i="8"/>
  <c r="L30" i="13"/>
  <c r="K421" i="33"/>
  <c r="L31" i="8"/>
  <c r="L31" i="13"/>
  <c r="L19" i="8"/>
  <c r="K8" i="34"/>
  <c r="K9" i="34"/>
  <c r="J800" i="33"/>
  <c r="J88" i="33"/>
  <c r="L56" i="27"/>
  <c r="L872" i="33"/>
  <c r="L23" i="33"/>
  <c r="L29" i="33"/>
  <c r="O65" i="31"/>
  <c r="L40" i="29"/>
  <c r="L44" i="29"/>
  <c r="K751" i="33"/>
  <c r="K31" i="33"/>
  <c r="L704" i="33"/>
  <c r="I590" i="33"/>
  <c r="I434" i="33"/>
  <c r="J737" i="33"/>
  <c r="L45" i="37"/>
  <c r="L38" i="37"/>
  <c r="L39" i="37"/>
  <c r="L32" i="37"/>
  <c r="L37" i="37"/>
  <c r="L36" i="37"/>
  <c r="L31" i="37"/>
  <c r="L62" i="6"/>
  <c r="L63" i="6"/>
  <c r="L11" i="10"/>
  <c r="L421" i="33"/>
  <c r="M55" i="6"/>
  <c r="M59" i="6"/>
  <c r="N15" i="8"/>
  <c r="M26" i="29"/>
  <c r="P68" i="31"/>
  <c r="L732" i="33"/>
  <c r="K451" i="33"/>
  <c r="K737" i="33"/>
  <c r="J434" i="33"/>
  <c r="J590" i="33"/>
  <c r="L9" i="34"/>
  <c r="L8" i="34"/>
  <c r="K88" i="33"/>
  <c r="M56" i="27"/>
  <c r="L303" i="33"/>
  <c r="Q115" i="28"/>
  <c r="M23" i="33"/>
  <c r="M29" i="33"/>
  <c r="M872" i="33"/>
  <c r="P65" i="31"/>
  <c r="M40" i="29"/>
  <c r="M44" i="29"/>
  <c r="M31" i="8"/>
  <c r="M31" i="13"/>
  <c r="M19" i="8"/>
  <c r="L17" i="16"/>
  <c r="M704" i="33"/>
  <c r="L751" i="33"/>
  <c r="L31" i="33"/>
  <c r="Q97" i="28"/>
  <c r="L278" i="33"/>
  <c r="J592" i="33"/>
  <c r="J833" i="33"/>
  <c r="J453" i="33"/>
  <c r="L88" i="33"/>
  <c r="N56" i="27"/>
  <c r="K432" i="33"/>
  <c r="K832" i="33"/>
  <c r="M42" i="33"/>
  <c r="O25" i="27"/>
  <c r="O26" i="27"/>
  <c r="L48" i="6"/>
  <c r="L44" i="37"/>
  <c r="M30" i="8"/>
  <c r="M30" i="13"/>
  <c r="L44" i="35"/>
  <c r="L44" i="39"/>
  <c r="K800" i="33"/>
  <c r="C39" i="20"/>
  <c r="G38" i="20"/>
  <c r="D38" i="20"/>
  <c r="F38" i="20"/>
  <c r="M43" i="6"/>
  <c r="N12" i="8"/>
  <c r="M40" i="6"/>
  <c r="M41" i="6"/>
  <c r="M35" i="6"/>
  <c r="M49" i="6"/>
  <c r="M42" i="6"/>
  <c r="O19" i="27"/>
  <c r="R56" i="31"/>
  <c r="M22" i="8"/>
  <c r="M11" i="10"/>
  <c r="M62" i="6"/>
  <c r="L68" i="6"/>
  <c r="L64" i="6"/>
  <c r="L73" i="6"/>
  <c r="L69" i="6"/>
  <c r="N22" i="8"/>
  <c r="D39" i="20"/>
  <c r="F39" i="20"/>
  <c r="C40" i="20"/>
  <c r="G39" i="20"/>
  <c r="R115" i="28"/>
  <c r="M303" i="33"/>
  <c r="M50" i="33"/>
  <c r="O32" i="27"/>
  <c r="Q65" i="31"/>
  <c r="N40" i="29"/>
  <c r="N44" i="29"/>
  <c r="M31" i="33"/>
  <c r="N704" i="33"/>
  <c r="M751" i="33"/>
  <c r="M20" i="43"/>
  <c r="M20" i="41"/>
  <c r="O79" i="27"/>
  <c r="M38" i="13"/>
  <c r="M56" i="33"/>
  <c r="M61" i="33"/>
  <c r="M66" i="33"/>
  <c r="M421" i="33"/>
  <c r="L737" i="33"/>
  <c r="K434" i="33"/>
  <c r="K590" i="33"/>
  <c r="L451" i="33"/>
  <c r="M732" i="33"/>
  <c r="R97" i="28"/>
  <c r="M278" i="33"/>
  <c r="L432" i="33"/>
  <c r="L832" i="33"/>
  <c r="N30" i="8"/>
  <c r="N30" i="13"/>
  <c r="M48" i="6"/>
  <c r="N19" i="8"/>
  <c r="N31" i="8"/>
  <c r="N31" i="13"/>
  <c r="Q68" i="31"/>
  <c r="N26" i="29"/>
  <c r="M32" i="16"/>
  <c r="L800" i="33"/>
  <c r="M25" i="8"/>
  <c r="M17" i="16"/>
  <c r="K833" i="33"/>
  <c r="K453" i="33"/>
  <c r="K592" i="33"/>
  <c r="M184" i="33"/>
  <c r="R23" i="28"/>
  <c r="N32" i="16"/>
  <c r="N32" i="8"/>
  <c r="N18" i="13"/>
  <c r="M451" i="33"/>
  <c r="N732" i="33"/>
  <c r="M432" i="33"/>
  <c r="M832" i="33"/>
  <c r="D40" i="20"/>
  <c r="F40" i="20"/>
  <c r="K34" i="20"/>
  <c r="C41" i="20"/>
  <c r="G40" i="20"/>
  <c r="M39" i="13"/>
  <c r="O83" i="27"/>
  <c r="R35" i="31"/>
  <c r="N38" i="13"/>
  <c r="L590" i="33"/>
  <c r="M737" i="33"/>
  <c r="L434" i="33"/>
  <c r="M800" i="33"/>
  <c r="M88" i="33"/>
  <c r="O56" i="27"/>
  <c r="R65" i="31"/>
  <c r="O40" i="29"/>
  <c r="O44" i="29"/>
  <c r="L453" i="33"/>
  <c r="L833" i="33"/>
  <c r="L592" i="33"/>
  <c r="R68" i="31"/>
  <c r="O26" i="29"/>
  <c r="M71" i="33"/>
  <c r="M76" i="33"/>
  <c r="M444" i="33"/>
  <c r="N25" i="8"/>
  <c r="N17" i="16"/>
  <c r="M63" i="6"/>
  <c r="M502" i="33"/>
  <c r="M201" i="33"/>
  <c r="M834" i="33"/>
  <c r="N26" i="8"/>
  <c r="M90" i="33"/>
  <c r="D41" i="20"/>
  <c r="C42" i="20"/>
  <c r="G41" i="20"/>
  <c r="M69" i="6"/>
  <c r="M73" i="6"/>
  <c r="M68" i="6"/>
  <c r="M64" i="6"/>
  <c r="M590" i="33"/>
  <c r="N737" i="33"/>
  <c r="M434" i="33"/>
  <c r="R42" i="28"/>
  <c r="O70" i="29"/>
  <c r="O88" i="29"/>
  <c r="M453" i="33"/>
  <c r="M592" i="33"/>
  <c r="M833" i="33"/>
  <c r="M870" i="33"/>
  <c r="M93" i="33"/>
  <c r="O109" i="29"/>
  <c r="O113" i="29"/>
  <c r="P16" i="30"/>
  <c r="F41" i="20"/>
  <c r="I34" i="20"/>
  <c r="M824" i="33"/>
  <c r="M574" i="33"/>
  <c r="N39" i="13"/>
  <c r="M594" i="33"/>
  <c r="M504" i="33"/>
  <c r="M519" i="33"/>
  <c r="D42" i="20"/>
  <c r="C43" i="20"/>
  <c r="G42" i="20"/>
  <c r="D43" i="20"/>
  <c r="F43" i="20"/>
  <c r="C44" i="20"/>
  <c r="G43" i="20"/>
  <c r="D13" i="4"/>
  <c r="D20" i="4"/>
  <c r="M753" i="33"/>
  <c r="F42" i="20"/>
  <c r="C45" i="20"/>
  <c r="D44" i="20"/>
  <c r="G44" i="20"/>
  <c r="C22" i="1"/>
  <c r="F19" i="4"/>
  <c r="H14" i="4"/>
  <c r="H15" i="4"/>
  <c r="I15" i="4"/>
  <c r="H18" i="4"/>
  <c r="D22" i="1"/>
  <c r="D36" i="1"/>
  <c r="E109" i="34"/>
  <c r="F44" i="20"/>
  <c r="G45" i="20"/>
  <c r="D45" i="20"/>
  <c r="F45" i="20"/>
  <c r="C46" i="20"/>
  <c r="D46" i="20"/>
  <c r="G46" i="20"/>
  <c r="C47" i="20"/>
  <c r="D29" i="13"/>
  <c r="D41" i="13"/>
  <c r="C126" i="9"/>
  <c r="D47" i="20"/>
  <c r="F47" i="20"/>
  <c r="D28" i="16"/>
  <c r="E656" i="33"/>
  <c r="G47" i="20"/>
  <c r="C48" i="20"/>
  <c r="E126" i="9"/>
  <c r="E128" i="9"/>
  <c r="F126" i="9"/>
  <c r="F128" i="9"/>
  <c r="G126" i="9"/>
  <c r="G128" i="9"/>
  <c r="D126" i="9"/>
  <c r="F46" i="20"/>
  <c r="H126" i="9"/>
  <c r="D128" i="9"/>
  <c r="G131" i="9"/>
  <c r="D38" i="9"/>
  <c r="D46" i="9"/>
  <c r="F131" i="9"/>
  <c r="G48" i="20"/>
  <c r="C49" i="20"/>
  <c r="D48" i="20"/>
  <c r="D22" i="9"/>
  <c r="E131" i="9"/>
  <c r="F40" i="9"/>
  <c r="L40" i="9"/>
  <c r="E40" i="9"/>
  <c r="G40" i="9"/>
  <c r="M40" i="9"/>
  <c r="J40" i="9"/>
  <c r="H40" i="9"/>
  <c r="K40" i="9"/>
  <c r="D99" i="9"/>
  <c r="D40" i="9"/>
  <c r="D42" i="9"/>
  <c r="E38" i="9"/>
  <c r="I40" i="9"/>
  <c r="G49" i="20"/>
  <c r="C50" i="20"/>
  <c r="D49" i="20"/>
  <c r="F49" i="20"/>
  <c r="F48" i="20"/>
  <c r="D81" i="9"/>
  <c r="E24" i="9"/>
  <c r="J24" i="9"/>
  <c r="M24" i="9"/>
  <c r="D24" i="9"/>
  <c r="D26" i="9"/>
  <c r="E22" i="9"/>
  <c r="L24" i="9"/>
  <c r="H24" i="9"/>
  <c r="I24" i="9"/>
  <c r="K24" i="9"/>
  <c r="G24" i="9"/>
  <c r="F24" i="9"/>
  <c r="V41" i="39"/>
  <c r="D30" i="9"/>
  <c r="D137" i="9"/>
  <c r="D11" i="16"/>
  <c r="D131" i="9"/>
  <c r="H131" i="9"/>
  <c r="V41" i="37"/>
  <c r="H128" i="9"/>
  <c r="V119" i="9"/>
  <c r="W45" i="6"/>
  <c r="V41" i="35"/>
  <c r="D107" i="9"/>
  <c r="F48" i="9"/>
  <c r="H48" i="9"/>
  <c r="G48" i="9"/>
  <c r="E48" i="9"/>
  <c r="M48" i="9"/>
  <c r="J48" i="9"/>
  <c r="K48" i="9"/>
  <c r="D48" i="9"/>
  <c r="D50" i="9"/>
  <c r="I48" i="9"/>
  <c r="L48" i="9"/>
  <c r="E42" i="9"/>
  <c r="F38" i="9"/>
  <c r="F42" i="9"/>
  <c r="G38" i="9"/>
  <c r="G42" i="9"/>
  <c r="H38" i="9"/>
  <c r="H42" i="9"/>
  <c r="I38" i="9"/>
  <c r="I42" i="9"/>
  <c r="J38" i="9"/>
  <c r="J42" i="9"/>
  <c r="K38" i="9"/>
  <c r="K42" i="9"/>
  <c r="L38" i="9"/>
  <c r="L42" i="9"/>
  <c r="M38" i="9"/>
  <c r="M42" i="9"/>
  <c r="E26" i="9"/>
  <c r="F22" i="9"/>
  <c r="F26" i="9"/>
  <c r="G22" i="9"/>
  <c r="G26" i="9"/>
  <c r="H22" i="9"/>
  <c r="H26" i="9"/>
  <c r="I22" i="9"/>
  <c r="I26" i="9"/>
  <c r="J22" i="9"/>
  <c r="J26" i="9"/>
  <c r="K22" i="9"/>
  <c r="K26" i="9"/>
  <c r="L22" i="9"/>
  <c r="L26" i="9"/>
  <c r="M22" i="9"/>
  <c r="M26" i="9"/>
  <c r="D13" i="16"/>
  <c r="E11" i="16"/>
  <c r="H32" i="9"/>
  <c r="H53" i="9"/>
  <c r="M32" i="9"/>
  <c r="M53" i="9"/>
  <c r="K32" i="9"/>
  <c r="K53" i="9"/>
  <c r="F32" i="9"/>
  <c r="F53" i="9"/>
  <c r="I32" i="9"/>
  <c r="I53" i="9"/>
  <c r="L32" i="9"/>
  <c r="L53" i="9"/>
  <c r="D90" i="9"/>
  <c r="E32" i="9"/>
  <c r="E53" i="9"/>
  <c r="G32" i="9"/>
  <c r="G53" i="9"/>
  <c r="J32" i="9"/>
  <c r="J53" i="9"/>
  <c r="D32" i="9"/>
  <c r="D34" i="9"/>
  <c r="O54" i="9"/>
  <c r="P54" i="9"/>
  <c r="D109" i="9"/>
  <c r="D101" i="9"/>
  <c r="D103" i="9"/>
  <c r="E99" i="9"/>
  <c r="E46" i="9"/>
  <c r="D83" i="9"/>
  <c r="D85" i="9"/>
  <c r="E81" i="9"/>
  <c r="D50" i="20"/>
  <c r="G50" i="20"/>
  <c r="C51" i="20"/>
  <c r="E30" i="9"/>
  <c r="E34" i="9"/>
  <c r="F30" i="9"/>
  <c r="F34" i="9"/>
  <c r="G30" i="9"/>
  <c r="G34" i="9"/>
  <c r="H30" i="9"/>
  <c r="H34" i="9"/>
  <c r="I30" i="9"/>
  <c r="I34" i="9"/>
  <c r="J30" i="9"/>
  <c r="J34" i="9"/>
  <c r="K30" i="9"/>
  <c r="K34" i="9"/>
  <c r="L30" i="9"/>
  <c r="L34" i="9"/>
  <c r="M30" i="9"/>
  <c r="M34" i="9"/>
  <c r="D55" i="9"/>
  <c r="K53" i="6"/>
  <c r="K14" i="10"/>
  <c r="K139" i="9"/>
  <c r="E83" i="9"/>
  <c r="E85" i="9"/>
  <c r="F81" i="9"/>
  <c r="L14" i="10"/>
  <c r="L139" i="9"/>
  <c r="L53" i="6"/>
  <c r="F14" i="10"/>
  <c r="F53" i="6"/>
  <c r="F139" i="9"/>
  <c r="J139" i="9"/>
  <c r="J53" i="6"/>
  <c r="J14" i="10"/>
  <c r="I139" i="9"/>
  <c r="I14" i="10"/>
  <c r="I53" i="6"/>
  <c r="G51" i="20"/>
  <c r="C52" i="20"/>
  <c r="D51" i="20"/>
  <c r="F51" i="20"/>
  <c r="E14" i="10"/>
  <c r="E53" i="6"/>
  <c r="E139" i="9"/>
  <c r="H53" i="6"/>
  <c r="H139" i="9"/>
  <c r="H14" i="10"/>
  <c r="F50" i="20"/>
  <c r="D53" i="9"/>
  <c r="E101" i="9"/>
  <c r="E103" i="9"/>
  <c r="F99" i="9"/>
  <c r="M139" i="9"/>
  <c r="M53" i="6"/>
  <c r="M14" i="10"/>
  <c r="F11" i="16"/>
  <c r="B16" i="52"/>
  <c r="C4" i="51"/>
  <c r="G14" i="10"/>
  <c r="G53" i="6"/>
  <c r="G139" i="9"/>
  <c r="E50" i="9"/>
  <c r="O46" i="9"/>
  <c r="D111" i="9"/>
  <c r="D92" i="9"/>
  <c r="D94" i="9"/>
  <c r="E90" i="9"/>
  <c r="E92" i="9"/>
  <c r="E94" i="9"/>
  <c r="F90" i="9"/>
  <c r="F83" i="9"/>
  <c r="F85" i="9"/>
  <c r="G81" i="9"/>
  <c r="F46" i="9"/>
  <c r="E55" i="9"/>
  <c r="E141" i="9"/>
  <c r="D114" i="9"/>
  <c r="F101" i="9"/>
  <c r="F103" i="9"/>
  <c r="G99" i="9"/>
  <c r="E49" i="35"/>
  <c r="E49" i="37"/>
  <c r="E49" i="39"/>
  <c r="E107" i="9"/>
  <c r="D116" i="9"/>
  <c r="H13" i="36"/>
  <c r="H13" i="13"/>
  <c r="H13" i="38"/>
  <c r="H13" i="40"/>
  <c r="G12" i="10"/>
  <c r="M12" i="10"/>
  <c r="M13" i="10"/>
  <c r="M15" i="10"/>
  <c r="N13" i="13"/>
  <c r="M66" i="6"/>
  <c r="M67" i="6"/>
  <c r="M162" i="6"/>
  <c r="M164" i="6"/>
  <c r="F13" i="38"/>
  <c r="F13" i="36"/>
  <c r="F13" i="40"/>
  <c r="E12" i="10"/>
  <c r="F13" i="13"/>
  <c r="J13" i="36"/>
  <c r="J13" i="13"/>
  <c r="J13" i="40"/>
  <c r="J13" i="38"/>
  <c r="I12" i="10"/>
  <c r="J12" i="10"/>
  <c r="K13" i="38"/>
  <c r="K13" i="36"/>
  <c r="K13" i="13"/>
  <c r="K13" i="40"/>
  <c r="K12" i="10"/>
  <c r="L13" i="36"/>
  <c r="L13" i="38"/>
  <c r="L13" i="40"/>
  <c r="L13" i="13"/>
  <c r="C16" i="52"/>
  <c r="D4" i="51"/>
  <c r="Q11" i="16"/>
  <c r="Q12" i="16"/>
  <c r="G11" i="16"/>
  <c r="G49" i="35"/>
  <c r="G49" i="39"/>
  <c r="G49" i="37"/>
  <c r="G52" i="20"/>
  <c r="C53" i="20"/>
  <c r="D52" i="20"/>
  <c r="F52" i="20"/>
  <c r="G13" i="36"/>
  <c r="F12" i="10"/>
  <c r="G13" i="13"/>
  <c r="G13" i="38"/>
  <c r="G13" i="40"/>
  <c r="J130" i="28"/>
  <c r="E315" i="33"/>
  <c r="D139" i="9"/>
  <c r="D14" i="10"/>
  <c r="D53" i="6"/>
  <c r="H49" i="39"/>
  <c r="H49" i="37"/>
  <c r="H49" i="35"/>
  <c r="J49" i="35"/>
  <c r="J49" i="39"/>
  <c r="J49" i="37"/>
  <c r="M13" i="40"/>
  <c r="L12" i="10"/>
  <c r="L13" i="10"/>
  <c r="L15" i="10"/>
  <c r="M13" i="38"/>
  <c r="M13" i="36"/>
  <c r="M13" i="13"/>
  <c r="L66" i="6"/>
  <c r="L67" i="6"/>
  <c r="L162" i="6"/>
  <c r="L164" i="6"/>
  <c r="U55" i="9"/>
  <c r="D141" i="9"/>
  <c r="I13" i="13"/>
  <c r="I13" i="38"/>
  <c r="I13" i="40"/>
  <c r="H12" i="10"/>
  <c r="I13" i="36"/>
  <c r="I49" i="35"/>
  <c r="I49" i="39"/>
  <c r="I49" i="37"/>
  <c r="F49" i="35"/>
  <c r="F49" i="37"/>
  <c r="F49" i="39"/>
  <c r="L49" i="37"/>
  <c r="L49" i="35"/>
  <c r="L49" i="39"/>
  <c r="K49" i="35"/>
  <c r="K49" i="37"/>
  <c r="K49" i="39"/>
  <c r="G101" i="9"/>
  <c r="G103" i="9"/>
  <c r="H99" i="9"/>
  <c r="G83" i="9"/>
  <c r="G85" i="9"/>
  <c r="H81" i="9"/>
  <c r="F92" i="9"/>
  <c r="F94" i="9"/>
  <c r="G90" i="9"/>
  <c r="G14" i="34"/>
  <c r="J34" i="27"/>
  <c r="M15" i="31"/>
  <c r="H54" i="33"/>
  <c r="I650" i="33"/>
  <c r="L126" i="39"/>
  <c r="D49" i="39"/>
  <c r="D49" i="35"/>
  <c r="E12" i="16"/>
  <c r="D49" i="37"/>
  <c r="E675" i="33"/>
  <c r="E683" i="33"/>
  <c r="E790" i="33"/>
  <c r="J54" i="33"/>
  <c r="K650" i="33"/>
  <c r="I14" i="34"/>
  <c r="L34" i="27"/>
  <c r="O15" i="31"/>
  <c r="H34" i="27"/>
  <c r="K15" i="31"/>
  <c r="F54" i="33"/>
  <c r="G650" i="33"/>
  <c r="E14" i="34"/>
  <c r="L126" i="35"/>
  <c r="E137" i="9"/>
  <c r="D147" i="9"/>
  <c r="O34" i="27"/>
  <c r="R15" i="31"/>
  <c r="L14" i="34"/>
  <c r="M54" i="33"/>
  <c r="N650" i="33"/>
  <c r="J33" i="31"/>
  <c r="I34" i="27"/>
  <c r="L15" i="31"/>
  <c r="F14" i="34"/>
  <c r="G54" i="33"/>
  <c r="H650" i="33"/>
  <c r="K14" i="34"/>
  <c r="N34" i="27"/>
  <c r="Q15" i="31"/>
  <c r="L54" i="33"/>
  <c r="M650" i="33"/>
  <c r="K54" i="33"/>
  <c r="L650" i="33"/>
  <c r="J14" i="34"/>
  <c r="M34" i="27"/>
  <c r="P15" i="31"/>
  <c r="E147" i="9"/>
  <c r="F137" i="9"/>
  <c r="E4" i="51"/>
  <c r="D16" i="52"/>
  <c r="R11" i="16"/>
  <c r="R12" i="16"/>
  <c r="H11" i="16"/>
  <c r="L126" i="37"/>
  <c r="H14" i="34"/>
  <c r="K34" i="27"/>
  <c r="N15" i="31"/>
  <c r="I54" i="33"/>
  <c r="J650" i="33"/>
  <c r="U119" i="9"/>
  <c r="W119" i="9"/>
  <c r="W55" i="9"/>
  <c r="E13" i="40"/>
  <c r="E13" i="36"/>
  <c r="E13" i="38"/>
  <c r="E13" i="13"/>
  <c r="D12" i="10"/>
  <c r="D53" i="20"/>
  <c r="G53" i="20"/>
  <c r="K130" i="28"/>
  <c r="F315" i="33"/>
  <c r="E109" i="9"/>
  <c r="E114" i="9"/>
  <c r="F50" i="9"/>
  <c r="P46" i="9"/>
  <c r="F675" i="33"/>
  <c r="F683" i="33"/>
  <c r="F790" i="33"/>
  <c r="G92" i="9"/>
  <c r="G94" i="9"/>
  <c r="H90" i="9"/>
  <c r="H101" i="9"/>
  <c r="H103" i="9"/>
  <c r="I99" i="9"/>
  <c r="F12" i="16"/>
  <c r="C5" i="51"/>
  <c r="C6" i="51"/>
  <c r="E13" i="16"/>
  <c r="H83" i="9"/>
  <c r="H85" i="9"/>
  <c r="I81" i="9"/>
  <c r="F55" i="9"/>
  <c r="F141" i="9"/>
  <c r="G46" i="9"/>
  <c r="G675" i="33"/>
  <c r="G683" i="33"/>
  <c r="G790" i="33"/>
  <c r="F53" i="20"/>
  <c r="K46" i="20"/>
  <c r="I46" i="20"/>
  <c r="I11" i="16"/>
  <c r="F4" i="51"/>
  <c r="S11" i="16"/>
  <c r="S12" i="16"/>
  <c r="E16" i="52"/>
  <c r="E33" i="35"/>
  <c r="E33" i="39"/>
  <c r="E37" i="6"/>
  <c r="E33" i="37"/>
  <c r="D42" i="34"/>
  <c r="K33" i="31"/>
  <c r="C54" i="20"/>
  <c r="E28" i="16"/>
  <c r="E111" i="9"/>
  <c r="E54" i="33"/>
  <c r="F650" i="33"/>
  <c r="G34" i="27"/>
  <c r="J15" i="31"/>
  <c r="D14" i="34"/>
  <c r="L130" i="28"/>
  <c r="G315" i="33"/>
  <c r="D37" i="6"/>
  <c r="D33" i="39"/>
  <c r="D33" i="35"/>
  <c r="D33" i="37"/>
  <c r="I101" i="9"/>
  <c r="I103" i="9"/>
  <c r="J99" i="9"/>
  <c r="E22" i="8"/>
  <c r="B17" i="52"/>
  <c r="H675" i="33"/>
  <c r="H683" i="33"/>
  <c r="H790" i="33"/>
  <c r="G54" i="20"/>
  <c r="C55" i="20"/>
  <c r="D54" i="20"/>
  <c r="G137" i="9"/>
  <c r="F147" i="9"/>
  <c r="B15" i="52"/>
  <c r="G50" i="9"/>
  <c r="Q46" i="9"/>
  <c r="G4" i="51"/>
  <c r="F16" i="52"/>
  <c r="T11" i="16"/>
  <c r="T12" i="16"/>
  <c r="J11" i="16"/>
  <c r="I83" i="9"/>
  <c r="I85" i="9"/>
  <c r="J81" i="9"/>
  <c r="D5" i="51"/>
  <c r="D6" i="51"/>
  <c r="G12" i="16"/>
  <c r="F13" i="16"/>
  <c r="H92" i="9"/>
  <c r="H94" i="9"/>
  <c r="I90" i="9"/>
  <c r="D50" i="6"/>
  <c r="L33" i="31"/>
  <c r="F107" i="9"/>
  <c r="E116" i="9"/>
  <c r="F22" i="8"/>
  <c r="M130" i="28"/>
  <c r="H315" i="33"/>
  <c r="E316" i="33"/>
  <c r="E318" i="33"/>
  <c r="E842" i="33"/>
  <c r="J133" i="28"/>
  <c r="J135" i="28"/>
  <c r="J83" i="9"/>
  <c r="J85" i="9"/>
  <c r="K81" i="9"/>
  <c r="J101" i="9"/>
  <c r="J103" i="9"/>
  <c r="K99" i="9"/>
  <c r="I92" i="9"/>
  <c r="I94" i="9"/>
  <c r="J90" i="9"/>
  <c r="D55" i="20"/>
  <c r="F55" i="20"/>
  <c r="G55" i="20"/>
  <c r="C56" i="20"/>
  <c r="I675" i="33"/>
  <c r="I683" i="33"/>
  <c r="I790" i="33"/>
  <c r="F32" i="16"/>
  <c r="F32" i="8"/>
  <c r="F18" i="13"/>
  <c r="F25" i="8"/>
  <c r="U34" i="31"/>
  <c r="H4" i="51"/>
  <c r="G16" i="52"/>
  <c r="K11" i="16"/>
  <c r="U11" i="16"/>
  <c r="U12" i="16"/>
  <c r="I315" i="33"/>
  <c r="N130" i="28"/>
  <c r="G55" i="9"/>
  <c r="G141" i="9"/>
  <c r="H46" i="9"/>
  <c r="F33" i="37"/>
  <c r="F33" i="35"/>
  <c r="F37" i="6"/>
  <c r="F33" i="39"/>
  <c r="E52" i="33"/>
  <c r="E56" i="33"/>
  <c r="E61" i="33"/>
  <c r="E66" i="33"/>
  <c r="G33" i="27"/>
  <c r="G35" i="27"/>
  <c r="G37" i="27"/>
  <c r="G39" i="27"/>
  <c r="F109" i="9"/>
  <c r="F114" i="9"/>
  <c r="C17" i="52"/>
  <c r="E32" i="8"/>
  <c r="E18" i="13"/>
  <c r="E32" i="16"/>
  <c r="E25" i="8"/>
  <c r="M33" i="31"/>
  <c r="H33" i="27"/>
  <c r="H35" i="27"/>
  <c r="H37" i="27"/>
  <c r="H39" i="27"/>
  <c r="F52" i="33"/>
  <c r="F56" i="33"/>
  <c r="F61" i="33"/>
  <c r="F66" i="33"/>
  <c r="H12" i="16"/>
  <c r="E5" i="51"/>
  <c r="E6" i="51"/>
  <c r="G13" i="16"/>
  <c r="D34" i="34"/>
  <c r="E14" i="40"/>
  <c r="E14" i="38"/>
  <c r="D170" i="6"/>
  <c r="E14" i="36"/>
  <c r="E36" i="13"/>
  <c r="F316" i="33"/>
  <c r="F318" i="33"/>
  <c r="F842" i="33"/>
  <c r="K133" i="28"/>
  <c r="K135" i="28"/>
  <c r="J52" i="28"/>
  <c r="E216" i="33"/>
  <c r="E225" i="33"/>
  <c r="F54" i="20"/>
  <c r="F111" i="9"/>
  <c r="G107" i="9"/>
  <c r="E20" i="41"/>
  <c r="E20" i="43"/>
  <c r="K101" i="9"/>
  <c r="K103" i="9"/>
  <c r="L99" i="9"/>
  <c r="K83" i="9"/>
  <c r="K85" i="9"/>
  <c r="L81" i="9"/>
  <c r="H41" i="27"/>
  <c r="H43" i="27"/>
  <c r="H32" i="29"/>
  <c r="R17" i="16"/>
  <c r="B19" i="52"/>
  <c r="G22" i="8"/>
  <c r="H137" i="9"/>
  <c r="G147" i="9"/>
  <c r="J315" i="33"/>
  <c r="O130" i="28"/>
  <c r="S17" i="16"/>
  <c r="C19" i="52"/>
  <c r="G56" i="20"/>
  <c r="C57" i="20"/>
  <c r="D56" i="20"/>
  <c r="J17" i="31"/>
  <c r="C30" i="51"/>
  <c r="C32" i="51"/>
  <c r="J61" i="28"/>
  <c r="I12" i="16"/>
  <c r="F5" i="51"/>
  <c r="F6" i="51"/>
  <c r="H13" i="16"/>
  <c r="G41" i="27"/>
  <c r="G43" i="27"/>
  <c r="G32" i="29"/>
  <c r="N33" i="31"/>
  <c r="E96" i="33"/>
  <c r="G316" i="33"/>
  <c r="G318" i="33"/>
  <c r="G842" i="33"/>
  <c r="L133" i="28"/>
  <c r="L135" i="28"/>
  <c r="E34" i="34"/>
  <c r="V34" i="31"/>
  <c r="E71" i="33"/>
  <c r="E76" i="33"/>
  <c r="E90" i="33"/>
  <c r="E444" i="33"/>
  <c r="F26" i="8"/>
  <c r="J92" i="9"/>
  <c r="J94" i="9"/>
  <c r="K90" i="9"/>
  <c r="E843" i="33"/>
  <c r="E844" i="33"/>
  <c r="E845" i="33"/>
  <c r="D17" i="52"/>
  <c r="D68" i="37"/>
  <c r="D68" i="35"/>
  <c r="D68" i="39"/>
  <c r="F444" i="33"/>
  <c r="F71" i="33"/>
  <c r="F76" i="33"/>
  <c r="F90" i="33"/>
  <c r="E27" i="8"/>
  <c r="E28" i="8"/>
  <c r="C24" i="1"/>
  <c r="D24" i="1"/>
  <c r="E26" i="8"/>
  <c r="H50" i="9"/>
  <c r="R46" i="9"/>
  <c r="J675" i="33"/>
  <c r="J683" i="33"/>
  <c r="J790" i="33"/>
  <c r="L11" i="16"/>
  <c r="H16" i="52"/>
  <c r="V11" i="16"/>
  <c r="V12" i="16"/>
  <c r="D28" i="1"/>
  <c r="L22" i="1"/>
  <c r="F116" i="9"/>
  <c r="L83" i="9"/>
  <c r="L85" i="9"/>
  <c r="M81" i="9"/>
  <c r="L101" i="9"/>
  <c r="L103" i="9"/>
  <c r="M99" i="9"/>
  <c r="K92" i="9"/>
  <c r="K94" i="9"/>
  <c r="L90" i="9"/>
  <c r="I16" i="52"/>
  <c r="W11" i="16"/>
  <c r="W12" i="16"/>
  <c r="M11" i="16"/>
  <c r="E17" i="52"/>
  <c r="G52" i="33"/>
  <c r="G56" i="33"/>
  <c r="G61" i="33"/>
  <c r="G66" i="33"/>
  <c r="I33" i="27"/>
  <c r="I35" i="27"/>
  <c r="I37" i="27"/>
  <c r="I39" i="27"/>
  <c r="G109" i="9"/>
  <c r="G114" i="9"/>
  <c r="H59" i="27"/>
  <c r="H61" i="27"/>
  <c r="H51" i="27"/>
  <c r="P130" i="28"/>
  <c r="K315" i="33"/>
  <c r="H55" i="9"/>
  <c r="H141" i="9"/>
  <c r="I46" i="9"/>
  <c r="F34" i="34"/>
  <c r="E803" i="33"/>
  <c r="E809" i="33"/>
  <c r="E811" i="33"/>
  <c r="H316" i="33"/>
  <c r="H318" i="33"/>
  <c r="H842" i="33"/>
  <c r="M133" i="28"/>
  <c r="M135" i="28"/>
  <c r="F184" i="33"/>
  <c r="K23" i="28"/>
  <c r="K675" i="33"/>
  <c r="K683" i="33"/>
  <c r="K790" i="33"/>
  <c r="G32" i="8"/>
  <c r="G18" i="13"/>
  <c r="G32" i="16"/>
  <c r="G25" i="8"/>
  <c r="E30" i="16"/>
  <c r="E33" i="8"/>
  <c r="E17" i="13"/>
  <c r="F27" i="8"/>
  <c r="E29" i="8"/>
  <c r="D54" i="1"/>
  <c r="J37" i="19"/>
  <c r="E870" i="33"/>
  <c r="E93" i="33"/>
  <c r="F56" i="20"/>
  <c r="O33" i="31"/>
  <c r="J23" i="28"/>
  <c r="E184" i="33"/>
  <c r="F870" i="33"/>
  <c r="F93" i="33"/>
  <c r="G51" i="27"/>
  <c r="G59" i="27"/>
  <c r="G61" i="27"/>
  <c r="J12" i="16"/>
  <c r="G5" i="51"/>
  <c r="G6" i="51"/>
  <c r="I13" i="16"/>
  <c r="D57" i="20"/>
  <c r="F57" i="20"/>
  <c r="G57" i="20"/>
  <c r="C58" i="20"/>
  <c r="G33" i="39"/>
  <c r="G33" i="35"/>
  <c r="G33" i="37"/>
  <c r="G37" i="6"/>
  <c r="E20" i="1"/>
  <c r="E18" i="1"/>
  <c r="E16" i="1"/>
  <c r="E22" i="1"/>
  <c r="E26" i="1"/>
  <c r="E14" i="1"/>
  <c r="E24" i="1"/>
  <c r="C28" i="1"/>
  <c r="N128" i="9"/>
  <c r="D38" i="1"/>
  <c r="E11" i="13"/>
  <c r="F652" i="33"/>
  <c r="E110" i="34"/>
  <c r="E113" i="34"/>
  <c r="M101" i="9"/>
  <c r="M103" i="9"/>
  <c r="F17" i="52"/>
  <c r="F753" i="33"/>
  <c r="E834" i="33"/>
  <c r="E201" i="33"/>
  <c r="E502" i="33"/>
  <c r="D51" i="6"/>
  <c r="D47" i="37"/>
  <c r="D47" i="35"/>
  <c r="D47" i="39"/>
  <c r="G34" i="34"/>
  <c r="I137" i="9"/>
  <c r="H147" i="9"/>
  <c r="N11" i="16"/>
  <c r="E753" i="33"/>
  <c r="F30" i="16"/>
  <c r="F29" i="8"/>
  <c r="G27" i="8"/>
  <c r="G28" i="8"/>
  <c r="F33" i="8"/>
  <c r="F17" i="13"/>
  <c r="F28" i="8"/>
  <c r="G26" i="8"/>
  <c r="F502" i="33"/>
  <c r="F834" i="33"/>
  <c r="F201" i="33"/>
  <c r="L675" i="33"/>
  <c r="L683" i="33"/>
  <c r="L790" i="33"/>
  <c r="I32" i="29"/>
  <c r="I41" i="27"/>
  <c r="I43" i="27"/>
  <c r="L92" i="9"/>
  <c r="L94" i="9"/>
  <c r="M90" i="9"/>
  <c r="M83" i="9"/>
  <c r="M85" i="9"/>
  <c r="I123" i="32"/>
  <c r="F16" i="4"/>
  <c r="J28" i="19"/>
  <c r="H22" i="8"/>
  <c r="D58" i="20"/>
  <c r="F58" i="20"/>
  <c r="G58" i="20"/>
  <c r="C59" i="20"/>
  <c r="K12" i="16"/>
  <c r="H5" i="51"/>
  <c r="H6" i="51"/>
  <c r="J13" i="16"/>
  <c r="J42" i="28"/>
  <c r="J45" i="31"/>
  <c r="J85" i="31"/>
  <c r="G70" i="29"/>
  <c r="G88" i="29"/>
  <c r="C16" i="51"/>
  <c r="C20" i="51"/>
  <c r="C22" i="51"/>
  <c r="T17" i="16"/>
  <c r="D19" i="52"/>
  <c r="P33" i="31"/>
  <c r="G111" i="9"/>
  <c r="G71" i="33"/>
  <c r="G76" i="33"/>
  <c r="G90" i="33"/>
  <c r="G444" i="33"/>
  <c r="Q130" i="28"/>
  <c r="L315" i="33"/>
  <c r="I316" i="33"/>
  <c r="I318" i="33"/>
  <c r="I842" i="33"/>
  <c r="N133" i="28"/>
  <c r="N135" i="28"/>
  <c r="D28" i="34"/>
  <c r="D27" i="34"/>
  <c r="D16" i="51"/>
  <c r="D20" i="51"/>
  <c r="D22" i="51"/>
  <c r="K42" i="28"/>
  <c r="K45" i="31"/>
  <c r="K85" i="31"/>
  <c r="H70" i="29"/>
  <c r="H88" i="29"/>
  <c r="I50" i="9"/>
  <c r="S46" i="9"/>
  <c r="E28" i="1"/>
  <c r="D34" i="1"/>
  <c r="D21" i="38"/>
  <c r="D23" i="38"/>
  <c r="D25" i="38"/>
  <c r="D28" i="38"/>
  <c r="M92" i="9"/>
  <c r="M94" i="9"/>
  <c r="H34" i="34"/>
  <c r="G17" i="52"/>
  <c r="D59" i="20"/>
  <c r="F59" i="20"/>
  <c r="G59" i="20"/>
  <c r="C60" i="20"/>
  <c r="F824" i="33"/>
  <c r="G694" i="33"/>
  <c r="F574" i="33"/>
  <c r="E47" i="39"/>
  <c r="E47" i="35"/>
  <c r="E47" i="37"/>
  <c r="E51" i="6"/>
  <c r="R130" i="28"/>
  <c r="M315" i="33"/>
  <c r="E504" i="33"/>
  <c r="E594" i="33"/>
  <c r="E519" i="33"/>
  <c r="G870" i="33"/>
  <c r="G93" i="33"/>
  <c r="G184" i="33"/>
  <c r="L23" i="28"/>
  <c r="J46" i="9"/>
  <c r="I55" i="9"/>
  <c r="I141" i="9"/>
  <c r="G116" i="9"/>
  <c r="H107" i="9"/>
  <c r="H52" i="33"/>
  <c r="H56" i="33"/>
  <c r="H61" i="33"/>
  <c r="H66" i="33"/>
  <c r="J33" i="27"/>
  <c r="J35" i="27"/>
  <c r="J37" i="27"/>
  <c r="J39" i="27"/>
  <c r="I51" i="27"/>
  <c r="I59" i="27"/>
  <c r="I61" i="27"/>
  <c r="H33" i="39"/>
  <c r="H33" i="35"/>
  <c r="H33" i="37"/>
  <c r="H37" i="6"/>
  <c r="E37" i="13"/>
  <c r="D55" i="6"/>
  <c r="D59" i="6"/>
  <c r="E824" i="33"/>
  <c r="F694" i="33"/>
  <c r="E574" i="33"/>
  <c r="O133" i="28"/>
  <c r="O135" i="28"/>
  <c r="J316" i="33"/>
  <c r="J318" i="33"/>
  <c r="J842" i="33"/>
  <c r="H32" i="16"/>
  <c r="H32" i="8"/>
  <c r="H18" i="13"/>
  <c r="H25" i="8"/>
  <c r="F594" i="33"/>
  <c r="F504" i="33"/>
  <c r="F519" i="33"/>
  <c r="I16" i="30"/>
  <c r="H109" i="29"/>
  <c r="H113" i="29"/>
  <c r="Q33" i="31"/>
  <c r="E173" i="33"/>
  <c r="J16" i="28"/>
  <c r="J19" i="28"/>
  <c r="J44" i="28"/>
  <c r="M675" i="33"/>
  <c r="M683" i="33"/>
  <c r="M790" i="33"/>
  <c r="G109" i="29"/>
  <c r="G113" i="29"/>
  <c r="H16" i="30"/>
  <c r="L12" i="16"/>
  <c r="K13" i="16"/>
  <c r="G29" i="8"/>
  <c r="G30" i="16"/>
  <c r="G33" i="8"/>
  <c r="G17" i="13"/>
  <c r="H27" i="8"/>
  <c r="D40" i="1"/>
  <c r="D21" i="36"/>
  <c r="D23" i="36"/>
  <c r="D25" i="36"/>
  <c r="D28" i="36"/>
  <c r="D21" i="40"/>
  <c r="D23" i="40"/>
  <c r="D25" i="40"/>
  <c r="D28" i="40"/>
  <c r="M12" i="16"/>
  <c r="L13" i="16"/>
  <c r="K316" i="33"/>
  <c r="K318" i="33"/>
  <c r="K842" i="33"/>
  <c r="P133" i="28"/>
  <c r="P135" i="28"/>
  <c r="E827" i="33"/>
  <c r="E179" i="33"/>
  <c r="E203" i="33"/>
  <c r="E227" i="33"/>
  <c r="F702" i="33"/>
  <c r="I34" i="34"/>
  <c r="F173" i="33"/>
  <c r="K16" i="28"/>
  <c r="K19" i="28"/>
  <c r="K44" i="28"/>
  <c r="L45" i="31"/>
  <c r="L85" i="31"/>
  <c r="L42" i="28"/>
  <c r="E16" i="51"/>
  <c r="E20" i="51"/>
  <c r="E22" i="51"/>
  <c r="I70" i="29"/>
  <c r="I88" i="29"/>
  <c r="F37" i="13"/>
  <c r="H28" i="8"/>
  <c r="H26" i="8"/>
  <c r="D61" i="6"/>
  <c r="B9" i="52"/>
  <c r="D11" i="10"/>
  <c r="D13" i="10"/>
  <c r="D15" i="10"/>
  <c r="D16" i="10"/>
  <c r="D62" i="6"/>
  <c r="D63" i="6"/>
  <c r="D162" i="6"/>
  <c r="D164" i="6"/>
  <c r="D166" i="6"/>
  <c r="D168" i="6"/>
  <c r="I22" i="8"/>
  <c r="J41" i="27"/>
  <c r="J43" i="27"/>
  <c r="J59" i="27"/>
  <c r="J61" i="27"/>
  <c r="J32" i="29"/>
  <c r="I147" i="9"/>
  <c r="J137" i="9"/>
  <c r="G502" i="33"/>
  <c r="G201" i="33"/>
  <c r="G834" i="33"/>
  <c r="G753" i="33"/>
  <c r="R33" i="31"/>
  <c r="R38" i="31"/>
  <c r="G60" i="20"/>
  <c r="C61" i="20"/>
  <c r="D60" i="20"/>
  <c r="F47" i="35"/>
  <c r="F47" i="39"/>
  <c r="F51" i="6"/>
  <c r="F47" i="37"/>
  <c r="D46" i="1"/>
  <c r="S88" i="29"/>
  <c r="S90" i="29"/>
  <c r="J63" i="28"/>
  <c r="E97" i="33"/>
  <c r="E95" i="33"/>
  <c r="E99" i="33"/>
  <c r="E116" i="33"/>
  <c r="G63" i="27"/>
  <c r="G65" i="27"/>
  <c r="H444" i="33"/>
  <c r="H71" i="33"/>
  <c r="H76" i="33"/>
  <c r="H90" i="33"/>
  <c r="H109" i="9"/>
  <c r="H114" i="9"/>
  <c r="T46" i="9"/>
  <c r="J50" i="9"/>
  <c r="H30" i="16"/>
  <c r="H29" i="8"/>
  <c r="H33" i="8"/>
  <c r="H17" i="13"/>
  <c r="I27" i="8"/>
  <c r="H17" i="52"/>
  <c r="U17" i="16"/>
  <c r="E19" i="52"/>
  <c r="N675" i="33"/>
  <c r="N683" i="33"/>
  <c r="H111" i="9"/>
  <c r="H116" i="9"/>
  <c r="E754" i="33"/>
  <c r="E121" i="33"/>
  <c r="H694" i="33"/>
  <c r="G824" i="33"/>
  <c r="G574" i="33"/>
  <c r="B10" i="52"/>
  <c r="D114" i="6"/>
  <c r="D69" i="6"/>
  <c r="D64" i="6"/>
  <c r="D65" i="6"/>
  <c r="D113" i="6"/>
  <c r="D73" i="6"/>
  <c r="D68" i="6"/>
  <c r="D17" i="10"/>
  <c r="D18" i="10"/>
  <c r="D19" i="10"/>
  <c r="D58" i="35"/>
  <c r="M23" i="28"/>
  <c r="H184" i="33"/>
  <c r="I29" i="8"/>
  <c r="J27" i="8"/>
  <c r="I30" i="16"/>
  <c r="I33" i="8"/>
  <c r="I17" i="13"/>
  <c r="K46" i="9"/>
  <c r="J55" i="9"/>
  <c r="J141" i="9"/>
  <c r="H870" i="33"/>
  <c r="H93" i="33"/>
  <c r="G504" i="33"/>
  <c r="G594" i="33"/>
  <c r="G519" i="33"/>
  <c r="K33" i="27"/>
  <c r="K35" i="27"/>
  <c r="K37" i="27"/>
  <c r="K39" i="27"/>
  <c r="I52" i="33"/>
  <c r="I56" i="33"/>
  <c r="I61" i="33"/>
  <c r="I66" i="33"/>
  <c r="F97" i="33"/>
  <c r="J16" i="30"/>
  <c r="I109" i="29"/>
  <c r="I113" i="29"/>
  <c r="T88" i="29"/>
  <c r="T90" i="29"/>
  <c r="J34" i="34"/>
  <c r="L16" i="28"/>
  <c r="L19" i="28"/>
  <c r="L44" i="28"/>
  <c r="G173" i="33"/>
  <c r="I17" i="52"/>
  <c r="L15" i="40"/>
  <c r="L15" i="38"/>
  <c r="L15" i="36"/>
  <c r="F60" i="20"/>
  <c r="I32" i="16"/>
  <c r="I32" i="8"/>
  <c r="I18" i="13"/>
  <c r="I25" i="8"/>
  <c r="G79" i="27"/>
  <c r="P62" i="6"/>
  <c r="E38" i="13"/>
  <c r="B8" i="52"/>
  <c r="D111" i="6"/>
  <c r="E12" i="13"/>
  <c r="E20" i="13"/>
  <c r="D112" i="6"/>
  <c r="G702" i="33"/>
  <c r="F827" i="33"/>
  <c r="F179" i="33"/>
  <c r="F203" i="33"/>
  <c r="N12" i="16"/>
  <c r="M13" i="16"/>
  <c r="G47" i="37"/>
  <c r="G47" i="35"/>
  <c r="G51" i="6"/>
  <c r="G47" i="39"/>
  <c r="G100" i="27"/>
  <c r="G77" i="27"/>
  <c r="D26" i="16"/>
  <c r="D11" i="13"/>
  <c r="D20" i="13"/>
  <c r="D44" i="13"/>
  <c r="D52" i="1"/>
  <c r="J30" i="19"/>
  <c r="G37" i="13"/>
  <c r="D61" i="20"/>
  <c r="F61" i="20"/>
  <c r="G61" i="20"/>
  <c r="C62" i="20"/>
  <c r="I37" i="6"/>
  <c r="I33" i="37"/>
  <c r="I33" i="35"/>
  <c r="I33" i="39"/>
  <c r="D66" i="6"/>
  <c r="D67" i="6"/>
  <c r="E761" i="33"/>
  <c r="L316" i="33"/>
  <c r="L318" i="33"/>
  <c r="L842" i="33"/>
  <c r="Q133" i="28"/>
  <c r="Q135" i="28"/>
  <c r="I107" i="9"/>
  <c r="I109" i="9"/>
  <c r="I114" i="9"/>
  <c r="G81" i="27"/>
  <c r="G99" i="27"/>
  <c r="K34" i="34"/>
  <c r="J22" i="8"/>
  <c r="D59" i="1"/>
  <c r="D35" i="16"/>
  <c r="B11" i="52"/>
  <c r="B12" i="52"/>
  <c r="E652" i="33"/>
  <c r="E26" i="16"/>
  <c r="H37" i="13"/>
  <c r="N13" i="16"/>
  <c r="I71" i="33"/>
  <c r="I76" i="33"/>
  <c r="I90" i="33"/>
  <c r="I444" i="33"/>
  <c r="D44" i="34"/>
  <c r="H834" i="33"/>
  <c r="H201" i="33"/>
  <c r="H502" i="33"/>
  <c r="D62" i="20"/>
  <c r="F62" i="20"/>
  <c r="G62" i="20"/>
  <c r="C63" i="20"/>
  <c r="G97" i="33"/>
  <c r="D45" i="13"/>
  <c r="D37" i="16"/>
  <c r="M316" i="33"/>
  <c r="M318" i="33"/>
  <c r="M842" i="33"/>
  <c r="M844" i="33"/>
  <c r="M845" i="33"/>
  <c r="R133" i="28"/>
  <c r="R135" i="28"/>
  <c r="V17" i="16"/>
  <c r="F19" i="52"/>
  <c r="K41" i="27"/>
  <c r="K43" i="27"/>
  <c r="K59" i="27"/>
  <c r="K61" i="27"/>
  <c r="K32" i="29"/>
  <c r="K137" i="9"/>
  <c r="J147" i="9"/>
  <c r="E27" i="16"/>
  <c r="B19" i="44"/>
  <c r="G83" i="27"/>
  <c r="E39" i="13"/>
  <c r="E41" i="13"/>
  <c r="E44" i="13"/>
  <c r="E37" i="16"/>
  <c r="J35" i="31"/>
  <c r="J38" i="31"/>
  <c r="J92" i="31"/>
  <c r="E44" i="34"/>
  <c r="G179" i="33"/>
  <c r="G203" i="33"/>
  <c r="H702" i="33"/>
  <c r="G827" i="33"/>
  <c r="U46" i="9"/>
  <c r="K50" i="9"/>
  <c r="J33" i="8"/>
  <c r="J17" i="13"/>
  <c r="K27" i="8"/>
  <c r="J29" i="8"/>
  <c r="J30" i="16"/>
  <c r="E128" i="33"/>
  <c r="E131" i="33"/>
  <c r="F648" i="33"/>
  <c r="F665" i="33"/>
  <c r="E756" i="33"/>
  <c r="M16" i="28"/>
  <c r="M19" i="28"/>
  <c r="H173" i="33"/>
  <c r="I26" i="8"/>
  <c r="I28" i="8"/>
  <c r="U88" i="29"/>
  <c r="U90" i="29"/>
  <c r="D11" i="34"/>
  <c r="D40" i="34"/>
  <c r="H753" i="33"/>
  <c r="H47" i="35"/>
  <c r="H47" i="39"/>
  <c r="H51" i="6"/>
  <c r="H47" i="37"/>
  <c r="J70" i="29"/>
  <c r="J88" i="29"/>
  <c r="M42" i="28"/>
  <c r="M45" i="31"/>
  <c r="M85" i="31"/>
  <c r="F16" i="51"/>
  <c r="F20" i="51"/>
  <c r="F22" i="51"/>
  <c r="E755" i="33"/>
  <c r="J14" i="31"/>
  <c r="G92" i="27"/>
  <c r="G94" i="27"/>
  <c r="I111" i="9"/>
  <c r="I116" i="9"/>
  <c r="I702" i="33"/>
  <c r="H179" i="33"/>
  <c r="H203" i="33"/>
  <c r="H827" i="33"/>
  <c r="L27" i="8"/>
  <c r="K30" i="16"/>
  <c r="K33" i="8"/>
  <c r="K17" i="13"/>
  <c r="K29" i="8"/>
  <c r="N23" i="28"/>
  <c r="I184" i="33"/>
  <c r="H574" i="33"/>
  <c r="H824" i="33"/>
  <c r="I694" i="33"/>
  <c r="H97" i="33"/>
  <c r="D63" i="34"/>
  <c r="D12" i="34"/>
  <c r="M44" i="28"/>
  <c r="J78" i="28"/>
  <c r="C36" i="51"/>
  <c r="E259" i="33"/>
  <c r="D19" i="34"/>
  <c r="I870" i="33"/>
  <c r="I93" i="33"/>
  <c r="E35" i="16"/>
  <c r="B16" i="44"/>
  <c r="B26" i="44"/>
  <c r="C11" i="52"/>
  <c r="F26" i="16"/>
  <c r="C12" i="52"/>
  <c r="C14" i="52"/>
  <c r="E38" i="16"/>
  <c r="I37" i="13"/>
  <c r="E773" i="33"/>
  <c r="E757" i="33"/>
  <c r="E802" i="33"/>
  <c r="E805" i="33"/>
  <c r="E813" i="33"/>
  <c r="E801" i="33"/>
  <c r="K55" i="9"/>
  <c r="K141" i="9"/>
  <c r="L46" i="9"/>
  <c r="I173" i="33"/>
  <c r="N16" i="28"/>
  <c r="N19" i="28"/>
  <c r="D16" i="16"/>
  <c r="D22" i="16"/>
  <c r="E43" i="13"/>
  <c r="E45" i="13"/>
  <c r="G63" i="20"/>
  <c r="C64" i="20"/>
  <c r="D63" i="20"/>
  <c r="F63" i="20"/>
  <c r="J107" i="9"/>
  <c r="E665" i="33"/>
  <c r="L33" i="27"/>
  <c r="L35" i="27"/>
  <c r="L37" i="27"/>
  <c r="L39" i="27"/>
  <c r="J52" i="33"/>
  <c r="J56" i="33"/>
  <c r="J61" i="33"/>
  <c r="J66" i="33"/>
  <c r="K16" i="30"/>
  <c r="J109" i="29"/>
  <c r="J113" i="29"/>
  <c r="F789" i="33"/>
  <c r="F791" i="33"/>
  <c r="I47" i="39"/>
  <c r="I51" i="6"/>
  <c r="I47" i="35"/>
  <c r="I47" i="37"/>
  <c r="J33" i="39"/>
  <c r="J33" i="37"/>
  <c r="J37" i="6"/>
  <c r="J33" i="35"/>
  <c r="H504" i="33"/>
  <c r="H594" i="33"/>
  <c r="H519" i="33"/>
  <c r="F44" i="34"/>
  <c r="B14" i="52"/>
  <c r="B22" i="52"/>
  <c r="B21" i="52"/>
  <c r="J32" i="8"/>
  <c r="J18" i="13"/>
  <c r="J32" i="16"/>
  <c r="J25" i="8"/>
  <c r="W17" i="16"/>
  <c r="G19" i="52"/>
  <c r="J444" i="33"/>
  <c r="J71" i="33"/>
  <c r="J76" i="33"/>
  <c r="J90" i="33"/>
  <c r="K147" i="9"/>
  <c r="L137" i="9"/>
  <c r="D17" i="34"/>
  <c r="E250" i="33"/>
  <c r="J70" i="28"/>
  <c r="I753" i="33"/>
  <c r="V88" i="29"/>
  <c r="V90" i="29"/>
  <c r="T45" i="28"/>
  <c r="L41" i="27"/>
  <c r="L43" i="27"/>
  <c r="L59" i="27"/>
  <c r="L61" i="27"/>
  <c r="L32" i="29"/>
  <c r="G64" i="20"/>
  <c r="C65" i="20"/>
  <c r="D64" i="20"/>
  <c r="F64" i="20"/>
  <c r="D11" i="52"/>
  <c r="G26" i="16"/>
  <c r="C16" i="44"/>
  <c r="R92" i="27"/>
  <c r="R94" i="27"/>
  <c r="D13" i="34"/>
  <c r="D15" i="34"/>
  <c r="D64" i="34"/>
  <c r="D16" i="34"/>
  <c r="J109" i="9"/>
  <c r="J114" i="9"/>
  <c r="E16" i="16"/>
  <c r="F43" i="13"/>
  <c r="J173" i="33"/>
  <c r="O16" i="28"/>
  <c r="O19" i="28"/>
  <c r="I201" i="33"/>
  <c r="I502" i="33"/>
  <c r="I834" i="33"/>
  <c r="M27" i="8"/>
  <c r="L29" i="8"/>
  <c r="L30" i="16"/>
  <c r="L33" i="8"/>
  <c r="L17" i="13"/>
  <c r="J26" i="8"/>
  <c r="J28" i="8"/>
  <c r="K22" i="8"/>
  <c r="J37" i="13"/>
  <c r="E789" i="33"/>
  <c r="E791" i="33"/>
  <c r="E686" i="33"/>
  <c r="F686" i="33"/>
  <c r="D42" i="16"/>
  <c r="Q35" i="16"/>
  <c r="D45" i="16"/>
  <c r="I827" i="33"/>
  <c r="J702" i="33"/>
  <c r="I179" i="33"/>
  <c r="L50" i="9"/>
  <c r="V46" i="9"/>
  <c r="I97" i="33"/>
  <c r="N42" i="28"/>
  <c r="N44" i="28"/>
  <c r="N45" i="31"/>
  <c r="N85" i="31"/>
  <c r="K70" i="29"/>
  <c r="K88" i="29"/>
  <c r="G16" i="51"/>
  <c r="G20" i="51"/>
  <c r="G22" i="51"/>
  <c r="J47" i="39"/>
  <c r="J51" i="6"/>
  <c r="J47" i="35"/>
  <c r="J47" i="37"/>
  <c r="I203" i="33"/>
  <c r="J111" i="9"/>
  <c r="K107" i="9"/>
  <c r="W88" i="29"/>
  <c r="W90" i="29"/>
  <c r="U45" i="28"/>
  <c r="K47" i="35"/>
  <c r="K47" i="37"/>
  <c r="K47" i="39"/>
  <c r="K51" i="6"/>
  <c r="J827" i="33"/>
  <c r="J179" i="33"/>
  <c r="K702" i="33"/>
  <c r="R16" i="16"/>
  <c r="C8" i="51"/>
  <c r="C11" i="51"/>
  <c r="E52" i="13"/>
  <c r="E22" i="16"/>
  <c r="F250" i="33"/>
  <c r="E17" i="34"/>
  <c r="K70" i="28"/>
  <c r="J16" i="31"/>
  <c r="J25" i="31"/>
  <c r="C34" i="51"/>
  <c r="C37" i="51"/>
  <c r="J80" i="28"/>
  <c r="K33" i="39"/>
  <c r="K33" i="35"/>
  <c r="K37" i="6"/>
  <c r="K33" i="37"/>
  <c r="K37" i="13"/>
  <c r="L55" i="9"/>
  <c r="L141" i="9"/>
  <c r="M46" i="9"/>
  <c r="M50" i="9"/>
  <c r="M55" i="9"/>
  <c r="M141" i="9"/>
  <c r="M147" i="9"/>
  <c r="M37" i="6"/>
  <c r="M33" i="27"/>
  <c r="M35" i="27"/>
  <c r="M37" i="27"/>
  <c r="M39" i="27"/>
  <c r="K52" i="33"/>
  <c r="K56" i="33"/>
  <c r="K61" i="33"/>
  <c r="K66" i="33"/>
  <c r="M33" i="8"/>
  <c r="M17" i="13"/>
  <c r="M29" i="8"/>
  <c r="M30" i="16"/>
  <c r="N27" i="8"/>
  <c r="M28" i="8"/>
  <c r="I594" i="33"/>
  <c r="I504" i="33"/>
  <c r="I519" i="33"/>
  <c r="K173" i="33"/>
  <c r="P16" i="28"/>
  <c r="P19" i="28"/>
  <c r="E774" i="33"/>
  <c r="E781" i="33"/>
  <c r="E262" i="33"/>
  <c r="J870" i="33"/>
  <c r="J93" i="33"/>
  <c r="G65" i="20"/>
  <c r="D65" i="20"/>
  <c r="J97" i="33"/>
  <c r="J694" i="33"/>
  <c r="I824" i="33"/>
  <c r="I574" i="33"/>
  <c r="K109" i="29"/>
  <c r="K113" i="29"/>
  <c r="L16" i="30"/>
  <c r="K32" i="16"/>
  <c r="K32" i="8"/>
  <c r="K18" i="13"/>
  <c r="K25" i="8"/>
  <c r="D16" i="44"/>
  <c r="E11" i="52"/>
  <c r="H26" i="16"/>
  <c r="O23" i="28"/>
  <c r="J184" i="33"/>
  <c r="J116" i="9"/>
  <c r="E16" i="44"/>
  <c r="F11" i="52"/>
  <c r="I26" i="16"/>
  <c r="F28" i="16"/>
  <c r="C66" i="20"/>
  <c r="E264" i="33"/>
  <c r="E351" i="33"/>
  <c r="G860" i="33"/>
  <c r="K97" i="33"/>
  <c r="L22" i="8"/>
  <c r="C39" i="51"/>
  <c r="C41" i="51"/>
  <c r="D34" i="51"/>
  <c r="E273" i="33"/>
  <c r="J91" i="28"/>
  <c r="K28" i="8"/>
  <c r="K26" i="8"/>
  <c r="N33" i="8"/>
  <c r="N17" i="13"/>
  <c r="N29" i="8"/>
  <c r="M51" i="6"/>
  <c r="N30" i="16"/>
  <c r="N28" i="8"/>
  <c r="L147" i="9"/>
  <c r="M137" i="9"/>
  <c r="J84" i="31"/>
  <c r="J88" i="31"/>
  <c r="J40" i="31"/>
  <c r="C13" i="51"/>
  <c r="C25" i="51"/>
  <c r="D23" i="34"/>
  <c r="D39" i="34"/>
  <c r="J753" i="33"/>
  <c r="K179" i="33"/>
  <c r="L702" i="33"/>
  <c r="K827" i="33"/>
  <c r="L28" i="34"/>
  <c r="L27" i="34"/>
  <c r="K444" i="33"/>
  <c r="K71" i="33"/>
  <c r="K76" i="33"/>
  <c r="K90" i="33"/>
  <c r="E42" i="16"/>
  <c r="R35" i="16"/>
  <c r="E45" i="16"/>
  <c r="R18" i="16"/>
  <c r="B18" i="52"/>
  <c r="B20" i="52"/>
  <c r="L37" i="13"/>
  <c r="J502" i="33"/>
  <c r="J834" i="33"/>
  <c r="J201" i="33"/>
  <c r="L70" i="29"/>
  <c r="L88" i="29"/>
  <c r="O45" i="31"/>
  <c r="O85" i="31"/>
  <c r="H16" i="51"/>
  <c r="H20" i="51"/>
  <c r="H22" i="51"/>
  <c r="O42" i="28"/>
  <c r="F17" i="34"/>
  <c r="G250" i="33"/>
  <c r="L70" i="28"/>
  <c r="L173" i="33"/>
  <c r="Q16" i="28"/>
  <c r="Q19" i="28"/>
  <c r="X17" i="16"/>
  <c r="H19" i="52"/>
  <c r="K109" i="9"/>
  <c r="K114" i="9"/>
  <c r="F65" i="20"/>
  <c r="K58" i="20"/>
  <c r="I58" i="20"/>
  <c r="L47" i="37"/>
  <c r="L47" i="39"/>
  <c r="L47" i="35"/>
  <c r="L51" i="6"/>
  <c r="M41" i="27"/>
  <c r="M43" i="27"/>
  <c r="M59" i="27"/>
  <c r="M61" i="27"/>
  <c r="M32" i="29"/>
  <c r="J166" i="28"/>
  <c r="J174" i="28"/>
  <c r="J168" i="28"/>
  <c r="H33" i="30"/>
  <c r="J82" i="28"/>
  <c r="F774" i="33"/>
  <c r="J824" i="33"/>
  <c r="K694" i="33"/>
  <c r="J574" i="33"/>
  <c r="L97" i="33"/>
  <c r="L33" i="35"/>
  <c r="L51" i="35"/>
  <c r="L37" i="6"/>
  <c r="L33" i="37"/>
  <c r="L51" i="37"/>
  <c r="L55" i="37"/>
  <c r="L33" i="39"/>
  <c r="L51" i="39"/>
  <c r="G57" i="29"/>
  <c r="G62" i="29"/>
  <c r="J70" i="31"/>
  <c r="J74" i="31"/>
  <c r="J42" i="31"/>
  <c r="J124" i="28"/>
  <c r="L32" i="8"/>
  <c r="L18" i="13"/>
  <c r="L32" i="16"/>
  <c r="L25" i="8"/>
  <c r="M32" i="8"/>
  <c r="M18" i="13"/>
  <c r="F772" i="33"/>
  <c r="E760" i="33"/>
  <c r="E763" i="33"/>
  <c r="E759" i="33"/>
  <c r="E762" i="33"/>
  <c r="E868" i="33"/>
  <c r="E361" i="33"/>
  <c r="E358" i="33"/>
  <c r="G856" i="33"/>
  <c r="E869" i="33"/>
  <c r="J26" i="16"/>
  <c r="G11" i="52"/>
  <c r="F16" i="44"/>
  <c r="D46" i="39"/>
  <c r="E50" i="6"/>
  <c r="D46" i="35"/>
  <c r="D46" i="37"/>
  <c r="J208" i="28"/>
  <c r="AE82" i="28"/>
  <c r="K184" i="33"/>
  <c r="P23" i="28"/>
  <c r="N37" i="13"/>
  <c r="M70" i="28"/>
  <c r="H250" i="33"/>
  <c r="G17" i="34"/>
  <c r="M16" i="30"/>
  <c r="L109" i="29"/>
  <c r="L113" i="29"/>
  <c r="O44" i="28"/>
  <c r="J504" i="33"/>
  <c r="J594" i="33"/>
  <c r="J519" i="33"/>
  <c r="K870" i="33"/>
  <c r="K93" i="33"/>
  <c r="D41" i="34"/>
  <c r="D43" i="34"/>
  <c r="D25" i="34"/>
  <c r="D38" i="34"/>
  <c r="N23" i="34"/>
  <c r="J203" i="33"/>
  <c r="D66" i="20"/>
  <c r="G66" i="20"/>
  <c r="C67" i="20"/>
  <c r="M37" i="13"/>
  <c r="K111" i="9"/>
  <c r="L827" i="33"/>
  <c r="M702" i="33"/>
  <c r="L179" i="33"/>
  <c r="E34" i="51"/>
  <c r="M173" i="33"/>
  <c r="R16" i="28"/>
  <c r="R19" i="28"/>
  <c r="R44" i="28"/>
  <c r="D37" i="34"/>
  <c r="C24" i="51"/>
  <c r="C23" i="51"/>
  <c r="K13" i="51"/>
  <c r="C40" i="51"/>
  <c r="C42" i="51"/>
  <c r="D32" i="34"/>
  <c r="E473" i="33"/>
  <c r="E310" i="33"/>
  <c r="N33" i="27"/>
  <c r="N35" i="27"/>
  <c r="N37" i="27"/>
  <c r="N39" i="27"/>
  <c r="L52" i="33"/>
  <c r="L56" i="33"/>
  <c r="L61" i="33"/>
  <c r="L66" i="33"/>
  <c r="C15" i="52"/>
  <c r="E27" i="34"/>
  <c r="E28" i="34"/>
  <c r="C22" i="52"/>
  <c r="C21" i="52"/>
  <c r="E355" i="33"/>
  <c r="E764" i="33"/>
  <c r="G855" i="33"/>
  <c r="E353" i="33"/>
  <c r="E349" i="33"/>
  <c r="D36" i="34"/>
  <c r="K23" i="51"/>
  <c r="C27" i="51"/>
  <c r="N702" i="33"/>
  <c r="M179" i="33"/>
  <c r="M203" i="33"/>
  <c r="M227" i="33"/>
  <c r="M827" i="33"/>
  <c r="P42" i="28"/>
  <c r="M70" i="29"/>
  <c r="M88" i="29"/>
  <c r="P45" i="31"/>
  <c r="P85" i="31"/>
  <c r="D126" i="39"/>
  <c r="D51" i="39"/>
  <c r="F740" i="33"/>
  <c r="F742" i="33"/>
  <c r="F689" i="33"/>
  <c r="F697" i="33"/>
  <c r="F699" i="33"/>
  <c r="E475" i="33"/>
  <c r="M97" i="33"/>
  <c r="D67" i="20"/>
  <c r="F67" i="20"/>
  <c r="G67" i="20"/>
  <c r="C68" i="20"/>
  <c r="F34" i="51"/>
  <c r="K201" i="33"/>
  <c r="K502" i="33"/>
  <c r="K834" i="33"/>
  <c r="D126" i="37"/>
  <c r="D51" i="37"/>
  <c r="D55" i="37"/>
  <c r="D122" i="37"/>
  <c r="D124" i="37"/>
  <c r="H11" i="52"/>
  <c r="K26" i="16"/>
  <c r="G16" i="44"/>
  <c r="H13" i="30"/>
  <c r="G107" i="29"/>
  <c r="G108" i="29"/>
  <c r="J164" i="28"/>
  <c r="J206" i="28"/>
  <c r="S62" i="29"/>
  <c r="S63" i="29"/>
  <c r="J205" i="28"/>
  <c r="J172" i="28"/>
  <c r="D40" i="16"/>
  <c r="L55" i="35"/>
  <c r="F216" i="33"/>
  <c r="F225" i="33"/>
  <c r="K52" i="28"/>
  <c r="L71" i="33"/>
  <c r="L76" i="33"/>
  <c r="L90" i="33"/>
  <c r="L444" i="33"/>
  <c r="D31" i="34"/>
  <c r="D35" i="34"/>
  <c r="L107" i="9"/>
  <c r="K116" i="9"/>
  <c r="F66" i="20"/>
  <c r="K753" i="33"/>
  <c r="D126" i="35"/>
  <c r="D51" i="35"/>
  <c r="L28" i="8"/>
  <c r="L26" i="8"/>
  <c r="M26" i="8"/>
  <c r="J48" i="31"/>
  <c r="J51" i="31"/>
  <c r="J103" i="31"/>
  <c r="J93" i="31"/>
  <c r="J94" i="31"/>
  <c r="J96" i="31"/>
  <c r="L55" i="39"/>
  <c r="N32" i="29"/>
  <c r="N41" i="27"/>
  <c r="N43" i="27"/>
  <c r="N59" i="27"/>
  <c r="N61" i="27"/>
  <c r="AA88" i="29"/>
  <c r="AA90" i="29"/>
  <c r="R172" i="28"/>
  <c r="R63" i="28"/>
  <c r="Y45" i="28"/>
  <c r="R205" i="28"/>
  <c r="X88" i="29"/>
  <c r="X90" i="29"/>
  <c r="V45" i="28"/>
  <c r="F14" i="36"/>
  <c r="F14" i="40"/>
  <c r="F14" i="38"/>
  <c r="F36" i="13"/>
  <c r="E170" i="6"/>
  <c r="E55" i="6"/>
  <c r="E59" i="6"/>
  <c r="E166" i="6"/>
  <c r="E168" i="6"/>
  <c r="H17" i="34"/>
  <c r="I250" i="33"/>
  <c r="N70" i="28"/>
  <c r="Y17" i="16"/>
  <c r="I19" i="52"/>
  <c r="L118" i="37"/>
  <c r="L120" i="37"/>
  <c r="L57" i="37"/>
  <c r="L78" i="34"/>
  <c r="L79" i="34"/>
  <c r="L61" i="37"/>
  <c r="L62" i="37"/>
  <c r="L122" i="37"/>
  <c r="L124" i="37"/>
  <c r="F20" i="41"/>
  <c r="F20" i="43"/>
  <c r="F96" i="33"/>
  <c r="H63" i="27"/>
  <c r="H65" i="27"/>
  <c r="L40" i="16"/>
  <c r="AB173" i="28"/>
  <c r="Q23" i="28"/>
  <c r="L184" i="33"/>
  <c r="L118" i="39"/>
  <c r="L120" i="39"/>
  <c r="L61" i="39"/>
  <c r="L62" i="39"/>
  <c r="L85" i="34"/>
  <c r="L86" i="34"/>
  <c r="L57" i="39"/>
  <c r="L122" i="39"/>
  <c r="L124" i="39"/>
  <c r="E14" i="41"/>
  <c r="D55" i="35"/>
  <c r="D45" i="34"/>
  <c r="D46" i="34"/>
  <c r="D48" i="34"/>
  <c r="L109" i="9"/>
  <c r="L114" i="9"/>
  <c r="K61" i="28"/>
  <c r="D30" i="51"/>
  <c r="D32" i="51"/>
  <c r="K824" i="33"/>
  <c r="K574" i="33"/>
  <c r="L694" i="33"/>
  <c r="K203" i="33"/>
  <c r="D68" i="20"/>
  <c r="G68" i="20"/>
  <c r="C69" i="20"/>
  <c r="M761" i="33"/>
  <c r="E578" i="33"/>
  <c r="E826" i="33"/>
  <c r="E11" i="10"/>
  <c r="E13" i="10"/>
  <c r="E15" i="10"/>
  <c r="E16" i="10"/>
  <c r="E162" i="6"/>
  <c r="E164" i="6"/>
  <c r="E62" i="6"/>
  <c r="E63" i="6"/>
  <c r="E61" i="6"/>
  <c r="C9" i="52"/>
  <c r="E68" i="39"/>
  <c r="E68" i="35"/>
  <c r="E68" i="37"/>
  <c r="L870" i="33"/>
  <c r="L93" i="33"/>
  <c r="F843" i="33"/>
  <c r="F844" i="33"/>
  <c r="F845" i="33"/>
  <c r="F227" i="33"/>
  <c r="J209" i="28"/>
  <c r="J210" i="28"/>
  <c r="AE166" i="28"/>
  <c r="AE164" i="28"/>
  <c r="J201" i="28"/>
  <c r="J250" i="33"/>
  <c r="I17" i="34"/>
  <c r="O70" i="28"/>
  <c r="D57" i="37"/>
  <c r="D61" i="37"/>
  <c r="D62" i="37"/>
  <c r="D59" i="37"/>
  <c r="D78" i="34"/>
  <c r="D79" i="34"/>
  <c r="D118" i="37"/>
  <c r="D120" i="37"/>
  <c r="E14" i="43"/>
  <c r="D55" i="39"/>
  <c r="AA64" i="28"/>
  <c r="E42" i="34"/>
  <c r="L71" i="34"/>
  <c r="L72" i="34"/>
  <c r="L57" i="35"/>
  <c r="L61" i="35"/>
  <c r="L62" i="35"/>
  <c r="L118" i="35"/>
  <c r="L120" i="35"/>
  <c r="L122" i="35"/>
  <c r="L124" i="35"/>
  <c r="E823" i="33"/>
  <c r="E572" i="33"/>
  <c r="O33" i="27"/>
  <c r="O35" i="27"/>
  <c r="O37" i="27"/>
  <c r="O39" i="27"/>
  <c r="M52" i="33"/>
  <c r="M109" i="29"/>
  <c r="M113" i="29"/>
  <c r="N16" i="30"/>
  <c r="P44" i="28"/>
  <c r="G34" i="51"/>
  <c r="H26" i="30"/>
  <c r="H47" i="30"/>
  <c r="H20" i="30"/>
  <c r="H16" i="44"/>
  <c r="I11" i="52"/>
  <c r="L26" i="16"/>
  <c r="K594" i="33"/>
  <c r="K504" i="33"/>
  <c r="K519" i="33"/>
  <c r="E350" i="33"/>
  <c r="G857" i="33"/>
  <c r="E66" i="6"/>
  <c r="E67" i="6"/>
  <c r="L111" i="9"/>
  <c r="L116" i="9"/>
  <c r="Q13" i="16"/>
  <c r="E16" i="43"/>
  <c r="E22" i="43"/>
  <c r="E32" i="43"/>
  <c r="E33" i="43"/>
  <c r="H34" i="51"/>
  <c r="F761" i="33"/>
  <c r="F12" i="13"/>
  <c r="F20" i="13"/>
  <c r="E112" i="6"/>
  <c r="C8" i="52"/>
  <c r="E111" i="6"/>
  <c r="E17" i="10"/>
  <c r="E18" i="10"/>
  <c r="E19" i="10"/>
  <c r="L502" i="33"/>
  <c r="L834" i="33"/>
  <c r="L201" i="33"/>
  <c r="F803" i="33"/>
  <c r="F809" i="33"/>
  <c r="F811" i="33"/>
  <c r="F95" i="33"/>
  <c r="F99" i="33"/>
  <c r="F116" i="33"/>
  <c r="P70" i="28"/>
  <c r="J17" i="34"/>
  <c r="K250" i="33"/>
  <c r="M26" i="16"/>
  <c r="I16" i="44"/>
  <c r="H37" i="30"/>
  <c r="H25" i="30"/>
  <c r="H45" i="30"/>
  <c r="H39" i="30"/>
  <c r="Y88" i="29"/>
  <c r="Y90" i="29"/>
  <c r="W45" i="28"/>
  <c r="O41" i="27"/>
  <c r="O43" i="27"/>
  <c r="O59" i="27"/>
  <c r="O61" i="27"/>
  <c r="O32" i="29"/>
  <c r="O62" i="29"/>
  <c r="H79" i="27"/>
  <c r="Q62" i="6"/>
  <c r="F38" i="13"/>
  <c r="E828" i="33"/>
  <c r="G69" i="20"/>
  <c r="C70" i="20"/>
  <c r="D69" i="20"/>
  <c r="F69" i="20"/>
  <c r="K63" i="28"/>
  <c r="H100" i="27"/>
  <c r="H77" i="27"/>
  <c r="E576" i="33"/>
  <c r="E580" i="33"/>
  <c r="E584" i="33"/>
  <c r="E586" i="33"/>
  <c r="E588" i="33"/>
  <c r="E64" i="6"/>
  <c r="E65" i="6"/>
  <c r="E113" i="6"/>
  <c r="E69" i="6"/>
  <c r="E73" i="6"/>
  <c r="C10" i="52"/>
  <c r="E68" i="6"/>
  <c r="E114" i="6"/>
  <c r="E582" i="33"/>
  <c r="F68" i="20"/>
  <c r="M107" i="9"/>
  <c r="D59" i="35"/>
  <c r="D71" i="34"/>
  <c r="D72" i="34"/>
  <c r="D61" i="35"/>
  <c r="D62" i="35"/>
  <c r="D118" i="35"/>
  <c r="D120" i="35"/>
  <c r="D57" i="35"/>
  <c r="D122" i="35"/>
  <c r="D124" i="35"/>
  <c r="N70" i="29"/>
  <c r="N88" i="29"/>
  <c r="Q42" i="28"/>
  <c r="Q45" i="31"/>
  <c r="Q85" i="31"/>
  <c r="R45" i="31"/>
  <c r="E825" i="33"/>
  <c r="E831" i="33"/>
  <c r="E830" i="33"/>
  <c r="E829" i="33"/>
  <c r="E871" i="33"/>
  <c r="D59" i="39"/>
  <c r="D61" i="39"/>
  <c r="D62" i="39"/>
  <c r="D118" i="39"/>
  <c r="D120" i="39"/>
  <c r="D85" i="34"/>
  <c r="D86" i="34"/>
  <c r="D57" i="39"/>
  <c r="D122" i="39"/>
  <c r="D124" i="39"/>
  <c r="D64" i="37"/>
  <c r="D67" i="37"/>
  <c r="D69" i="37"/>
  <c r="D63" i="37"/>
  <c r="E12" i="38"/>
  <c r="E17" i="38"/>
  <c r="E25" i="38"/>
  <c r="E28" i="38"/>
  <c r="D60" i="37"/>
  <c r="L753" i="33"/>
  <c r="E16" i="41"/>
  <c r="E22" i="41"/>
  <c r="E32" i="41"/>
  <c r="E33" i="41"/>
  <c r="H81" i="27"/>
  <c r="H99" i="27"/>
  <c r="H36" i="30"/>
  <c r="H41" i="30"/>
  <c r="E23" i="41"/>
  <c r="E28" i="41"/>
  <c r="E12" i="40"/>
  <c r="E17" i="40"/>
  <c r="E25" i="40"/>
  <c r="E28" i="40"/>
  <c r="D60" i="39"/>
  <c r="D67" i="39"/>
  <c r="D69" i="39"/>
  <c r="D63" i="39"/>
  <c r="D64" i="39"/>
  <c r="M109" i="9"/>
  <c r="M114" i="9"/>
  <c r="H83" i="27"/>
  <c r="K35" i="31"/>
  <c r="K38" i="31"/>
  <c r="K92" i="31"/>
  <c r="F39" i="13"/>
  <c r="F41" i="13"/>
  <c r="F44" i="13"/>
  <c r="K14" i="31"/>
  <c r="K25" i="31"/>
  <c r="G70" i="20"/>
  <c r="C71" i="20"/>
  <c r="D70" i="20"/>
  <c r="F754" i="33"/>
  <c r="F121" i="33"/>
  <c r="L574" i="33"/>
  <c r="L824" i="33"/>
  <c r="M694" i="33"/>
  <c r="N694" i="33"/>
  <c r="L203" i="33"/>
  <c r="F27" i="16"/>
  <c r="T64" i="28"/>
  <c r="L250" i="33"/>
  <c r="K17" i="34"/>
  <c r="Q70" i="28"/>
  <c r="E12" i="36"/>
  <c r="E17" i="36"/>
  <c r="E25" i="36"/>
  <c r="E28" i="36"/>
  <c r="D67" i="35"/>
  <c r="D69" i="35"/>
  <c r="D64" i="35"/>
  <c r="D60" i="35"/>
  <c r="D63" i="35"/>
  <c r="L504" i="33"/>
  <c r="L594" i="33"/>
  <c r="L519" i="33"/>
  <c r="E11" i="34"/>
  <c r="E40" i="34"/>
  <c r="N109" i="29"/>
  <c r="N113" i="29"/>
  <c r="O16" i="30"/>
  <c r="Q44" i="28"/>
  <c r="J16" i="44"/>
  <c r="N26" i="16"/>
  <c r="E28" i="43"/>
  <c r="E23" i="43"/>
  <c r="H92" i="27"/>
  <c r="H94" i="27"/>
  <c r="M111" i="9"/>
  <c r="M116" i="9"/>
  <c r="K78" i="28"/>
  <c r="F259" i="33"/>
  <c r="F262" i="33"/>
  <c r="E19" i="34"/>
  <c r="G648" i="33"/>
  <c r="G665" i="33"/>
  <c r="F128" i="33"/>
  <c r="F131" i="33"/>
  <c r="F756" i="33"/>
  <c r="K84" i="31"/>
  <c r="K88" i="31"/>
  <c r="K40" i="31"/>
  <c r="M250" i="33"/>
  <c r="R70" i="28"/>
  <c r="L17" i="34"/>
  <c r="E24" i="43"/>
  <c r="E26" i="43"/>
  <c r="X45" i="28"/>
  <c r="Z88" i="29"/>
  <c r="Z90" i="29"/>
  <c r="E12" i="34"/>
  <c r="E63" i="34"/>
  <c r="F37" i="16"/>
  <c r="F45" i="13"/>
  <c r="F755" i="33"/>
  <c r="F70" i="20"/>
  <c r="D71" i="20"/>
  <c r="F71" i="20"/>
  <c r="G71" i="20"/>
  <c r="C72" i="20"/>
  <c r="C19" i="44"/>
  <c r="C26" i="44"/>
  <c r="F38" i="16"/>
  <c r="F35" i="16"/>
  <c r="D12" i="52"/>
  <c r="D14" i="52"/>
  <c r="E26" i="41"/>
  <c r="E24" i="41"/>
  <c r="F351" i="33"/>
  <c r="F264" i="33"/>
  <c r="G686" i="33"/>
  <c r="G789" i="33"/>
  <c r="G791" i="33"/>
  <c r="D36" i="51"/>
  <c r="D37" i="51"/>
  <c r="K80" i="28"/>
  <c r="D72" i="20"/>
  <c r="F72" i="20"/>
  <c r="G72" i="20"/>
  <c r="C73" i="20"/>
  <c r="S92" i="27"/>
  <c r="S94" i="27"/>
  <c r="E13" i="34"/>
  <c r="E15" i="34"/>
  <c r="E64" i="34"/>
  <c r="E16" i="34"/>
  <c r="G43" i="13"/>
  <c r="F16" i="16"/>
  <c r="AE70" i="28"/>
  <c r="F757" i="33"/>
  <c r="F802" i="33"/>
  <c r="F805" i="33"/>
  <c r="F813" i="33"/>
  <c r="F773" i="33"/>
  <c r="F781" i="33"/>
  <c r="F801" i="33"/>
  <c r="G73" i="20"/>
  <c r="C74" i="20"/>
  <c r="D73" i="20"/>
  <c r="F73" i="20"/>
  <c r="K166" i="28"/>
  <c r="K174" i="28"/>
  <c r="K168" i="28"/>
  <c r="I33" i="30"/>
  <c r="K82" i="28"/>
  <c r="F759" i="33"/>
  <c r="F762" i="33"/>
  <c r="F760" i="33"/>
  <c r="F763" i="33"/>
  <c r="G772" i="33"/>
  <c r="F868" i="33"/>
  <c r="F361" i="33"/>
  <c r="F358" i="33"/>
  <c r="F869" i="33"/>
  <c r="D39" i="51"/>
  <c r="D41" i="51"/>
  <c r="S16" i="16"/>
  <c r="F52" i="13"/>
  <c r="D8" i="51"/>
  <c r="D11" i="51"/>
  <c r="F22" i="16"/>
  <c r="E39" i="34"/>
  <c r="E23" i="34"/>
  <c r="S35" i="16"/>
  <c r="F42" i="16"/>
  <c r="F45" i="16"/>
  <c r="E25" i="34"/>
  <c r="E38" i="34"/>
  <c r="O23" i="34"/>
  <c r="F273" i="33"/>
  <c r="K91" i="28"/>
  <c r="AF82" i="28"/>
  <c r="T84" i="28"/>
  <c r="K208" i="28"/>
  <c r="D74" i="20"/>
  <c r="F74" i="20"/>
  <c r="G74" i="20"/>
  <c r="C75" i="20"/>
  <c r="E37" i="34"/>
  <c r="S18" i="16"/>
  <c r="C18" i="52"/>
  <c r="C20" i="52"/>
  <c r="D25" i="51"/>
  <c r="D13" i="51"/>
  <c r="E32" i="34"/>
  <c r="D24" i="51"/>
  <c r="D23" i="51"/>
  <c r="D27" i="51"/>
  <c r="D40" i="51"/>
  <c r="D75" i="20"/>
  <c r="F75" i="20"/>
  <c r="G75" i="20"/>
  <c r="C76" i="20"/>
  <c r="H57" i="29"/>
  <c r="H62" i="29"/>
  <c r="K124" i="28"/>
  <c r="K70" i="31"/>
  <c r="K74" i="31"/>
  <c r="K42" i="31"/>
  <c r="F310" i="33"/>
  <c r="F473" i="33"/>
  <c r="E41" i="34"/>
  <c r="E43" i="34"/>
  <c r="G76" i="20"/>
  <c r="C77" i="20"/>
  <c r="D76" i="20"/>
  <c r="F76" i="20"/>
  <c r="E35" i="34"/>
  <c r="G740" i="33"/>
  <c r="G742" i="33"/>
  <c r="G689" i="33"/>
  <c r="G697" i="33"/>
  <c r="G699" i="33"/>
  <c r="F475" i="33"/>
  <c r="K48" i="31"/>
  <c r="K51" i="31"/>
  <c r="K103" i="31"/>
  <c r="K93" i="31"/>
  <c r="K94" i="31"/>
  <c r="K96" i="31"/>
  <c r="F355" i="33"/>
  <c r="F764" i="33"/>
  <c r="F353" i="33"/>
  <c r="F349" i="33"/>
  <c r="F350" i="33"/>
  <c r="I13" i="30"/>
  <c r="T127" i="28"/>
  <c r="H107" i="29"/>
  <c r="H108" i="29"/>
  <c r="T62" i="29"/>
  <c r="T63" i="29"/>
  <c r="K206" i="28"/>
  <c r="K164" i="28"/>
  <c r="K172" i="28"/>
  <c r="K205" i="28"/>
  <c r="E31" i="34"/>
  <c r="E36" i="34"/>
  <c r="E40" i="16"/>
  <c r="D8" i="45"/>
  <c r="AF166" i="28"/>
  <c r="T164" i="28"/>
  <c r="T166" i="28"/>
  <c r="K209" i="28"/>
  <c r="K210" i="28"/>
  <c r="K201" i="28"/>
  <c r="AF164" i="28"/>
  <c r="I20" i="30"/>
  <c r="I26" i="30"/>
  <c r="I47" i="30"/>
  <c r="E45" i="34"/>
  <c r="E46" i="34"/>
  <c r="E48" i="34"/>
  <c r="F578" i="33"/>
  <c r="F826" i="33"/>
  <c r="G77" i="20"/>
  <c r="D77" i="20"/>
  <c r="F572" i="33"/>
  <c r="F823" i="33"/>
  <c r="F77" i="20"/>
  <c r="K70" i="20"/>
  <c r="I70" i="20"/>
  <c r="I25" i="30"/>
  <c r="I45" i="30"/>
  <c r="I39" i="30"/>
  <c r="I37" i="30"/>
  <c r="C78" i="20"/>
  <c r="G28" i="16"/>
  <c r="F825" i="33"/>
  <c r="F831" i="33"/>
  <c r="F830" i="33"/>
  <c r="F829" i="33"/>
  <c r="F871" i="33"/>
  <c r="F828" i="33"/>
  <c r="F576" i="33"/>
  <c r="F580" i="33"/>
  <c r="F584" i="33"/>
  <c r="F586" i="33"/>
  <c r="F588" i="33"/>
  <c r="F582" i="33"/>
  <c r="I36" i="30"/>
  <c r="I41" i="30"/>
  <c r="F28" i="34"/>
  <c r="D15" i="52"/>
  <c r="F27" i="34"/>
  <c r="D78" i="20"/>
  <c r="G78" i="20"/>
  <c r="C79" i="20"/>
  <c r="E46" i="37"/>
  <c r="F50" i="6"/>
  <c r="E46" i="35"/>
  <c r="E46" i="39"/>
  <c r="G14" i="40"/>
  <c r="G36" i="13"/>
  <c r="G14" i="38"/>
  <c r="G14" i="36"/>
  <c r="F170" i="6"/>
  <c r="F55" i="6"/>
  <c r="F59" i="6"/>
  <c r="F78" i="20"/>
  <c r="E126" i="37"/>
  <c r="E51" i="37"/>
  <c r="E55" i="37"/>
  <c r="E122" i="37"/>
  <c r="E124" i="37"/>
  <c r="D22" i="52"/>
  <c r="D21" i="52"/>
  <c r="E126" i="39"/>
  <c r="E51" i="39"/>
  <c r="G216" i="33"/>
  <c r="G225" i="33"/>
  <c r="L52" i="28"/>
  <c r="E126" i="35"/>
  <c r="E51" i="35"/>
  <c r="D79" i="20"/>
  <c r="F79" i="20"/>
  <c r="G79" i="20"/>
  <c r="C80" i="20"/>
  <c r="F14" i="41"/>
  <c r="E55" i="35"/>
  <c r="F14" i="43"/>
  <c r="E55" i="39"/>
  <c r="F62" i="6"/>
  <c r="F63" i="6"/>
  <c r="F11" i="10"/>
  <c r="F13" i="10"/>
  <c r="F15" i="10"/>
  <c r="F16" i="10"/>
  <c r="F61" i="6"/>
  <c r="D9" i="52"/>
  <c r="F162" i="6"/>
  <c r="F164" i="6"/>
  <c r="F68" i="39"/>
  <c r="F68" i="37"/>
  <c r="F68" i="35"/>
  <c r="G96" i="33"/>
  <c r="I63" i="27"/>
  <c r="I65" i="27"/>
  <c r="L61" i="28"/>
  <c r="E30" i="51"/>
  <c r="E32" i="51"/>
  <c r="F166" i="6"/>
  <c r="F168" i="6"/>
  <c r="F42" i="34"/>
  <c r="G80" i="20"/>
  <c r="C81" i="20"/>
  <c r="D80" i="20"/>
  <c r="F80" i="20"/>
  <c r="G843" i="33"/>
  <c r="G844" i="33"/>
  <c r="G845" i="33"/>
  <c r="G227" i="33"/>
  <c r="E61" i="37"/>
  <c r="E62" i="37"/>
  <c r="E118" i="37"/>
  <c r="E120" i="37"/>
  <c r="E59" i="37"/>
  <c r="E78" i="34"/>
  <c r="E79" i="34"/>
  <c r="E57" i="37"/>
  <c r="G20" i="41"/>
  <c r="G20" i="43"/>
  <c r="F66" i="6"/>
  <c r="F67" i="6"/>
  <c r="L63" i="28"/>
  <c r="G95" i="33"/>
  <c r="G99" i="33"/>
  <c r="G116" i="33"/>
  <c r="G803" i="33"/>
  <c r="G809" i="33"/>
  <c r="G811" i="33"/>
  <c r="F64" i="6"/>
  <c r="F68" i="6"/>
  <c r="D10" i="52"/>
  <c r="F113" i="6"/>
  <c r="F73" i="6"/>
  <c r="F69" i="6"/>
  <c r="F114" i="6"/>
  <c r="F65" i="6"/>
  <c r="E59" i="39"/>
  <c r="E61" i="39"/>
  <c r="E62" i="39"/>
  <c r="E57" i="39"/>
  <c r="E85" i="34"/>
  <c r="E86" i="34"/>
  <c r="E118" i="39"/>
  <c r="E120" i="39"/>
  <c r="E122" i="39"/>
  <c r="E124" i="39"/>
  <c r="G761" i="33"/>
  <c r="G12" i="13"/>
  <c r="G20" i="13"/>
  <c r="F112" i="6"/>
  <c r="D8" i="52"/>
  <c r="F111" i="6"/>
  <c r="F16" i="43"/>
  <c r="F22" i="43"/>
  <c r="F32" i="43"/>
  <c r="F33" i="43"/>
  <c r="E63" i="37"/>
  <c r="E67" i="37"/>
  <c r="E69" i="37"/>
  <c r="F12" i="38"/>
  <c r="F17" i="38"/>
  <c r="F25" i="38"/>
  <c r="F28" i="38"/>
  <c r="E64" i="37"/>
  <c r="E60" i="37"/>
  <c r="I100" i="27"/>
  <c r="I77" i="27"/>
  <c r="F17" i="10"/>
  <c r="F18" i="10"/>
  <c r="F19" i="10"/>
  <c r="F58" i="37"/>
  <c r="E118" i="35"/>
  <c r="E120" i="35"/>
  <c r="E61" i="35"/>
  <c r="E62" i="35"/>
  <c r="E57" i="35"/>
  <c r="E71" i="34"/>
  <c r="E72" i="34"/>
  <c r="E59" i="35"/>
  <c r="E122" i="35"/>
  <c r="E124" i="35"/>
  <c r="D81" i="20"/>
  <c r="F81" i="20"/>
  <c r="G81" i="20"/>
  <c r="C82" i="20"/>
  <c r="R62" i="6"/>
  <c r="I79" i="27"/>
  <c r="G38" i="13"/>
  <c r="F16" i="41"/>
  <c r="F22" i="41"/>
  <c r="F32" i="41"/>
  <c r="F33" i="41"/>
  <c r="E5" i="45"/>
  <c r="F28" i="41"/>
  <c r="F23" i="41"/>
  <c r="F12" i="36"/>
  <c r="F17" i="36"/>
  <c r="F25" i="36"/>
  <c r="F28" i="36"/>
  <c r="E63" i="35"/>
  <c r="E67" i="35"/>
  <c r="E69" i="35"/>
  <c r="E64" i="35"/>
  <c r="E60" i="35"/>
  <c r="F11" i="34"/>
  <c r="F40" i="34"/>
  <c r="F12" i="40"/>
  <c r="F17" i="40"/>
  <c r="F25" i="40"/>
  <c r="F28" i="40"/>
  <c r="E63" i="39"/>
  <c r="E67" i="39"/>
  <c r="E69" i="39"/>
  <c r="E64" i="39"/>
  <c r="E60" i="39"/>
  <c r="G82" i="20"/>
  <c r="C83" i="20"/>
  <c r="D82" i="20"/>
  <c r="F82" i="20"/>
  <c r="G121" i="33"/>
  <c r="G754" i="33"/>
  <c r="E7" i="45"/>
  <c r="U64" i="28"/>
  <c r="I81" i="27"/>
  <c r="F23" i="43"/>
  <c r="F28" i="43"/>
  <c r="G27" i="16"/>
  <c r="L35" i="31"/>
  <c r="L38" i="31"/>
  <c r="L92" i="31"/>
  <c r="G39" i="13"/>
  <c r="G41" i="13"/>
  <c r="G44" i="13"/>
  <c r="I83" i="27"/>
  <c r="G37" i="16"/>
  <c r="G45" i="13"/>
  <c r="F19" i="34"/>
  <c r="L78" i="28"/>
  <c r="G259" i="33"/>
  <c r="G262" i="33"/>
  <c r="I99" i="27"/>
  <c r="I92" i="27"/>
  <c r="I94" i="27"/>
  <c r="L14" i="31"/>
  <c r="L25" i="31"/>
  <c r="E4" i="45"/>
  <c r="D83" i="20"/>
  <c r="F83" i="20"/>
  <c r="G83" i="20"/>
  <c r="C84" i="20"/>
  <c r="F12" i="34"/>
  <c r="F63" i="34"/>
  <c r="F24" i="41"/>
  <c r="F26" i="41"/>
  <c r="F26" i="43"/>
  <c r="F24" i="43"/>
  <c r="G755" i="33"/>
  <c r="D19" i="44"/>
  <c r="D26" i="44"/>
  <c r="G35" i="16"/>
  <c r="G38" i="16"/>
  <c r="E12" i="52"/>
  <c r="E14" i="52"/>
  <c r="G128" i="33"/>
  <c r="G131" i="33"/>
  <c r="G756" i="33"/>
  <c r="H648" i="33"/>
  <c r="H665" i="33"/>
  <c r="G84" i="20"/>
  <c r="C85" i="20"/>
  <c r="D84" i="20"/>
  <c r="F84" i="20"/>
  <c r="F13" i="34"/>
  <c r="F15" i="34"/>
  <c r="F64" i="34"/>
  <c r="T92" i="27"/>
  <c r="T94" i="27"/>
  <c r="F16" i="34"/>
  <c r="L84" i="31"/>
  <c r="L88" i="31"/>
  <c r="L40" i="31"/>
  <c r="G351" i="33"/>
  <c r="G264" i="33"/>
  <c r="G16" i="16"/>
  <c r="H43" i="13"/>
  <c r="H686" i="33"/>
  <c r="H789" i="33"/>
  <c r="H791" i="33"/>
  <c r="G757" i="33"/>
  <c r="G802" i="33"/>
  <c r="G805" i="33"/>
  <c r="G813" i="33"/>
  <c r="G801" i="33"/>
  <c r="G773" i="33"/>
  <c r="G781" i="33"/>
  <c r="E36" i="51"/>
  <c r="E37" i="51"/>
  <c r="L80" i="28"/>
  <c r="L166" i="28"/>
  <c r="L168" i="28"/>
  <c r="J33" i="30"/>
  <c r="L82" i="28"/>
  <c r="H772" i="33"/>
  <c r="G759" i="33"/>
  <c r="G762" i="33"/>
  <c r="G760" i="33"/>
  <c r="G763" i="33"/>
  <c r="G868" i="33"/>
  <c r="G361" i="33"/>
  <c r="G358" i="33"/>
  <c r="G869" i="33"/>
  <c r="F23" i="34"/>
  <c r="F39" i="34"/>
  <c r="D85" i="20"/>
  <c r="F85" i="20"/>
  <c r="G85" i="20"/>
  <c r="C86" i="20"/>
  <c r="E39" i="51"/>
  <c r="E41" i="51"/>
  <c r="E8" i="51"/>
  <c r="E11" i="51"/>
  <c r="G52" i="13"/>
  <c r="T16" i="16"/>
  <c r="G22" i="16"/>
  <c r="G273" i="33"/>
  <c r="L91" i="28"/>
  <c r="G45" i="16"/>
  <c r="G46" i="16"/>
  <c r="T35" i="16"/>
  <c r="G42" i="16"/>
  <c r="E25" i="51"/>
  <c r="E13" i="51"/>
  <c r="G86" i="20"/>
  <c r="C87" i="20"/>
  <c r="D86" i="20"/>
  <c r="F86" i="20"/>
  <c r="AG82" i="28"/>
  <c r="U84" i="28"/>
  <c r="L208" i="28"/>
  <c r="P23" i="34"/>
  <c r="F25" i="34"/>
  <c r="F38" i="34"/>
  <c r="T18" i="16"/>
  <c r="D18" i="52"/>
  <c r="D20" i="52"/>
  <c r="F37" i="34"/>
  <c r="L174" i="28"/>
  <c r="E9" i="45"/>
  <c r="E6" i="45"/>
  <c r="F41" i="34"/>
  <c r="F43" i="34"/>
  <c r="E23" i="51"/>
  <c r="E27" i="51"/>
  <c r="E24" i="51"/>
  <c r="E40" i="51"/>
  <c r="G473" i="33"/>
  <c r="G310" i="33"/>
  <c r="F32" i="34"/>
  <c r="L124" i="28"/>
  <c r="I57" i="29"/>
  <c r="I62" i="29"/>
  <c r="L70" i="31"/>
  <c r="L74" i="31"/>
  <c r="L42" i="31"/>
  <c r="G87" i="20"/>
  <c r="C88" i="20"/>
  <c r="D87" i="20"/>
  <c r="F87" i="20"/>
  <c r="L48" i="31"/>
  <c r="L51" i="31"/>
  <c r="L103" i="31"/>
  <c r="L93" i="31"/>
  <c r="L94" i="31"/>
  <c r="L96" i="31"/>
  <c r="H740" i="33"/>
  <c r="H742" i="33"/>
  <c r="H689" i="33"/>
  <c r="H697" i="33"/>
  <c r="H699" i="33"/>
  <c r="G475" i="33"/>
  <c r="D88" i="20"/>
  <c r="F88" i="20"/>
  <c r="G88" i="20"/>
  <c r="C89" i="20"/>
  <c r="F35" i="34"/>
  <c r="F36" i="34"/>
  <c r="J13" i="30"/>
  <c r="U62" i="29"/>
  <c r="U63" i="29"/>
  <c r="I107" i="29"/>
  <c r="I108" i="29"/>
  <c r="U127" i="28"/>
  <c r="L206" i="28"/>
  <c r="L164" i="28"/>
  <c r="L172" i="28"/>
  <c r="L205" i="28"/>
  <c r="F31" i="34"/>
  <c r="G353" i="33"/>
  <c r="G355" i="33"/>
  <c r="G764" i="33"/>
  <c r="G349" i="33"/>
  <c r="G350" i="33"/>
  <c r="E8" i="45"/>
  <c r="F40" i="16"/>
  <c r="F45" i="34"/>
  <c r="F46" i="34"/>
  <c r="F48" i="34"/>
  <c r="G826" i="33"/>
  <c r="G578" i="33"/>
  <c r="L209" i="28"/>
  <c r="L210" i="28"/>
  <c r="AG166" i="28"/>
  <c r="U164" i="28"/>
  <c r="U166" i="28"/>
  <c r="L201" i="28"/>
  <c r="AG164" i="28"/>
  <c r="J26" i="30"/>
  <c r="J47" i="30"/>
  <c r="J20" i="30"/>
  <c r="G823" i="33"/>
  <c r="G572" i="33"/>
  <c r="D89" i="20"/>
  <c r="G89" i="20"/>
  <c r="G576" i="33"/>
  <c r="G580" i="33"/>
  <c r="G584" i="33"/>
  <c r="G586" i="33"/>
  <c r="G588" i="33"/>
  <c r="C90" i="20"/>
  <c r="H28" i="16"/>
  <c r="J25" i="30"/>
  <c r="J45" i="30"/>
  <c r="J37" i="30"/>
  <c r="J39" i="30"/>
  <c r="G582" i="33"/>
  <c r="F89" i="20"/>
  <c r="K82" i="20"/>
  <c r="I82" i="20"/>
  <c r="G828" i="33"/>
  <c r="G825" i="33"/>
  <c r="G831" i="33"/>
  <c r="G830" i="33"/>
  <c r="G871" i="33"/>
  <c r="G829" i="33"/>
  <c r="F46" i="35"/>
  <c r="F46" i="39"/>
  <c r="F46" i="37"/>
  <c r="G50" i="6"/>
  <c r="J36" i="30"/>
  <c r="J41" i="30"/>
  <c r="D90" i="20"/>
  <c r="G90" i="20"/>
  <c r="C91" i="20"/>
  <c r="G28" i="34"/>
  <c r="G27" i="34"/>
  <c r="E15" i="52"/>
  <c r="G91" i="20"/>
  <c r="C92" i="20"/>
  <c r="D91" i="20"/>
  <c r="F91" i="20"/>
  <c r="H14" i="36"/>
  <c r="H14" i="38"/>
  <c r="H14" i="40"/>
  <c r="G170" i="6"/>
  <c r="H36" i="13"/>
  <c r="G55" i="6"/>
  <c r="G59" i="6"/>
  <c r="F90" i="20"/>
  <c r="F126" i="37"/>
  <c r="F51" i="37"/>
  <c r="F55" i="37"/>
  <c r="F122" i="37"/>
  <c r="F124" i="37"/>
  <c r="E21" i="52"/>
  <c r="E22" i="52"/>
  <c r="F126" i="39"/>
  <c r="F51" i="39"/>
  <c r="M52" i="28"/>
  <c r="H216" i="33"/>
  <c r="H225" i="33"/>
  <c r="F126" i="35"/>
  <c r="F51" i="35"/>
  <c r="G14" i="41"/>
  <c r="F55" i="35"/>
  <c r="M61" i="28"/>
  <c r="F30" i="51"/>
  <c r="F32" i="51"/>
  <c r="H96" i="33"/>
  <c r="J63" i="27"/>
  <c r="J65" i="27"/>
  <c r="H843" i="33"/>
  <c r="H844" i="33"/>
  <c r="H845" i="33"/>
  <c r="H227" i="33"/>
  <c r="G42" i="34"/>
  <c r="H20" i="43"/>
  <c r="H20" i="41"/>
  <c r="G162" i="6"/>
  <c r="G164" i="6"/>
  <c r="G11" i="10"/>
  <c r="G13" i="10"/>
  <c r="G15" i="10"/>
  <c r="G16" i="10"/>
  <c r="E9" i="52"/>
  <c r="G61" i="6"/>
  <c r="G62" i="6"/>
  <c r="G63" i="6"/>
  <c r="G68" i="39"/>
  <c r="G68" i="37"/>
  <c r="G68" i="35"/>
  <c r="G14" i="43"/>
  <c r="F55" i="39"/>
  <c r="F118" i="37"/>
  <c r="F120" i="37"/>
  <c r="F57" i="37"/>
  <c r="F78" i="34"/>
  <c r="F79" i="34"/>
  <c r="F59" i="37"/>
  <c r="F61" i="37"/>
  <c r="F62" i="37"/>
  <c r="G166" i="6"/>
  <c r="G168" i="6"/>
  <c r="D92" i="20"/>
  <c r="G92" i="20"/>
  <c r="C93" i="20"/>
  <c r="H38" i="13"/>
  <c r="S62" i="6"/>
  <c r="G66" i="6"/>
  <c r="H803" i="33"/>
  <c r="H809" i="33"/>
  <c r="H811" i="33"/>
  <c r="H95" i="33"/>
  <c r="H99" i="33"/>
  <c r="H116" i="33"/>
  <c r="F64" i="37"/>
  <c r="F63" i="37"/>
  <c r="F67" i="37"/>
  <c r="F69" i="37"/>
  <c r="G12" i="38"/>
  <c r="G17" i="38"/>
  <c r="G25" i="38"/>
  <c r="G28" i="38"/>
  <c r="F60" i="37"/>
  <c r="G111" i="6"/>
  <c r="E8" i="52"/>
  <c r="G112" i="6"/>
  <c r="H12" i="13"/>
  <c r="H20" i="13"/>
  <c r="D93" i="20"/>
  <c r="F93" i="20"/>
  <c r="G93" i="20"/>
  <c r="C94" i="20"/>
  <c r="G68" i="6"/>
  <c r="G69" i="6"/>
  <c r="E10" i="52"/>
  <c r="G64" i="6"/>
  <c r="G65" i="6"/>
  <c r="G73" i="6"/>
  <c r="G113" i="6"/>
  <c r="G114" i="6"/>
  <c r="G17" i="10"/>
  <c r="G18" i="10"/>
  <c r="G19" i="10"/>
  <c r="G58" i="37"/>
  <c r="F92" i="20"/>
  <c r="H761" i="33"/>
  <c r="J100" i="27"/>
  <c r="J77" i="27"/>
  <c r="F61" i="35"/>
  <c r="F62" i="35"/>
  <c r="F118" i="35"/>
  <c r="F120" i="35"/>
  <c r="F57" i="35"/>
  <c r="F71" i="34"/>
  <c r="F72" i="34"/>
  <c r="F59" i="35"/>
  <c r="F122" i="35"/>
  <c r="F124" i="35"/>
  <c r="F61" i="39"/>
  <c r="F62" i="39"/>
  <c r="F57" i="39"/>
  <c r="F59" i="39"/>
  <c r="F118" i="39"/>
  <c r="F120" i="39"/>
  <c r="F85" i="34"/>
  <c r="F86" i="34"/>
  <c r="F122" i="39"/>
  <c r="F124" i="39"/>
  <c r="G16" i="43"/>
  <c r="G22" i="43"/>
  <c r="G32" i="43"/>
  <c r="G33" i="43"/>
  <c r="M63" i="28"/>
  <c r="G16" i="41"/>
  <c r="G22" i="41"/>
  <c r="G32" i="41"/>
  <c r="G33" i="41"/>
  <c r="G11" i="34"/>
  <c r="G40" i="34"/>
  <c r="V64" i="28"/>
  <c r="F7" i="45"/>
  <c r="H27" i="16"/>
  <c r="H754" i="33"/>
  <c r="H121" i="33"/>
  <c r="F67" i="35"/>
  <c r="F69" i="35"/>
  <c r="F64" i="35"/>
  <c r="G12" i="36"/>
  <c r="G17" i="36"/>
  <c r="G25" i="36"/>
  <c r="G28" i="36"/>
  <c r="F63" i="35"/>
  <c r="F60" i="35"/>
  <c r="D94" i="20"/>
  <c r="G94" i="20"/>
  <c r="C95" i="20"/>
  <c r="G12" i="40"/>
  <c r="G17" i="40"/>
  <c r="G25" i="40"/>
  <c r="G28" i="40"/>
  <c r="F64" i="39"/>
  <c r="F63" i="39"/>
  <c r="F67" i="39"/>
  <c r="F69" i="39"/>
  <c r="F60" i="39"/>
  <c r="M35" i="31"/>
  <c r="M38" i="31"/>
  <c r="M92" i="31"/>
  <c r="J83" i="27"/>
  <c r="H39" i="13"/>
  <c r="H41" i="13"/>
  <c r="H44" i="13"/>
  <c r="G28" i="43"/>
  <c r="G23" i="43"/>
  <c r="G23" i="41"/>
  <c r="G28" i="41"/>
  <c r="G67" i="6"/>
  <c r="F5" i="45"/>
  <c r="J79" i="27"/>
  <c r="J81" i="27"/>
  <c r="F4" i="45"/>
  <c r="J99" i="27"/>
  <c r="J92" i="27"/>
  <c r="J94" i="27"/>
  <c r="M14" i="31"/>
  <c r="M25" i="31"/>
  <c r="G26" i="41"/>
  <c r="G24" i="41"/>
  <c r="F94" i="20"/>
  <c r="G26" i="43"/>
  <c r="G24" i="43"/>
  <c r="H128" i="33"/>
  <c r="H131" i="33"/>
  <c r="H756" i="33"/>
  <c r="I648" i="33"/>
  <c r="I665" i="33"/>
  <c r="G19" i="34"/>
  <c r="H259" i="33"/>
  <c r="H262" i="33"/>
  <c r="M78" i="28"/>
  <c r="G12" i="34"/>
  <c r="G63" i="34"/>
  <c r="H37" i="16"/>
  <c r="H45" i="13"/>
  <c r="D95" i="20"/>
  <c r="F95" i="20"/>
  <c r="G95" i="20"/>
  <c r="C96" i="20"/>
  <c r="H755" i="33"/>
  <c r="E19" i="44"/>
  <c r="E26" i="44"/>
  <c r="F12" i="52"/>
  <c r="F14" i="52"/>
  <c r="H38" i="16"/>
  <c r="H35" i="16"/>
  <c r="D96" i="20"/>
  <c r="F96" i="20"/>
  <c r="G96" i="20"/>
  <c r="C97" i="20"/>
  <c r="I789" i="33"/>
  <c r="I791" i="33"/>
  <c r="I686" i="33"/>
  <c r="F36" i="51"/>
  <c r="F37" i="51"/>
  <c r="M80" i="28"/>
  <c r="H757" i="33"/>
  <c r="H802" i="33"/>
  <c r="H805" i="33"/>
  <c r="H813" i="33"/>
  <c r="H773" i="33"/>
  <c r="H781" i="33"/>
  <c r="H801" i="33"/>
  <c r="H351" i="33"/>
  <c r="H264" i="33"/>
  <c r="I43" i="13"/>
  <c r="H16" i="16"/>
  <c r="G13" i="34"/>
  <c r="G15" i="34"/>
  <c r="G64" i="34"/>
  <c r="G16" i="34"/>
  <c r="U92" i="27"/>
  <c r="U94" i="27"/>
  <c r="M40" i="31"/>
  <c r="M84" i="31"/>
  <c r="M88" i="31"/>
  <c r="H52" i="13"/>
  <c r="U16" i="16"/>
  <c r="F8" i="51"/>
  <c r="F11" i="51"/>
  <c r="H22" i="16"/>
  <c r="F39" i="51"/>
  <c r="F41" i="51"/>
  <c r="G23" i="34"/>
  <c r="G39" i="34"/>
  <c r="G97" i="20"/>
  <c r="C98" i="20"/>
  <c r="D97" i="20"/>
  <c r="H760" i="33"/>
  <c r="H763" i="33"/>
  <c r="H759" i="33"/>
  <c r="H762" i="33"/>
  <c r="I772" i="33"/>
  <c r="H868" i="33"/>
  <c r="H361" i="33"/>
  <c r="H358" i="33"/>
  <c r="H869" i="33"/>
  <c r="M166" i="28"/>
  <c r="M168" i="28"/>
  <c r="K33" i="30"/>
  <c r="M82" i="28"/>
  <c r="M174" i="28"/>
  <c r="F6" i="45"/>
  <c r="G98" i="20"/>
  <c r="C99" i="20"/>
  <c r="D98" i="20"/>
  <c r="F98" i="20"/>
  <c r="G37" i="34"/>
  <c r="U18" i="16"/>
  <c r="E18" i="52"/>
  <c r="E20" i="52"/>
  <c r="M91" i="28"/>
  <c r="H273" i="33"/>
  <c r="AH82" i="28"/>
  <c r="M208" i="28"/>
  <c r="V84" i="28"/>
  <c r="Q23" i="34"/>
  <c r="G25" i="34"/>
  <c r="G38" i="34"/>
  <c r="U35" i="16"/>
  <c r="H45" i="16"/>
  <c r="H46" i="16"/>
  <c r="H42" i="16"/>
  <c r="F97" i="20"/>
  <c r="F13" i="51"/>
  <c r="F25" i="51"/>
  <c r="M70" i="31"/>
  <c r="M74" i="31"/>
  <c r="M42" i="31"/>
  <c r="J57" i="29"/>
  <c r="J62" i="29"/>
  <c r="M124" i="28"/>
  <c r="F9" i="45"/>
  <c r="W175" i="28"/>
  <c r="G44" i="34"/>
  <c r="D99" i="20"/>
  <c r="F99" i="20"/>
  <c r="G99" i="20"/>
  <c r="C100" i="20"/>
  <c r="H473" i="33"/>
  <c r="H310" i="33"/>
  <c r="G41" i="34"/>
  <c r="G43" i="34"/>
  <c r="F23" i="51"/>
  <c r="F27" i="51"/>
  <c r="F24" i="51"/>
  <c r="F40" i="51"/>
  <c r="G32" i="34"/>
  <c r="I740" i="33"/>
  <c r="I742" i="33"/>
  <c r="I689" i="33"/>
  <c r="I697" i="33"/>
  <c r="I699" i="33"/>
  <c r="H475" i="33"/>
  <c r="G36" i="34"/>
  <c r="D100" i="20"/>
  <c r="F100" i="20"/>
  <c r="G100" i="20"/>
  <c r="C101" i="20"/>
  <c r="V127" i="28"/>
  <c r="M206" i="28"/>
  <c r="M164" i="28"/>
  <c r="V62" i="29"/>
  <c r="V63" i="29"/>
  <c r="J107" i="29"/>
  <c r="J108" i="29"/>
  <c r="K13" i="30"/>
  <c r="M172" i="28"/>
  <c r="M205" i="28"/>
  <c r="G31" i="34"/>
  <c r="G35" i="34"/>
  <c r="H353" i="33"/>
  <c r="H355" i="33"/>
  <c r="H764" i="33"/>
  <c r="H349" i="33"/>
  <c r="H350" i="33"/>
  <c r="M48" i="31"/>
  <c r="M51" i="31"/>
  <c r="M93" i="31"/>
  <c r="M94" i="31"/>
  <c r="M96" i="31"/>
  <c r="G45" i="34"/>
  <c r="G46" i="34"/>
  <c r="G48" i="34"/>
  <c r="W173" i="28"/>
  <c r="G40" i="16"/>
  <c r="F8" i="45"/>
  <c r="AH166" i="28"/>
  <c r="V164" i="28"/>
  <c r="V166" i="28"/>
  <c r="M209" i="28"/>
  <c r="M210" i="28"/>
  <c r="M201" i="28"/>
  <c r="T204" i="28"/>
  <c r="AH164" i="28"/>
  <c r="M194" i="28"/>
  <c r="G101" i="20"/>
  <c r="D101" i="20"/>
  <c r="H578" i="33"/>
  <c r="H826" i="33"/>
  <c r="K26" i="30"/>
  <c r="K47" i="30"/>
  <c r="K20" i="30"/>
  <c r="H572" i="33"/>
  <c r="H823" i="33"/>
  <c r="S51" i="31"/>
  <c r="M103" i="31"/>
  <c r="H825" i="33"/>
  <c r="H831" i="33"/>
  <c r="H830" i="33"/>
  <c r="H829" i="33"/>
  <c r="H871" i="33"/>
  <c r="H828" i="33"/>
  <c r="H576" i="33"/>
  <c r="H580" i="33"/>
  <c r="H584" i="33"/>
  <c r="H586" i="33"/>
  <c r="H588" i="33"/>
  <c r="H582" i="33"/>
  <c r="K37" i="30"/>
  <c r="K25" i="30"/>
  <c r="K45" i="30"/>
  <c r="K39" i="30"/>
  <c r="F101" i="20"/>
  <c r="K94" i="20"/>
  <c r="I94" i="20"/>
  <c r="C102" i="20"/>
  <c r="I28" i="16"/>
  <c r="K36" i="30"/>
  <c r="K41" i="30"/>
  <c r="G46" i="37"/>
  <c r="H50" i="6"/>
  <c r="G46" i="39"/>
  <c r="G46" i="35"/>
  <c r="F15" i="52"/>
  <c r="H28" i="34"/>
  <c r="H27" i="34"/>
  <c r="D102" i="20"/>
  <c r="G102" i="20"/>
  <c r="C103" i="20"/>
  <c r="F22" i="52"/>
  <c r="F21" i="52"/>
  <c r="G126" i="35"/>
  <c r="G51" i="35"/>
  <c r="G126" i="39"/>
  <c r="G51" i="39"/>
  <c r="G103" i="20"/>
  <c r="C104" i="20"/>
  <c r="D103" i="20"/>
  <c r="F103" i="20"/>
  <c r="N52" i="28"/>
  <c r="I216" i="33"/>
  <c r="I225" i="33"/>
  <c r="I36" i="13"/>
  <c r="I14" i="40"/>
  <c r="I14" i="38"/>
  <c r="I14" i="36"/>
  <c r="H170" i="6"/>
  <c r="H55" i="6"/>
  <c r="H59" i="6"/>
  <c r="F102" i="20"/>
  <c r="G126" i="37"/>
  <c r="G51" i="37"/>
  <c r="G55" i="37"/>
  <c r="G57" i="37"/>
  <c r="G118" i="37"/>
  <c r="G120" i="37"/>
  <c r="G59" i="37"/>
  <c r="G61" i="37"/>
  <c r="G62" i="37"/>
  <c r="G78" i="34"/>
  <c r="G79" i="34"/>
  <c r="I843" i="33"/>
  <c r="I844" i="33"/>
  <c r="I845" i="33"/>
  <c r="I227" i="33"/>
  <c r="H14" i="43"/>
  <c r="G55" i="39"/>
  <c r="G122" i="37"/>
  <c r="G124" i="37"/>
  <c r="I20" i="41"/>
  <c r="I20" i="43"/>
  <c r="I96" i="33"/>
  <c r="K63" i="27"/>
  <c r="K65" i="27"/>
  <c r="G104" i="20"/>
  <c r="C105" i="20"/>
  <c r="D104" i="20"/>
  <c r="F9" i="52"/>
  <c r="H61" i="6"/>
  <c r="H162" i="6"/>
  <c r="H164" i="6"/>
  <c r="H11" i="10"/>
  <c r="H13" i="10"/>
  <c r="H15" i="10"/>
  <c r="H16" i="10"/>
  <c r="H62" i="6"/>
  <c r="N61" i="28"/>
  <c r="G30" i="51"/>
  <c r="G32" i="51"/>
  <c r="H68" i="39"/>
  <c r="H68" i="35"/>
  <c r="H68" i="37"/>
  <c r="H166" i="6"/>
  <c r="H168" i="6"/>
  <c r="H42" i="34"/>
  <c r="H14" i="41"/>
  <c r="G55" i="35"/>
  <c r="G59" i="35"/>
  <c r="G118" i="35"/>
  <c r="G120" i="35"/>
  <c r="G57" i="35"/>
  <c r="G61" i="35"/>
  <c r="G62" i="35"/>
  <c r="G71" i="34"/>
  <c r="G72" i="34"/>
  <c r="G122" i="35"/>
  <c r="G124" i="35"/>
  <c r="I95" i="33"/>
  <c r="I99" i="33"/>
  <c r="I116" i="33"/>
  <c r="I803" i="33"/>
  <c r="I809" i="33"/>
  <c r="I811" i="33"/>
  <c r="F104" i="20"/>
  <c r="G118" i="39"/>
  <c r="G120" i="39"/>
  <c r="G59" i="39"/>
  <c r="G57" i="39"/>
  <c r="G85" i="34"/>
  <c r="G86" i="34"/>
  <c r="G61" i="39"/>
  <c r="G62" i="39"/>
  <c r="G122" i="39"/>
  <c r="G124" i="39"/>
  <c r="H12" i="38"/>
  <c r="H17" i="38"/>
  <c r="H25" i="38"/>
  <c r="H28" i="38"/>
  <c r="G67" i="37"/>
  <c r="G69" i="37"/>
  <c r="G63" i="37"/>
  <c r="G64" i="37"/>
  <c r="G60" i="37"/>
  <c r="H16" i="41"/>
  <c r="H22" i="41"/>
  <c r="H32" i="41"/>
  <c r="H33" i="41"/>
  <c r="H17" i="10"/>
  <c r="H18" i="10"/>
  <c r="H19" i="10"/>
  <c r="H111" i="6"/>
  <c r="F8" i="52"/>
  <c r="H112" i="6"/>
  <c r="I12" i="13"/>
  <c r="I20" i="13"/>
  <c r="G105" i="20"/>
  <c r="C106" i="20"/>
  <c r="D105" i="20"/>
  <c r="F105" i="20"/>
  <c r="K100" i="27"/>
  <c r="K77" i="27"/>
  <c r="H16" i="43"/>
  <c r="H22" i="43"/>
  <c r="H32" i="43"/>
  <c r="H33" i="43"/>
  <c r="T62" i="6"/>
  <c r="I38" i="13"/>
  <c r="N63" i="28"/>
  <c r="H66" i="6"/>
  <c r="H63" i="6"/>
  <c r="I761" i="33"/>
  <c r="K79" i="27"/>
  <c r="H58" i="37"/>
  <c r="H58" i="39"/>
  <c r="H58" i="35"/>
  <c r="G67" i="39"/>
  <c r="G69" i="39"/>
  <c r="H12" i="40"/>
  <c r="H17" i="40"/>
  <c r="H25" i="40"/>
  <c r="H28" i="40"/>
  <c r="G64" i="39"/>
  <c r="G63" i="39"/>
  <c r="G60" i="39"/>
  <c r="H28" i="41"/>
  <c r="H23" i="41"/>
  <c r="H68" i="6"/>
  <c r="H113" i="6"/>
  <c r="H64" i="6"/>
  <c r="H65" i="6"/>
  <c r="H73" i="6"/>
  <c r="H114" i="6"/>
  <c r="F10" i="52"/>
  <c r="H69" i="6"/>
  <c r="H67" i="6"/>
  <c r="G5" i="45"/>
  <c r="G106" i="20"/>
  <c r="C107" i="20"/>
  <c r="D106" i="20"/>
  <c r="F106" i="20"/>
  <c r="G7" i="45"/>
  <c r="W64" i="28"/>
  <c r="H23" i="43"/>
  <c r="H28" i="43"/>
  <c r="K81" i="27"/>
  <c r="H11" i="34"/>
  <c r="H40" i="34"/>
  <c r="I754" i="33"/>
  <c r="I121" i="33"/>
  <c r="G67" i="35"/>
  <c r="G69" i="35"/>
  <c r="G64" i="35"/>
  <c r="H12" i="36"/>
  <c r="H17" i="36"/>
  <c r="H25" i="36"/>
  <c r="H28" i="36"/>
  <c r="G63" i="35"/>
  <c r="G60" i="35"/>
  <c r="N14" i="31"/>
  <c r="N25" i="31"/>
  <c r="G4" i="45"/>
  <c r="K99" i="27"/>
  <c r="H24" i="41"/>
  <c r="H26" i="41"/>
  <c r="I27" i="16"/>
  <c r="I755" i="33"/>
  <c r="H26" i="43"/>
  <c r="H24" i="43"/>
  <c r="K83" i="27"/>
  <c r="K92" i="27"/>
  <c r="I39" i="13"/>
  <c r="I41" i="13"/>
  <c r="I44" i="13"/>
  <c r="N35" i="31"/>
  <c r="N38" i="31"/>
  <c r="N92" i="31"/>
  <c r="J648" i="33"/>
  <c r="J665" i="33"/>
  <c r="I128" i="33"/>
  <c r="I131" i="33"/>
  <c r="I756" i="33"/>
  <c r="H12" i="34"/>
  <c r="H63" i="34"/>
  <c r="G107" i="20"/>
  <c r="C108" i="20"/>
  <c r="D107" i="20"/>
  <c r="F107" i="20"/>
  <c r="K94" i="27"/>
  <c r="I37" i="16"/>
  <c r="I45" i="13"/>
  <c r="J789" i="33"/>
  <c r="J791" i="33"/>
  <c r="J686" i="33"/>
  <c r="N78" i="28"/>
  <c r="I259" i="33"/>
  <c r="I262" i="33"/>
  <c r="H19" i="34"/>
  <c r="G108" i="20"/>
  <c r="C109" i="20"/>
  <c r="D108" i="20"/>
  <c r="F108" i="20"/>
  <c r="H13" i="34"/>
  <c r="H15" i="34"/>
  <c r="H64" i="34"/>
  <c r="V92" i="27"/>
  <c r="V94" i="27"/>
  <c r="H16" i="34"/>
  <c r="F19" i="44"/>
  <c r="F26" i="44"/>
  <c r="I38" i="16"/>
  <c r="I35" i="16"/>
  <c r="G12" i="52"/>
  <c r="G14" i="52"/>
  <c r="I801" i="33"/>
  <c r="I773" i="33"/>
  <c r="I781" i="33"/>
  <c r="I757" i="33"/>
  <c r="I802" i="33"/>
  <c r="I805" i="33"/>
  <c r="I813" i="33"/>
  <c r="N40" i="31"/>
  <c r="N84" i="31"/>
  <c r="N88" i="31"/>
  <c r="D109" i="20"/>
  <c r="F109" i="20"/>
  <c r="G109" i="20"/>
  <c r="C110" i="20"/>
  <c r="I16" i="16"/>
  <c r="J43" i="13"/>
  <c r="G36" i="51"/>
  <c r="G37" i="51"/>
  <c r="N80" i="28"/>
  <c r="I264" i="33"/>
  <c r="I351" i="33"/>
  <c r="J772" i="33"/>
  <c r="I759" i="33"/>
  <c r="I762" i="33"/>
  <c r="I760" i="33"/>
  <c r="I763" i="33"/>
  <c r="I868" i="33"/>
  <c r="I361" i="33"/>
  <c r="I358" i="33"/>
  <c r="I869" i="33"/>
  <c r="G39" i="51"/>
  <c r="G41" i="51"/>
  <c r="G110" i="20"/>
  <c r="C111" i="20"/>
  <c r="D110" i="20"/>
  <c r="F110" i="20"/>
  <c r="N166" i="28"/>
  <c r="N168" i="28"/>
  <c r="L33" i="30"/>
  <c r="L45" i="30"/>
  <c r="N82" i="28"/>
  <c r="H39" i="34"/>
  <c r="H23" i="34"/>
  <c r="V16" i="16"/>
  <c r="G8" i="51"/>
  <c r="G11" i="51"/>
  <c r="I52" i="13"/>
  <c r="I22" i="16"/>
  <c r="G111" i="20"/>
  <c r="C112" i="20"/>
  <c r="D111" i="20"/>
  <c r="F111" i="20"/>
  <c r="I45" i="16"/>
  <c r="I46" i="16"/>
  <c r="V35" i="16"/>
  <c r="I42" i="16"/>
  <c r="I273" i="33"/>
  <c r="N91" i="28"/>
  <c r="H37" i="34"/>
  <c r="AI82" i="28"/>
  <c r="W84" i="28"/>
  <c r="N208" i="28"/>
  <c r="G13" i="51"/>
  <c r="G25" i="51"/>
  <c r="H41" i="34"/>
  <c r="H43" i="34"/>
  <c r="V18" i="16"/>
  <c r="F18" i="52"/>
  <c r="F20" i="52"/>
  <c r="H25" i="34"/>
  <c r="H38" i="34"/>
  <c r="R23" i="34"/>
  <c r="G6" i="45"/>
  <c r="N174" i="28"/>
  <c r="G23" i="51"/>
  <c r="G27" i="51"/>
  <c r="G24" i="51"/>
  <c r="G40" i="51"/>
  <c r="H32" i="34"/>
  <c r="G9" i="45"/>
  <c r="X175" i="28"/>
  <c r="K57" i="29"/>
  <c r="K62" i="29"/>
  <c r="N70" i="31"/>
  <c r="N74" i="31"/>
  <c r="N42" i="31"/>
  <c r="N124" i="28"/>
  <c r="I473" i="33"/>
  <c r="I310" i="33"/>
  <c r="G112" i="20"/>
  <c r="C113" i="20"/>
  <c r="D112" i="20"/>
  <c r="F112" i="20"/>
  <c r="H45" i="34"/>
  <c r="J740" i="33"/>
  <c r="J742" i="33"/>
  <c r="J689" i="33"/>
  <c r="J697" i="33"/>
  <c r="J699" i="33"/>
  <c r="I475" i="33"/>
  <c r="N206" i="28"/>
  <c r="W62" i="29"/>
  <c r="W63" i="29"/>
  <c r="K107" i="29"/>
  <c r="K108" i="29"/>
  <c r="L13" i="30"/>
  <c r="W127" i="28"/>
  <c r="N164" i="28"/>
  <c r="N205" i="28"/>
  <c r="N172" i="28"/>
  <c r="H31" i="34"/>
  <c r="H35" i="34"/>
  <c r="I355" i="33"/>
  <c r="I764" i="33"/>
  <c r="I349" i="33"/>
  <c r="I350" i="33"/>
  <c r="I353" i="33"/>
  <c r="G113" i="20"/>
  <c r="D113" i="20"/>
  <c r="N93" i="31"/>
  <c r="N94" i="31"/>
  <c r="N96" i="31"/>
  <c r="N48" i="31"/>
  <c r="N51" i="31"/>
  <c r="H36" i="34"/>
  <c r="H44" i="34"/>
  <c r="H46" i="34"/>
  <c r="H48" i="34"/>
  <c r="I572" i="33"/>
  <c r="I823" i="33"/>
  <c r="I578" i="33"/>
  <c r="I826" i="33"/>
  <c r="N209" i="28"/>
  <c r="N210" i="28"/>
  <c r="AI166" i="28"/>
  <c r="W164" i="28"/>
  <c r="W166" i="28"/>
  <c r="N194" i="28"/>
  <c r="AI164" i="28"/>
  <c r="N201" i="28"/>
  <c r="N103" i="31"/>
  <c r="T51" i="31"/>
  <c r="J28" i="16"/>
  <c r="C114" i="20"/>
  <c r="F113" i="20"/>
  <c r="K106" i="20"/>
  <c r="I106" i="20"/>
  <c r="G8" i="45"/>
  <c r="H40" i="16"/>
  <c r="X173" i="28"/>
  <c r="L20" i="30"/>
  <c r="L26" i="30"/>
  <c r="L47" i="30"/>
  <c r="I582" i="33"/>
  <c r="I828" i="33"/>
  <c r="L37" i="30"/>
  <c r="L39" i="30"/>
  <c r="H46" i="37"/>
  <c r="H46" i="39"/>
  <c r="H46" i="35"/>
  <c r="I50" i="6"/>
  <c r="G114" i="20"/>
  <c r="C115" i="20"/>
  <c r="D114" i="20"/>
  <c r="I825" i="33"/>
  <c r="I831" i="33"/>
  <c r="I871" i="33"/>
  <c r="I829" i="33"/>
  <c r="I830" i="33"/>
  <c r="I28" i="34"/>
  <c r="G15" i="52"/>
  <c r="I27" i="34"/>
  <c r="I576" i="33"/>
  <c r="I580" i="33"/>
  <c r="I584" i="33"/>
  <c r="I586" i="33"/>
  <c r="I588" i="33"/>
  <c r="F114" i="20"/>
  <c r="H126" i="39"/>
  <c r="H51" i="39"/>
  <c r="D115" i="20"/>
  <c r="F115" i="20"/>
  <c r="G115" i="20"/>
  <c r="C116" i="20"/>
  <c r="H126" i="37"/>
  <c r="H51" i="37"/>
  <c r="H55" i="37"/>
  <c r="H122" i="37"/>
  <c r="H124" i="37"/>
  <c r="O52" i="28"/>
  <c r="J216" i="33"/>
  <c r="J225" i="33"/>
  <c r="J14" i="40"/>
  <c r="J14" i="38"/>
  <c r="J14" i="36"/>
  <c r="J36" i="13"/>
  <c r="I170" i="6"/>
  <c r="I55" i="6"/>
  <c r="I59" i="6"/>
  <c r="G21" i="52"/>
  <c r="G22" i="52"/>
  <c r="H126" i="35"/>
  <c r="H51" i="35"/>
  <c r="L41" i="30"/>
  <c r="I11" i="10"/>
  <c r="I13" i="10"/>
  <c r="I15" i="10"/>
  <c r="I16" i="10"/>
  <c r="I62" i="6"/>
  <c r="I63" i="6"/>
  <c r="I61" i="6"/>
  <c r="I162" i="6"/>
  <c r="I164" i="6"/>
  <c r="G9" i="52"/>
  <c r="I14" i="41"/>
  <c r="H55" i="35"/>
  <c r="J20" i="43"/>
  <c r="J20" i="41"/>
  <c r="H118" i="37"/>
  <c r="H120" i="37"/>
  <c r="H61" i="37"/>
  <c r="H62" i="37"/>
  <c r="H78" i="34"/>
  <c r="H79" i="34"/>
  <c r="H59" i="37"/>
  <c r="H57" i="37"/>
  <c r="I14" i="43"/>
  <c r="H55" i="39"/>
  <c r="J843" i="33"/>
  <c r="J844" i="33"/>
  <c r="J845" i="33"/>
  <c r="J227" i="33"/>
  <c r="I166" i="6"/>
  <c r="I168" i="6"/>
  <c r="J96" i="33"/>
  <c r="L63" i="27"/>
  <c r="L65" i="27"/>
  <c r="I68" i="35"/>
  <c r="I68" i="39"/>
  <c r="I68" i="37"/>
  <c r="O61" i="28"/>
  <c r="H30" i="51"/>
  <c r="H32" i="51"/>
  <c r="D116" i="20"/>
  <c r="F116" i="20"/>
  <c r="G116" i="20"/>
  <c r="C117" i="20"/>
  <c r="I42" i="34"/>
  <c r="I66" i="6"/>
  <c r="I67" i="6"/>
  <c r="O63" i="28"/>
  <c r="J95" i="33"/>
  <c r="J99" i="33"/>
  <c r="J116" i="33"/>
  <c r="J803" i="33"/>
  <c r="J809" i="33"/>
  <c r="J811" i="33"/>
  <c r="I112" i="6"/>
  <c r="G8" i="52"/>
  <c r="J12" i="13"/>
  <c r="J20" i="13"/>
  <c r="I111" i="6"/>
  <c r="H118" i="35"/>
  <c r="H120" i="35"/>
  <c r="H59" i="35"/>
  <c r="H57" i="35"/>
  <c r="H61" i="35"/>
  <c r="H62" i="35"/>
  <c r="H71" i="34"/>
  <c r="H72" i="34"/>
  <c r="H122" i="35"/>
  <c r="H124" i="35"/>
  <c r="I68" i="6"/>
  <c r="I69" i="6"/>
  <c r="I113" i="6"/>
  <c r="I114" i="6"/>
  <c r="G10" i="52"/>
  <c r="I64" i="6"/>
  <c r="I73" i="6"/>
  <c r="G117" i="20"/>
  <c r="C118" i="20"/>
  <c r="D117" i="20"/>
  <c r="F117" i="20"/>
  <c r="L77" i="27"/>
  <c r="L100" i="27"/>
  <c r="J761" i="33"/>
  <c r="H118" i="39"/>
  <c r="H120" i="39"/>
  <c r="H61" i="39"/>
  <c r="H62" i="39"/>
  <c r="H85" i="34"/>
  <c r="H86" i="34"/>
  <c r="H57" i="39"/>
  <c r="H59" i="39"/>
  <c r="H122" i="39"/>
  <c r="H124" i="39"/>
  <c r="I12" i="38"/>
  <c r="I17" i="38"/>
  <c r="I25" i="38"/>
  <c r="I28" i="38"/>
  <c r="H64" i="37"/>
  <c r="H67" i="37"/>
  <c r="H69" i="37"/>
  <c r="H63" i="37"/>
  <c r="H60" i="37"/>
  <c r="I16" i="41"/>
  <c r="I22" i="41"/>
  <c r="I32" i="41"/>
  <c r="I33" i="41"/>
  <c r="J38" i="13"/>
  <c r="U62" i="6"/>
  <c r="I16" i="43"/>
  <c r="I22" i="43"/>
  <c r="I32" i="43"/>
  <c r="I33" i="43"/>
  <c r="I17" i="10"/>
  <c r="I18" i="10"/>
  <c r="I19" i="10"/>
  <c r="H5" i="45"/>
  <c r="I12" i="40"/>
  <c r="I17" i="40"/>
  <c r="I25" i="40"/>
  <c r="I28" i="40"/>
  <c r="H63" i="39"/>
  <c r="H64" i="39"/>
  <c r="H67" i="39"/>
  <c r="H69" i="39"/>
  <c r="H60" i="39"/>
  <c r="J754" i="33"/>
  <c r="J121" i="33"/>
  <c r="I23" i="43"/>
  <c r="I28" i="43"/>
  <c r="I28" i="41"/>
  <c r="I23" i="41"/>
  <c r="O35" i="31"/>
  <c r="O38" i="31"/>
  <c r="O92" i="31"/>
  <c r="L83" i="27"/>
  <c r="J39" i="13"/>
  <c r="J41" i="13"/>
  <c r="J44" i="13"/>
  <c r="I11" i="34"/>
  <c r="I40" i="34"/>
  <c r="L79" i="27"/>
  <c r="L81" i="27"/>
  <c r="D118" i="20"/>
  <c r="F118" i="20"/>
  <c r="G118" i="20"/>
  <c r="C119" i="20"/>
  <c r="H64" i="35"/>
  <c r="I12" i="36"/>
  <c r="I17" i="36"/>
  <c r="I25" i="36"/>
  <c r="I28" i="36"/>
  <c r="H67" i="35"/>
  <c r="H69" i="35"/>
  <c r="H63" i="35"/>
  <c r="H60" i="35"/>
  <c r="X64" i="28"/>
  <c r="H7" i="45"/>
  <c r="I58" i="35"/>
  <c r="I58" i="39"/>
  <c r="I58" i="37"/>
  <c r="I65" i="6"/>
  <c r="H4" i="45"/>
  <c r="L92" i="27"/>
  <c r="L94" i="27"/>
  <c r="O14" i="31"/>
  <c r="L99" i="27"/>
  <c r="J37" i="16"/>
  <c r="J45" i="13"/>
  <c r="J27" i="16"/>
  <c r="J755" i="33"/>
  <c r="D119" i="20"/>
  <c r="G119" i="20"/>
  <c r="C120" i="20"/>
  <c r="I63" i="34"/>
  <c r="I12" i="34"/>
  <c r="K648" i="33"/>
  <c r="K665" i="33"/>
  <c r="J756" i="33"/>
  <c r="J128" i="33"/>
  <c r="J131" i="33"/>
  <c r="I24" i="41"/>
  <c r="I26" i="41"/>
  <c r="I26" i="43"/>
  <c r="I24" i="43"/>
  <c r="G19" i="44"/>
  <c r="G26" i="44"/>
  <c r="H12" i="52"/>
  <c r="H14" i="52"/>
  <c r="J35" i="16"/>
  <c r="J38" i="16"/>
  <c r="G120" i="20"/>
  <c r="C121" i="20"/>
  <c r="D120" i="20"/>
  <c r="F120" i="20"/>
  <c r="J16" i="16"/>
  <c r="K43" i="13"/>
  <c r="J801" i="33"/>
  <c r="J757" i="33"/>
  <c r="J802" i="33"/>
  <c r="J805" i="33"/>
  <c r="J813" i="33"/>
  <c r="J773" i="33"/>
  <c r="J781" i="33"/>
  <c r="K686" i="33"/>
  <c r="K789" i="33"/>
  <c r="K791" i="33"/>
  <c r="Y15" i="31"/>
  <c r="O25" i="31"/>
  <c r="F119" i="20"/>
  <c r="I13" i="34"/>
  <c r="I15" i="34"/>
  <c r="I64" i="34"/>
  <c r="I16" i="34"/>
  <c r="W92" i="27"/>
  <c r="W94" i="27"/>
  <c r="O78" i="28"/>
  <c r="J259" i="33"/>
  <c r="J262" i="33"/>
  <c r="I19" i="34"/>
  <c r="O84" i="31"/>
  <c r="O88" i="31"/>
  <c r="O40" i="31"/>
  <c r="W16" i="16"/>
  <c r="H8" i="51"/>
  <c r="H11" i="51"/>
  <c r="J52" i="13"/>
  <c r="J22" i="16"/>
  <c r="J264" i="33"/>
  <c r="J351" i="33"/>
  <c r="H36" i="51"/>
  <c r="H37" i="51"/>
  <c r="O80" i="28"/>
  <c r="D121" i="20"/>
  <c r="F121" i="20"/>
  <c r="G121" i="20"/>
  <c r="C122" i="20"/>
  <c r="H39" i="51"/>
  <c r="H41" i="51"/>
  <c r="O91" i="28"/>
  <c r="J273" i="33"/>
  <c r="W35" i="16"/>
  <c r="J42" i="16"/>
  <c r="J45" i="16"/>
  <c r="J46" i="16"/>
  <c r="G18" i="52"/>
  <c r="G20" i="52"/>
  <c r="W18" i="16"/>
  <c r="I23" i="34"/>
  <c r="I39" i="34"/>
  <c r="J760" i="33"/>
  <c r="J763" i="33"/>
  <c r="K772" i="33"/>
  <c r="J759" i="33"/>
  <c r="J762" i="33"/>
  <c r="J868" i="33"/>
  <c r="J361" i="33"/>
  <c r="J358" i="33"/>
  <c r="J869" i="33"/>
  <c r="D122" i="20"/>
  <c r="F122" i="20"/>
  <c r="G122" i="20"/>
  <c r="C123" i="20"/>
  <c r="O166" i="28"/>
  <c r="O168" i="28"/>
  <c r="M33" i="30"/>
  <c r="M45" i="30"/>
  <c r="O82" i="28"/>
  <c r="H25" i="51"/>
  <c r="H13" i="51"/>
  <c r="H23" i="51"/>
  <c r="H27" i="51"/>
  <c r="H24" i="51"/>
  <c r="H40" i="51"/>
  <c r="O174" i="28"/>
  <c r="H6" i="45"/>
  <c r="I25" i="34"/>
  <c r="I38" i="34"/>
  <c r="S23" i="34"/>
  <c r="J473" i="33"/>
  <c r="J310" i="33"/>
  <c r="G123" i="20"/>
  <c r="C124" i="20"/>
  <c r="D123" i="20"/>
  <c r="F123" i="20"/>
  <c r="I37" i="34"/>
  <c r="I41" i="34"/>
  <c r="I43" i="34"/>
  <c r="I44" i="34"/>
  <c r="O70" i="31"/>
  <c r="O74" i="31"/>
  <c r="O42" i="31"/>
  <c r="L57" i="29"/>
  <c r="L62" i="29"/>
  <c r="O124" i="28"/>
  <c r="X84" i="28"/>
  <c r="AJ82" i="28"/>
  <c r="O208" i="28"/>
  <c r="I32" i="34"/>
  <c r="I31" i="34"/>
  <c r="M13" i="30"/>
  <c r="X127" i="28"/>
  <c r="X62" i="29"/>
  <c r="X63" i="29"/>
  <c r="O164" i="28"/>
  <c r="O206" i="28"/>
  <c r="L107" i="29"/>
  <c r="L108" i="29"/>
  <c r="O205" i="28"/>
  <c r="O172" i="28"/>
  <c r="Y175" i="28"/>
  <c r="H9" i="45"/>
  <c r="J349" i="33"/>
  <c r="J350" i="33"/>
  <c r="J353" i="33"/>
  <c r="J355" i="33"/>
  <c r="J764" i="33"/>
  <c r="I35" i="34"/>
  <c r="O93" i="31"/>
  <c r="O94" i="31"/>
  <c r="O96" i="31"/>
  <c r="O48" i="31"/>
  <c r="O51" i="31"/>
  <c r="K740" i="33"/>
  <c r="K742" i="33"/>
  <c r="K689" i="33"/>
  <c r="K697" i="33"/>
  <c r="K699" i="33"/>
  <c r="J475" i="33"/>
  <c r="D124" i="20"/>
  <c r="F124" i="20"/>
  <c r="G124" i="20"/>
  <c r="C125" i="20"/>
  <c r="I36" i="34"/>
  <c r="O103" i="31"/>
  <c r="U51" i="31"/>
  <c r="H8" i="45"/>
  <c r="I40" i="16"/>
  <c r="Y173" i="28"/>
  <c r="J823" i="33"/>
  <c r="J572" i="33"/>
  <c r="J826" i="33"/>
  <c r="J578" i="33"/>
  <c r="X164" i="28"/>
  <c r="X166" i="28"/>
  <c r="AJ166" i="28"/>
  <c r="O209" i="28"/>
  <c r="O210" i="28"/>
  <c r="AJ164" i="28"/>
  <c r="O194" i="28"/>
  <c r="O201" i="28"/>
  <c r="I45" i="34"/>
  <c r="I46" i="34"/>
  <c r="I48" i="34"/>
  <c r="G125" i="20"/>
  <c r="D125" i="20"/>
  <c r="M20" i="30"/>
  <c r="M26" i="30"/>
  <c r="M47" i="30"/>
  <c r="J828" i="33"/>
  <c r="M39" i="30"/>
  <c r="M37" i="30"/>
  <c r="J825" i="33"/>
  <c r="J831" i="33"/>
  <c r="J871" i="33"/>
  <c r="J829" i="33"/>
  <c r="J830" i="33"/>
  <c r="F125" i="20"/>
  <c r="K118" i="20"/>
  <c r="I118" i="20"/>
  <c r="J576" i="33"/>
  <c r="J580" i="33"/>
  <c r="J584" i="33"/>
  <c r="J586" i="33"/>
  <c r="J588" i="33"/>
  <c r="K28" i="16"/>
  <c r="C126" i="20"/>
  <c r="J582" i="33"/>
  <c r="M41" i="30"/>
  <c r="D126" i="20"/>
  <c r="G126" i="20"/>
  <c r="C127" i="20"/>
  <c r="H15" i="52"/>
  <c r="J28" i="34"/>
  <c r="J27" i="34"/>
  <c r="I46" i="35"/>
  <c r="I46" i="39"/>
  <c r="J50" i="6"/>
  <c r="I46" i="37"/>
  <c r="I126" i="39"/>
  <c r="I51" i="39"/>
  <c r="P52" i="28"/>
  <c r="P61" i="28"/>
  <c r="K216" i="33"/>
  <c r="K225" i="33"/>
  <c r="I126" i="35"/>
  <c r="I51" i="35"/>
  <c r="G127" i="20"/>
  <c r="C128" i="20"/>
  <c r="D127" i="20"/>
  <c r="F127" i="20"/>
  <c r="K36" i="13"/>
  <c r="J170" i="6"/>
  <c r="K14" i="40"/>
  <c r="K14" i="36"/>
  <c r="K14" i="38"/>
  <c r="J55" i="6"/>
  <c r="J59" i="6"/>
  <c r="H21" i="52"/>
  <c r="H22" i="52"/>
  <c r="I126" i="37"/>
  <c r="I51" i="37"/>
  <c r="I55" i="37"/>
  <c r="F126" i="20"/>
  <c r="J42" i="34"/>
  <c r="J14" i="41"/>
  <c r="I55" i="35"/>
  <c r="I78" i="34"/>
  <c r="I79" i="34"/>
  <c r="I57" i="37"/>
  <c r="I59" i="37"/>
  <c r="I118" i="37"/>
  <c r="I120" i="37"/>
  <c r="I61" i="37"/>
  <c r="I62" i="37"/>
  <c r="K843" i="33"/>
  <c r="K844" i="33"/>
  <c r="K845" i="33"/>
  <c r="K227" i="33"/>
  <c r="I122" i="37"/>
  <c r="I124" i="37"/>
  <c r="J61" i="6"/>
  <c r="J62" i="6"/>
  <c r="J66" i="6"/>
  <c r="H9" i="52"/>
  <c r="J11" i="10"/>
  <c r="J13" i="10"/>
  <c r="J15" i="10"/>
  <c r="J16" i="10"/>
  <c r="J162" i="6"/>
  <c r="J164" i="6"/>
  <c r="K20" i="41"/>
  <c r="K20" i="43"/>
  <c r="J14" i="43"/>
  <c r="I55" i="39"/>
  <c r="J166" i="6"/>
  <c r="J168" i="6"/>
  <c r="K96" i="33"/>
  <c r="M63" i="27"/>
  <c r="M65" i="27"/>
  <c r="J68" i="39"/>
  <c r="J68" i="35"/>
  <c r="J68" i="37"/>
  <c r="D128" i="20"/>
  <c r="G128" i="20"/>
  <c r="C129" i="20"/>
  <c r="P63" i="28"/>
  <c r="I7" i="45"/>
  <c r="Y64" i="28"/>
  <c r="I61" i="39"/>
  <c r="I62" i="39"/>
  <c r="I59" i="39"/>
  <c r="I118" i="39"/>
  <c r="I120" i="39"/>
  <c r="I85" i="34"/>
  <c r="I86" i="34"/>
  <c r="I57" i="39"/>
  <c r="I122" i="39"/>
  <c r="I124" i="39"/>
  <c r="J16" i="43"/>
  <c r="J22" i="43"/>
  <c r="J32" i="43"/>
  <c r="J33" i="43"/>
  <c r="J16" i="41"/>
  <c r="J22" i="41"/>
  <c r="J32" i="41"/>
  <c r="J33" i="41"/>
  <c r="J17" i="10"/>
  <c r="J18" i="10"/>
  <c r="J19" i="10"/>
  <c r="V62" i="6"/>
  <c r="K38" i="13"/>
  <c r="M79" i="27"/>
  <c r="J67" i="6"/>
  <c r="I5" i="45"/>
  <c r="I71" i="34"/>
  <c r="I72" i="34"/>
  <c r="I118" i="35"/>
  <c r="I120" i="35"/>
  <c r="I59" i="35"/>
  <c r="I61" i="35"/>
  <c r="I62" i="35"/>
  <c r="I57" i="35"/>
  <c r="I122" i="35"/>
  <c r="I124" i="35"/>
  <c r="K761" i="33"/>
  <c r="G129" i="20"/>
  <c r="C130" i="20"/>
  <c r="D129" i="20"/>
  <c r="F129" i="20"/>
  <c r="K803" i="33"/>
  <c r="K809" i="33"/>
  <c r="K811" i="33"/>
  <c r="K95" i="33"/>
  <c r="K99" i="33"/>
  <c r="K116" i="33"/>
  <c r="F128" i="20"/>
  <c r="M100" i="27"/>
  <c r="M77" i="27"/>
  <c r="J63" i="6"/>
  <c r="J111" i="6"/>
  <c r="K12" i="13"/>
  <c r="K20" i="13"/>
  <c r="J112" i="6"/>
  <c r="H8" i="52"/>
  <c r="I67" i="37"/>
  <c r="I69" i="37"/>
  <c r="I64" i="37"/>
  <c r="J12" i="38"/>
  <c r="J17" i="38"/>
  <c r="J25" i="38"/>
  <c r="J28" i="38"/>
  <c r="I63" i="37"/>
  <c r="I60" i="37"/>
  <c r="J58" i="35"/>
  <c r="J58" i="39"/>
  <c r="J58" i="37"/>
  <c r="H10" i="52"/>
  <c r="J69" i="6"/>
  <c r="J73" i="6"/>
  <c r="J64" i="6"/>
  <c r="J113" i="6"/>
  <c r="J68" i="6"/>
  <c r="J114" i="6"/>
  <c r="M81" i="27"/>
  <c r="K121" i="33"/>
  <c r="K754" i="33"/>
  <c r="J11" i="34"/>
  <c r="J40" i="34"/>
  <c r="J23" i="43"/>
  <c r="J28" i="43"/>
  <c r="G130" i="20"/>
  <c r="C131" i="20"/>
  <c r="D130" i="20"/>
  <c r="F130" i="20"/>
  <c r="J12" i="36"/>
  <c r="J17" i="36"/>
  <c r="J25" i="36"/>
  <c r="J28" i="36"/>
  <c r="I64" i="35"/>
  <c r="I63" i="35"/>
  <c r="I67" i="35"/>
  <c r="I69" i="35"/>
  <c r="I60" i="35"/>
  <c r="J28" i="41"/>
  <c r="J23" i="41"/>
  <c r="J12" i="40"/>
  <c r="J17" i="40"/>
  <c r="J25" i="40"/>
  <c r="J28" i="40"/>
  <c r="I67" i="39"/>
  <c r="I69" i="39"/>
  <c r="I64" i="39"/>
  <c r="I63" i="39"/>
  <c r="I60" i="39"/>
  <c r="J24" i="41"/>
  <c r="J26" i="41"/>
  <c r="M83" i="27"/>
  <c r="M92" i="27"/>
  <c r="P35" i="31"/>
  <c r="P38" i="31"/>
  <c r="P92" i="31"/>
  <c r="K39" i="13"/>
  <c r="K41" i="13"/>
  <c r="K44" i="13"/>
  <c r="G131" i="20"/>
  <c r="C132" i="20"/>
  <c r="D131" i="20"/>
  <c r="F131" i="20"/>
  <c r="J65" i="6"/>
  <c r="K755" i="33"/>
  <c r="J24" i="43"/>
  <c r="J26" i="43"/>
  <c r="M99" i="27"/>
  <c r="P14" i="31"/>
  <c r="P25" i="31"/>
  <c r="I4" i="45"/>
  <c r="G92" i="34"/>
  <c r="J12" i="34"/>
  <c r="J63" i="34"/>
  <c r="K756" i="33"/>
  <c r="L648" i="33"/>
  <c r="L665" i="33"/>
  <c r="K128" i="33"/>
  <c r="K131" i="33"/>
  <c r="M94" i="27"/>
  <c r="L789" i="33"/>
  <c r="L791" i="33"/>
  <c r="L686" i="33"/>
  <c r="G132" i="20"/>
  <c r="C133" i="20"/>
  <c r="D132" i="20"/>
  <c r="K757" i="33"/>
  <c r="K802" i="33"/>
  <c r="K805" i="33"/>
  <c r="K813" i="33"/>
  <c r="E814" i="33"/>
  <c r="G859" i="33"/>
  <c r="K801" i="33"/>
  <c r="K773" i="33"/>
  <c r="K781" i="33"/>
  <c r="J16" i="34"/>
  <c r="J13" i="34"/>
  <c r="J15" i="34"/>
  <c r="J64" i="34"/>
  <c r="X92" i="27"/>
  <c r="X94" i="27"/>
  <c r="P84" i="31"/>
  <c r="P88" i="31"/>
  <c r="P40" i="31"/>
  <c r="K27" i="16"/>
  <c r="K37" i="16"/>
  <c r="K45" i="13"/>
  <c r="F92" i="34"/>
  <c r="K16" i="16"/>
  <c r="L43" i="13"/>
  <c r="F132" i="20"/>
  <c r="P78" i="28"/>
  <c r="P80" i="28"/>
  <c r="K259" i="33"/>
  <c r="K262" i="33"/>
  <c r="J19" i="34"/>
  <c r="H19" i="44"/>
  <c r="H26" i="44"/>
  <c r="I12" i="52"/>
  <c r="I14" i="52"/>
  <c r="K35" i="16"/>
  <c r="K38" i="16"/>
  <c r="G133" i="20"/>
  <c r="C134" i="20"/>
  <c r="D133" i="20"/>
  <c r="F133" i="20"/>
  <c r="D134" i="20"/>
  <c r="F134" i="20"/>
  <c r="G134" i="20"/>
  <c r="C135" i="20"/>
  <c r="K264" i="33"/>
  <c r="K351" i="33"/>
  <c r="P166" i="28"/>
  <c r="P168" i="28"/>
  <c r="N33" i="30"/>
  <c r="N45" i="30"/>
  <c r="P82" i="28"/>
  <c r="I8" i="51"/>
  <c r="I11" i="51"/>
  <c r="K52" i="13"/>
  <c r="X16" i="16"/>
  <c r="K22" i="16"/>
  <c r="H18" i="52"/>
  <c r="H20" i="52"/>
  <c r="X18" i="16"/>
  <c r="I6" i="45"/>
  <c r="P174" i="28"/>
  <c r="G135" i="20"/>
  <c r="C136" i="20"/>
  <c r="D135" i="20"/>
  <c r="F135" i="20"/>
  <c r="K759" i="33"/>
  <c r="K762" i="33"/>
  <c r="K760" i="33"/>
  <c r="K763" i="33"/>
  <c r="L772" i="33"/>
  <c r="K868" i="33"/>
  <c r="K361" i="33"/>
  <c r="K358" i="33"/>
  <c r="K869" i="33"/>
  <c r="I13" i="51"/>
  <c r="I25" i="51"/>
  <c r="AK82" i="28"/>
  <c r="P208" i="28"/>
  <c r="K42" i="16"/>
  <c r="K45" i="16"/>
  <c r="K46" i="16"/>
  <c r="X35" i="16"/>
  <c r="P91" i="28"/>
  <c r="K273" i="33"/>
  <c r="J23" i="34"/>
  <c r="J39" i="34"/>
  <c r="J41" i="34"/>
  <c r="J43" i="34"/>
  <c r="J37" i="34"/>
  <c r="Z175" i="28"/>
  <c r="I9" i="45"/>
  <c r="I24" i="51"/>
  <c r="I23" i="51"/>
  <c r="I27" i="51"/>
  <c r="K473" i="33"/>
  <c r="K310" i="33"/>
  <c r="J32" i="34"/>
  <c r="J25" i="34"/>
  <c r="J38" i="34"/>
  <c r="T23" i="34"/>
  <c r="P124" i="28"/>
  <c r="M57" i="29"/>
  <c r="M62" i="29"/>
  <c r="P70" i="31"/>
  <c r="P74" i="31"/>
  <c r="P42" i="31"/>
  <c r="D136" i="20"/>
  <c r="F136" i="20"/>
  <c r="G136" i="20"/>
  <c r="C137" i="20"/>
  <c r="K349" i="33"/>
  <c r="K350" i="33"/>
  <c r="K353" i="33"/>
  <c r="K355" i="33"/>
  <c r="K764" i="33"/>
  <c r="P48" i="31"/>
  <c r="P51" i="31"/>
  <c r="P93" i="31"/>
  <c r="P94" i="31"/>
  <c r="P96" i="31"/>
  <c r="L740" i="33"/>
  <c r="L742" i="33"/>
  <c r="L689" i="33"/>
  <c r="L697" i="33"/>
  <c r="L699" i="33"/>
  <c r="K475" i="33"/>
  <c r="J45" i="34"/>
  <c r="J31" i="34"/>
  <c r="D137" i="20"/>
  <c r="G137" i="20"/>
  <c r="P206" i="28"/>
  <c r="P164" i="28"/>
  <c r="N13" i="30"/>
  <c r="M107" i="29"/>
  <c r="M108" i="29"/>
  <c r="Y62" i="29"/>
  <c r="Y63" i="29"/>
  <c r="P205" i="28"/>
  <c r="P172" i="28"/>
  <c r="J36" i="34"/>
  <c r="J35" i="34"/>
  <c r="J44" i="34"/>
  <c r="J46" i="34"/>
  <c r="J48" i="34"/>
  <c r="N26" i="30"/>
  <c r="N47" i="30"/>
  <c r="N20" i="30"/>
  <c r="AK166" i="28"/>
  <c r="P209" i="28"/>
  <c r="P210" i="28"/>
  <c r="P201" i="28"/>
  <c r="AK164" i="28"/>
  <c r="P194" i="28"/>
  <c r="K572" i="33"/>
  <c r="K823" i="33"/>
  <c r="K826" i="33"/>
  <c r="K578" i="33"/>
  <c r="J40" i="16"/>
  <c r="I8" i="45"/>
  <c r="Z173" i="28"/>
  <c r="F137" i="20"/>
  <c r="K130" i="20"/>
  <c r="I130" i="20"/>
  <c r="V51" i="31"/>
  <c r="P103" i="31"/>
  <c r="C138" i="20"/>
  <c r="L28" i="16"/>
  <c r="K50" i="6"/>
  <c r="J46" i="35"/>
  <c r="J46" i="39"/>
  <c r="J46" i="37"/>
  <c r="K576" i="33"/>
  <c r="K580" i="33"/>
  <c r="K584" i="33"/>
  <c r="K586" i="33"/>
  <c r="K588" i="33"/>
  <c r="K582" i="33"/>
  <c r="K27" i="34"/>
  <c r="K28" i="34"/>
  <c r="I15" i="52"/>
  <c r="G138" i="20"/>
  <c r="C139" i="20"/>
  <c r="D138" i="20"/>
  <c r="K828" i="33"/>
  <c r="N39" i="30"/>
  <c r="N37" i="30"/>
  <c r="K825" i="33"/>
  <c r="K871" i="33"/>
  <c r="K829" i="33"/>
  <c r="K831" i="33"/>
  <c r="K830" i="33"/>
  <c r="N41" i="30"/>
  <c r="Q52" i="28"/>
  <c r="Q61" i="28"/>
  <c r="L216" i="33"/>
  <c r="L225" i="33"/>
  <c r="J126" i="39"/>
  <c r="J51" i="39"/>
  <c r="G139" i="20"/>
  <c r="C140" i="20"/>
  <c r="D139" i="20"/>
  <c r="F139" i="20"/>
  <c r="J126" i="37"/>
  <c r="J51" i="37"/>
  <c r="J55" i="37"/>
  <c r="I22" i="52"/>
  <c r="I21" i="52"/>
  <c r="J126" i="35"/>
  <c r="J51" i="35"/>
  <c r="F138" i="20"/>
  <c r="L36" i="13"/>
  <c r="K170" i="6"/>
  <c r="L14" i="40"/>
  <c r="L14" i="36"/>
  <c r="L14" i="38"/>
  <c r="K55" i="6"/>
  <c r="K59" i="6"/>
  <c r="K62" i="6"/>
  <c r="K11" i="10"/>
  <c r="K13" i="10"/>
  <c r="K15" i="10"/>
  <c r="K16" i="10"/>
  <c r="I9" i="52"/>
  <c r="K61" i="6"/>
  <c r="K162" i="6"/>
  <c r="K164" i="6"/>
  <c r="K14" i="41"/>
  <c r="J55" i="35"/>
  <c r="K68" i="35"/>
  <c r="K68" i="37"/>
  <c r="K68" i="39"/>
  <c r="L843" i="33"/>
  <c r="L844" i="33"/>
  <c r="L845" i="33"/>
  <c r="L227" i="33"/>
  <c r="K166" i="6"/>
  <c r="K168" i="6"/>
  <c r="J78" i="34"/>
  <c r="J79" i="34"/>
  <c r="J59" i="37"/>
  <c r="J57" i="37"/>
  <c r="J61" i="37"/>
  <c r="J62" i="37"/>
  <c r="J118" i="37"/>
  <c r="J120" i="37"/>
  <c r="D140" i="20"/>
  <c r="G140" i="20"/>
  <c r="C141" i="20"/>
  <c r="L20" i="41"/>
  <c r="L20" i="43"/>
  <c r="L96" i="33"/>
  <c r="N63" i="27"/>
  <c r="N65" i="27"/>
  <c r="J122" i="37"/>
  <c r="J124" i="37"/>
  <c r="K14" i="43"/>
  <c r="J55" i="39"/>
  <c r="K42" i="34"/>
  <c r="Q63" i="28"/>
  <c r="L95" i="33"/>
  <c r="L99" i="33"/>
  <c r="L116" i="33"/>
  <c r="L803" i="33"/>
  <c r="L809" i="33"/>
  <c r="L811" i="33"/>
  <c r="J64" i="37"/>
  <c r="J67" i="37"/>
  <c r="J69" i="37"/>
  <c r="K12" i="38"/>
  <c r="K17" i="38"/>
  <c r="K25" i="38"/>
  <c r="K28" i="38"/>
  <c r="J63" i="37"/>
  <c r="J60" i="37"/>
  <c r="L38" i="13"/>
  <c r="W62" i="6"/>
  <c r="N79" i="27"/>
  <c r="J61" i="35"/>
  <c r="J62" i="35"/>
  <c r="J59" i="35"/>
  <c r="J118" i="35"/>
  <c r="J120" i="35"/>
  <c r="J57" i="35"/>
  <c r="J71" i="34"/>
  <c r="J72" i="34"/>
  <c r="J122" i="35"/>
  <c r="J124" i="35"/>
  <c r="I8" i="52"/>
  <c r="K111" i="6"/>
  <c r="L12" i="13"/>
  <c r="L20" i="13"/>
  <c r="K112" i="6"/>
  <c r="Z64" i="28"/>
  <c r="F140" i="20"/>
  <c r="J118" i="39"/>
  <c r="J120" i="39"/>
  <c r="J85" i="34"/>
  <c r="J86" i="34"/>
  <c r="J57" i="39"/>
  <c r="J61" i="39"/>
  <c r="J62" i="39"/>
  <c r="J59" i="39"/>
  <c r="J122" i="39"/>
  <c r="J124" i="39"/>
  <c r="N100" i="27"/>
  <c r="N77" i="27"/>
  <c r="K16" i="41"/>
  <c r="K22" i="41"/>
  <c r="K32" i="41"/>
  <c r="K33" i="41"/>
  <c r="K63" i="6"/>
  <c r="K16" i="43"/>
  <c r="K22" i="43"/>
  <c r="K32" i="43"/>
  <c r="K33" i="43"/>
  <c r="D141" i="20"/>
  <c r="F141" i="20"/>
  <c r="G141" i="20"/>
  <c r="C142" i="20"/>
  <c r="L761" i="33"/>
  <c r="K66" i="6"/>
  <c r="K67" i="6"/>
  <c r="K17" i="10"/>
  <c r="K18" i="10"/>
  <c r="K19" i="10"/>
  <c r="L16" i="10"/>
  <c r="N81" i="27"/>
  <c r="Q14" i="31"/>
  <c r="Q25" i="31"/>
  <c r="G142" i="20"/>
  <c r="C143" i="20"/>
  <c r="D142" i="20"/>
  <c r="F142" i="20"/>
  <c r="K12" i="40"/>
  <c r="K17" i="40"/>
  <c r="K25" i="40"/>
  <c r="K28" i="40"/>
  <c r="J64" i="39"/>
  <c r="J67" i="39"/>
  <c r="J69" i="39"/>
  <c r="J63" i="39"/>
  <c r="J60" i="39"/>
  <c r="K58" i="39"/>
  <c r="K58" i="37"/>
  <c r="K58" i="35"/>
  <c r="K68" i="6"/>
  <c r="K69" i="6"/>
  <c r="K64" i="6"/>
  <c r="K65" i="6"/>
  <c r="K114" i="6"/>
  <c r="K73" i="6"/>
  <c r="I10" i="52"/>
  <c r="K113" i="6"/>
  <c r="K23" i="41"/>
  <c r="K28" i="41"/>
  <c r="J67" i="35"/>
  <c r="J69" i="35"/>
  <c r="K12" i="36"/>
  <c r="K17" i="36"/>
  <c r="K25" i="36"/>
  <c r="K28" i="36"/>
  <c r="J63" i="35"/>
  <c r="J64" i="35"/>
  <c r="J60" i="35"/>
  <c r="M16" i="10"/>
  <c r="M17" i="10"/>
  <c r="M18" i="10"/>
  <c r="M19" i="10"/>
  <c r="L17" i="10"/>
  <c r="L18" i="10"/>
  <c r="L19" i="10"/>
  <c r="K28" i="43"/>
  <c r="K23" i="43"/>
  <c r="K11" i="34"/>
  <c r="K40" i="34"/>
  <c r="L121" i="33"/>
  <c r="L754" i="33"/>
  <c r="N99" i="27"/>
  <c r="K24" i="43"/>
  <c r="K26" i="43"/>
  <c r="L58" i="37"/>
  <c r="L59" i="37"/>
  <c r="L58" i="39"/>
  <c r="L58" i="35"/>
  <c r="N83" i="27"/>
  <c r="N92" i="27"/>
  <c r="Q35" i="31"/>
  <c r="Q38" i="31"/>
  <c r="Q92" i="31"/>
  <c r="L39" i="13"/>
  <c r="L41" i="13"/>
  <c r="L44" i="13"/>
  <c r="K26" i="41"/>
  <c r="K24" i="41"/>
  <c r="K63" i="34"/>
  <c r="K12" i="34"/>
  <c r="Q84" i="31"/>
  <c r="Q88" i="31"/>
  <c r="L755" i="33"/>
  <c r="L128" i="33"/>
  <c r="L131" i="33"/>
  <c r="M648" i="33"/>
  <c r="M665" i="33"/>
  <c r="L756" i="33"/>
  <c r="L27" i="16"/>
  <c r="L65" i="6"/>
  <c r="U45" i="35"/>
  <c r="U45" i="39"/>
  <c r="U45" i="37"/>
  <c r="V49" i="6"/>
  <c r="D143" i="20"/>
  <c r="G143" i="20"/>
  <c r="C144" i="20"/>
  <c r="Q40" i="31"/>
  <c r="P33" i="6"/>
  <c r="M65" i="6"/>
  <c r="M27" i="16"/>
  <c r="K13" i="34"/>
  <c r="K15" i="34"/>
  <c r="K64" i="34"/>
  <c r="Y92" i="27"/>
  <c r="Y94" i="27"/>
  <c r="K16" i="34"/>
  <c r="N94" i="27"/>
  <c r="M14" i="43"/>
  <c r="L59" i="39"/>
  <c r="F143" i="20"/>
  <c r="M14" i="41"/>
  <c r="L59" i="35"/>
  <c r="I19" i="44"/>
  <c r="I26" i="44"/>
  <c r="L38" i="16"/>
  <c r="L35" i="16"/>
  <c r="L67" i="37"/>
  <c r="L63" i="37"/>
  <c r="M12" i="38"/>
  <c r="M17" i="38"/>
  <c r="M25" i="38"/>
  <c r="M28" i="38"/>
  <c r="L64" i="37"/>
  <c r="M789" i="33"/>
  <c r="M791" i="33"/>
  <c r="M686" i="33"/>
  <c r="G144" i="20"/>
  <c r="C145" i="20"/>
  <c r="D144" i="20"/>
  <c r="F144" i="20"/>
  <c r="P34" i="6"/>
  <c r="D60" i="6"/>
  <c r="D65" i="34"/>
  <c r="D92" i="34"/>
  <c r="K19" i="34"/>
  <c r="L259" i="33"/>
  <c r="L262" i="33"/>
  <c r="Q78" i="28"/>
  <c r="Q80" i="28"/>
  <c r="L801" i="33"/>
  <c r="L757" i="33"/>
  <c r="L802" i="33"/>
  <c r="L805" i="33"/>
  <c r="L813" i="33"/>
  <c r="L773" i="33"/>
  <c r="L781" i="33"/>
  <c r="L37" i="16"/>
  <c r="L45" i="13"/>
  <c r="L67" i="39"/>
  <c r="L63" i="39"/>
  <c r="M12" i="40"/>
  <c r="M17" i="40"/>
  <c r="M25" i="40"/>
  <c r="M28" i="40"/>
  <c r="L64" i="39"/>
  <c r="M259" i="33"/>
  <c r="M262" i="33"/>
  <c r="R78" i="28"/>
  <c r="L19" i="34"/>
  <c r="M43" i="13"/>
  <c r="L16" i="16"/>
  <c r="M12" i="36"/>
  <c r="M17" i="36"/>
  <c r="M25" i="36"/>
  <c r="M28" i="36"/>
  <c r="L64" i="35"/>
  <c r="L67" i="35"/>
  <c r="L63" i="35"/>
  <c r="M16" i="43"/>
  <c r="M22" i="43"/>
  <c r="M32" i="43"/>
  <c r="M33" i="43"/>
  <c r="J19" i="44"/>
  <c r="J26" i="44"/>
  <c r="M35" i="16"/>
  <c r="M38" i="16"/>
  <c r="M41" i="16"/>
  <c r="L264" i="33"/>
  <c r="L351" i="33"/>
  <c r="Q166" i="28"/>
  <c r="Q174" i="28"/>
  <c r="AA175" i="28"/>
  <c r="Q168" i="28"/>
  <c r="O33" i="30"/>
  <c r="O45" i="30"/>
  <c r="Q82" i="28"/>
  <c r="D145" i="20"/>
  <c r="F145" i="20"/>
  <c r="G145" i="20"/>
  <c r="C146" i="20"/>
  <c r="M16" i="41"/>
  <c r="M22" i="41"/>
  <c r="M32" i="41"/>
  <c r="M33" i="41"/>
  <c r="N27" i="16"/>
  <c r="M23" i="41"/>
  <c r="M28" i="41"/>
  <c r="AE78" i="28"/>
  <c r="R80" i="28"/>
  <c r="Q208" i="28"/>
  <c r="AL82" i="28"/>
  <c r="M23" i="43"/>
  <c r="M28" i="43"/>
  <c r="Y16" i="16"/>
  <c r="L52" i="13"/>
  <c r="L22" i="16"/>
  <c r="G146" i="20"/>
  <c r="C147" i="20"/>
  <c r="D146" i="20"/>
  <c r="F146" i="20"/>
  <c r="M351" i="33"/>
  <c r="M264" i="33"/>
  <c r="N38" i="16"/>
  <c r="N35" i="16"/>
  <c r="N41" i="16"/>
  <c r="L759" i="33"/>
  <c r="L762" i="33"/>
  <c r="L760" i="33"/>
  <c r="L763" i="33"/>
  <c r="M772" i="33"/>
  <c r="L868" i="33"/>
  <c r="L361" i="33"/>
  <c r="L358" i="33"/>
  <c r="L869" i="33"/>
  <c r="K39" i="34"/>
  <c r="K23" i="34"/>
  <c r="M759" i="33"/>
  <c r="M762" i="33"/>
  <c r="M760" i="33"/>
  <c r="M763" i="33"/>
  <c r="M361" i="33"/>
  <c r="M868" i="33"/>
  <c r="M358" i="33"/>
  <c r="G147" i="20"/>
  <c r="C148" i="20"/>
  <c r="D147" i="20"/>
  <c r="F147" i="20"/>
  <c r="L42" i="16"/>
  <c r="L45" i="16"/>
  <c r="L46" i="16"/>
  <c r="R166" i="28"/>
  <c r="R174" i="28"/>
  <c r="AB175" i="28"/>
  <c r="R168" i="28"/>
  <c r="P33" i="30"/>
  <c r="P45" i="30"/>
  <c r="R82" i="28"/>
  <c r="M24" i="41"/>
  <c r="M26" i="41"/>
  <c r="I18" i="52"/>
  <c r="I20" i="52"/>
  <c r="Y18" i="16"/>
  <c r="K37" i="34"/>
  <c r="L23" i="34"/>
  <c r="M26" i="43"/>
  <c r="M24" i="43"/>
  <c r="U23" i="34"/>
  <c r="K25" i="34"/>
  <c r="K38" i="34"/>
  <c r="L273" i="33"/>
  <c r="Q91" i="28"/>
  <c r="K41" i="34"/>
  <c r="K43" i="34"/>
  <c r="L473" i="33"/>
  <c r="L310" i="33"/>
  <c r="R208" i="28"/>
  <c r="Q124" i="28"/>
  <c r="N57" i="29"/>
  <c r="N62" i="29"/>
  <c r="Q70" i="31"/>
  <c r="Q74" i="31"/>
  <c r="Q42" i="31"/>
  <c r="G148" i="20"/>
  <c r="C149" i="20"/>
  <c r="D148" i="20"/>
  <c r="F148" i="20"/>
  <c r="V23" i="34"/>
  <c r="L25" i="34"/>
  <c r="L38" i="34"/>
  <c r="K32" i="34"/>
  <c r="K36" i="34"/>
  <c r="M740" i="33"/>
  <c r="M742" i="33"/>
  <c r="M689" i="33"/>
  <c r="M697" i="33"/>
  <c r="M699" i="33"/>
  <c r="L475" i="33"/>
  <c r="G149" i="20"/>
  <c r="C150" i="20"/>
  <c r="D149" i="20"/>
  <c r="K45" i="34"/>
  <c r="Q93" i="31"/>
  <c r="Q94" i="31"/>
  <c r="Q96" i="31"/>
  <c r="Q48" i="31"/>
  <c r="Q51" i="31"/>
  <c r="K35" i="34"/>
  <c r="Z62" i="29"/>
  <c r="Z63" i="29"/>
  <c r="Q206" i="28"/>
  <c r="N107" i="29"/>
  <c r="N108" i="29"/>
  <c r="O13" i="30"/>
  <c r="Q164" i="28"/>
  <c r="Q205" i="28"/>
  <c r="Q172" i="28"/>
  <c r="K44" i="34"/>
  <c r="K31" i="34"/>
  <c r="L355" i="33"/>
  <c r="L764" i="33"/>
  <c r="L349" i="33"/>
  <c r="L350" i="33"/>
  <c r="L353" i="33"/>
  <c r="K46" i="34"/>
  <c r="K48" i="34"/>
  <c r="O26" i="30"/>
  <c r="O47" i="30"/>
  <c r="O20" i="30"/>
  <c r="F149" i="20"/>
  <c r="K142" i="20"/>
  <c r="I142" i="20"/>
  <c r="L826" i="33"/>
  <c r="L578" i="33"/>
  <c r="AA173" i="28"/>
  <c r="K40" i="16"/>
  <c r="W51" i="31"/>
  <c r="Q103" i="31"/>
  <c r="D150" i="20"/>
  <c r="G150" i="20"/>
  <c r="C151" i="20"/>
  <c r="Q209" i="28"/>
  <c r="Q210" i="28"/>
  <c r="AL166" i="28"/>
  <c r="Q194" i="28"/>
  <c r="AL164" i="28"/>
  <c r="Q201" i="28"/>
  <c r="L572" i="33"/>
  <c r="L823" i="33"/>
  <c r="L50" i="6"/>
  <c r="K46" i="39"/>
  <c r="K46" i="35"/>
  <c r="K46" i="37"/>
  <c r="G151" i="20"/>
  <c r="C152" i="20"/>
  <c r="D151" i="20"/>
  <c r="F151" i="20"/>
  <c r="F150" i="20"/>
  <c r="L582" i="33"/>
  <c r="O39" i="30"/>
  <c r="O37" i="30"/>
  <c r="L825" i="33"/>
  <c r="L829" i="33"/>
  <c r="L871" i="33"/>
  <c r="L831" i="33"/>
  <c r="L830" i="33"/>
  <c r="L576" i="33"/>
  <c r="L580" i="33"/>
  <c r="L584" i="33"/>
  <c r="L586" i="33"/>
  <c r="L588" i="33"/>
  <c r="L828" i="33"/>
  <c r="O41" i="30"/>
  <c r="K126" i="35"/>
  <c r="K51" i="35"/>
  <c r="K126" i="37"/>
  <c r="K51" i="37"/>
  <c r="K55" i="37"/>
  <c r="K122" i="37"/>
  <c r="K124" i="37"/>
  <c r="K126" i="39"/>
  <c r="K51" i="39"/>
  <c r="G152" i="20"/>
  <c r="C153" i="20"/>
  <c r="D152" i="20"/>
  <c r="M36" i="13"/>
  <c r="M41" i="13"/>
  <c r="M14" i="40"/>
  <c r="M14" i="36"/>
  <c r="M14" i="38"/>
  <c r="L170" i="6"/>
  <c r="L166" i="6"/>
  <c r="L168" i="6"/>
  <c r="L61" i="6"/>
  <c r="M12" i="13"/>
  <c r="M20" i="13"/>
  <c r="M44" i="13"/>
  <c r="M45" i="13"/>
  <c r="M96" i="33"/>
  <c r="O63" i="27"/>
  <c r="O65" i="27"/>
  <c r="D153" i="20"/>
  <c r="F153" i="20"/>
  <c r="G153" i="20"/>
  <c r="C154" i="20"/>
  <c r="L14" i="43"/>
  <c r="K55" i="39"/>
  <c r="K59" i="37"/>
  <c r="K78" i="34"/>
  <c r="K79" i="34"/>
  <c r="K57" i="37"/>
  <c r="K61" i="37"/>
  <c r="K62" i="37"/>
  <c r="K118" i="37"/>
  <c r="K120" i="37"/>
  <c r="L68" i="39"/>
  <c r="L69" i="39"/>
  <c r="L68" i="37"/>
  <c r="L69" i="37"/>
  <c r="L68" i="35"/>
  <c r="L69" i="35"/>
  <c r="F152" i="20"/>
  <c r="K150" i="20"/>
  <c r="K163" i="20"/>
  <c r="I150" i="20"/>
  <c r="L14" i="41"/>
  <c r="K55" i="35"/>
  <c r="M37" i="16"/>
  <c r="K118" i="39"/>
  <c r="K120" i="39"/>
  <c r="K61" i="39"/>
  <c r="K62" i="39"/>
  <c r="K59" i="39"/>
  <c r="K85" i="34"/>
  <c r="K86" i="34"/>
  <c r="K57" i="39"/>
  <c r="K122" i="39"/>
  <c r="K124" i="39"/>
  <c r="M16" i="16"/>
  <c r="N43" i="13"/>
  <c r="L16" i="43"/>
  <c r="L22" i="43"/>
  <c r="L32" i="43"/>
  <c r="L33" i="43"/>
  <c r="O77" i="27"/>
  <c r="O81" i="27"/>
  <c r="O100" i="27"/>
  <c r="L16" i="41"/>
  <c r="L22" i="41"/>
  <c r="L32" i="41"/>
  <c r="L33" i="41"/>
  <c r="G154" i="20"/>
  <c r="C155" i="20"/>
  <c r="D154" i="20"/>
  <c r="K57" i="35"/>
  <c r="K61" i="35"/>
  <c r="K62" i="35"/>
  <c r="K118" i="35"/>
  <c r="K120" i="35"/>
  <c r="K71" i="34"/>
  <c r="K72" i="34"/>
  <c r="K59" i="35"/>
  <c r="K122" i="35"/>
  <c r="K124" i="35"/>
  <c r="M50" i="6"/>
  <c r="I163" i="20"/>
  <c r="K63" i="37"/>
  <c r="K67" i="37"/>
  <c r="K69" i="37"/>
  <c r="D71" i="37"/>
  <c r="D80" i="34"/>
  <c r="L12" i="38"/>
  <c r="L17" i="38"/>
  <c r="L25" i="38"/>
  <c r="L28" i="38"/>
  <c r="E31" i="38"/>
  <c r="K64" i="37"/>
  <c r="K60" i="37"/>
  <c r="L60" i="37"/>
  <c r="M803" i="33"/>
  <c r="M809" i="33"/>
  <c r="M811" i="33"/>
  <c r="M95" i="33"/>
  <c r="M99" i="33"/>
  <c r="M116" i="33"/>
  <c r="L12" i="36"/>
  <c r="L17" i="36"/>
  <c r="L25" i="36"/>
  <c r="L28" i="36"/>
  <c r="E31" i="36"/>
  <c r="K67" i="35"/>
  <c r="K69" i="35"/>
  <c r="D71" i="35"/>
  <c r="D73" i="34"/>
  <c r="D93" i="34"/>
  <c r="K64" i="35"/>
  <c r="K63" i="35"/>
  <c r="K60" i="35"/>
  <c r="L60" i="35"/>
  <c r="L23" i="41"/>
  <c r="L28" i="41"/>
  <c r="E29" i="41"/>
  <c r="G93" i="34"/>
  <c r="R14" i="31"/>
  <c r="R25" i="31"/>
  <c r="R40" i="31"/>
  <c r="O94" i="27"/>
  <c r="O92" i="27"/>
  <c r="O99" i="27"/>
  <c r="M52" i="13"/>
  <c r="M22" i="16"/>
  <c r="K67" i="39"/>
  <c r="K69" i="39"/>
  <c r="D71" i="39"/>
  <c r="D87" i="34"/>
  <c r="D94" i="34"/>
  <c r="K63" i="39"/>
  <c r="L12" i="40"/>
  <c r="L17" i="40"/>
  <c r="L25" i="40"/>
  <c r="L28" i="40"/>
  <c r="E31" i="40"/>
  <c r="K64" i="39"/>
  <c r="K60" i="39"/>
  <c r="L60" i="39"/>
  <c r="F154" i="20"/>
  <c r="F163" i="20"/>
  <c r="D163" i="20"/>
  <c r="L11" i="34"/>
  <c r="L40" i="34"/>
  <c r="M754" i="33"/>
  <c r="M121" i="33"/>
  <c r="N36" i="13"/>
  <c r="N41" i="13"/>
  <c r="M170" i="6"/>
  <c r="M166" i="6"/>
  <c r="M168" i="6"/>
  <c r="M61" i="6"/>
  <c r="N12" i="13"/>
  <c r="N20" i="13"/>
  <c r="G155" i="20"/>
  <c r="C156" i="20"/>
  <c r="D155" i="20"/>
  <c r="F155" i="20"/>
  <c r="L23" i="43"/>
  <c r="L28" i="43"/>
  <c r="E29" i="43"/>
  <c r="G94" i="34"/>
  <c r="N44" i="13"/>
  <c r="N37" i="16"/>
  <c r="M273" i="33"/>
  <c r="R91" i="28"/>
  <c r="L24" i="43"/>
  <c r="E25" i="43"/>
  <c r="L26" i="43"/>
  <c r="E27" i="43"/>
  <c r="F94" i="34"/>
  <c r="N648" i="33"/>
  <c r="N665" i="33"/>
  <c r="N686" i="33"/>
  <c r="M756" i="33"/>
  <c r="M128" i="33"/>
  <c r="M131" i="33"/>
  <c r="L12" i="34"/>
  <c r="L63" i="34"/>
  <c r="N45" i="13"/>
  <c r="N16" i="16"/>
  <c r="M755" i="33"/>
  <c r="M869" i="33"/>
  <c r="M42" i="16"/>
  <c r="M45" i="16"/>
  <c r="L24" i="41"/>
  <c r="E25" i="41"/>
  <c r="L26" i="41"/>
  <c r="E27" i="41"/>
  <c r="F93" i="34"/>
  <c r="D156" i="20"/>
  <c r="F156" i="20"/>
  <c r="G156" i="20"/>
  <c r="C157" i="20"/>
  <c r="L13" i="34"/>
  <c r="L15" i="34"/>
  <c r="L64" i="34"/>
  <c r="L16" i="34"/>
  <c r="M773" i="33"/>
  <c r="M781" i="33"/>
  <c r="M801" i="33"/>
  <c r="M757" i="33"/>
  <c r="M802" i="33"/>
  <c r="M805" i="33"/>
  <c r="M813" i="33"/>
  <c r="R124" i="28"/>
  <c r="R70" i="31"/>
  <c r="R74" i="31"/>
  <c r="R42" i="31"/>
  <c r="R48" i="31"/>
  <c r="R51" i="31"/>
  <c r="AE89" i="28"/>
  <c r="AF98" i="28"/>
  <c r="AF100" i="28"/>
  <c r="O57" i="29"/>
  <c r="D157" i="20"/>
  <c r="F157" i="20"/>
  <c r="G157" i="20"/>
  <c r="C158" i="20"/>
  <c r="N52" i="13"/>
  <c r="N22" i="16"/>
  <c r="M473" i="33"/>
  <c r="M310" i="33"/>
  <c r="N740" i="33"/>
  <c r="N742" i="33"/>
  <c r="N689" i="33"/>
  <c r="N697" i="33"/>
  <c r="N699" i="33"/>
  <c r="M475" i="33"/>
  <c r="M355" i="33"/>
  <c r="M764" i="33"/>
  <c r="M349" i="33"/>
  <c r="M350" i="33"/>
  <c r="M353" i="33"/>
  <c r="R206" i="28"/>
  <c r="O107" i="29"/>
  <c r="O108" i="29"/>
  <c r="AF124" i="28"/>
  <c r="R164" i="28"/>
  <c r="P13" i="30"/>
  <c r="D158" i="20"/>
  <c r="F158" i="20"/>
  <c r="G158" i="20"/>
  <c r="C159" i="20"/>
  <c r="N45" i="16"/>
  <c r="N42" i="16"/>
  <c r="R103" i="31"/>
  <c r="X51" i="31"/>
  <c r="M572" i="33"/>
  <c r="M823" i="33"/>
  <c r="G159" i="20"/>
  <c r="C160" i="20"/>
  <c r="D159" i="20"/>
  <c r="F159" i="20"/>
  <c r="AM166" i="28"/>
  <c r="R209" i="28"/>
  <c r="R210" i="28"/>
  <c r="AM164" i="28"/>
  <c r="R194" i="28"/>
  <c r="R204" i="28"/>
  <c r="P20" i="30"/>
  <c r="P26" i="30"/>
  <c r="P47" i="30"/>
  <c r="M826" i="33"/>
  <c r="M578" i="33"/>
  <c r="M582" i="33"/>
  <c r="M828" i="33"/>
  <c r="P39" i="30"/>
  <c r="P37" i="30"/>
  <c r="P41" i="30"/>
  <c r="M825" i="33"/>
  <c r="M831" i="33"/>
  <c r="M830" i="33"/>
  <c r="M871" i="33"/>
  <c r="M829" i="33"/>
  <c r="M576" i="33"/>
  <c r="M580" i="33"/>
  <c r="M584" i="33"/>
  <c r="M586" i="33"/>
  <c r="M588" i="33"/>
  <c r="G160" i="20"/>
  <c r="C161" i="20"/>
  <c r="D160" i="20"/>
  <c r="F160" i="20"/>
  <c r="D161" i="20"/>
  <c r="F161" i="20"/>
  <c r="G161" i="20"/>
  <c r="C162" i="20"/>
  <c r="D162" i="20"/>
  <c r="F162" i="20"/>
  <c r="G162"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BSBA1</author>
  </authors>
  <commentList>
    <comment ref="C23" authorId="0" shapeId="0" xr:uid="{D3D51EFD-3B7A-4A3E-A88B-4B7677F61BB7}">
      <text>
        <r>
          <rPr>
            <b/>
            <sz val="8"/>
            <color indexed="81"/>
            <rFont val="Tahoma"/>
            <family val="2"/>
          </rPr>
          <t>BSBA1:Including basement area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ANUP</author>
  </authors>
  <commentList>
    <comment ref="J26" authorId="0" shapeId="0" xr:uid="{82ED1602-4572-4D08-A3F1-BF8C9C05AA4F}">
      <text>
        <r>
          <rPr>
            <b/>
            <sz val="8"/>
            <color indexed="81"/>
            <rFont val="Tahoma"/>
            <family val="2"/>
          </rPr>
          <t>MOBILISATION ADVANCE &amp; SECURED ADV</t>
        </r>
      </text>
    </comment>
    <comment ref="K26" authorId="0" shapeId="0" xr:uid="{D672893A-5596-41D1-8683-C7679523C0C0}">
      <text>
        <r>
          <rPr>
            <b/>
            <sz val="8"/>
            <color indexed="81"/>
            <rFont val="Tahoma"/>
            <family val="2"/>
          </rPr>
          <t>MOBILISATION ADVANCE &amp; SECURED ADV</t>
        </r>
      </text>
    </comment>
    <comment ref="L26" authorId="0" shapeId="0" xr:uid="{744AA4E2-61FF-4206-BBFC-AF73F4375CF6}">
      <text>
        <r>
          <rPr>
            <b/>
            <sz val="8"/>
            <color indexed="81"/>
            <rFont val="Tahoma"/>
            <family val="2"/>
          </rPr>
          <t>MOBILISATION ADVANCE &amp; SECURED ADV</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Pravin</author>
  </authors>
  <commentList>
    <comment ref="E2" authorId="0" shapeId="0" xr:uid="{2B91B001-8972-4A2C-B554-C3A460B6087A}">
      <text>
        <r>
          <rPr>
            <b/>
            <sz val="9"/>
            <color indexed="81"/>
            <rFont val="Tahoma"/>
            <family val="2"/>
          </rPr>
          <t>Max demand</t>
        </r>
      </text>
    </comment>
  </commentList>
</comments>
</file>

<file path=xl/sharedStrings.xml><?xml version="1.0" encoding="utf-8"?>
<sst xmlns="http://schemas.openxmlformats.org/spreadsheetml/2006/main" count="4161" uniqueCount="2169">
  <si>
    <t>FINANCIAL ANALYSIS :</t>
  </si>
  <si>
    <t>(Rs. In Lacs)</t>
  </si>
  <si>
    <t>2014-15</t>
  </si>
  <si>
    <t>2015-16</t>
  </si>
  <si>
    <t>2016-17</t>
  </si>
  <si>
    <t>2017-18</t>
  </si>
  <si>
    <t>2018-19</t>
  </si>
  <si>
    <t>2019-20</t>
  </si>
  <si>
    <t>2020-21</t>
  </si>
  <si>
    <t>2021-22</t>
  </si>
  <si>
    <t>2022-23</t>
  </si>
  <si>
    <t>(Projected)</t>
  </si>
  <si>
    <t>Gross turnover</t>
  </si>
  <si>
    <t>-  Domestic</t>
  </si>
  <si>
    <t>-  Export</t>
  </si>
  <si>
    <t>% growth *</t>
  </si>
  <si>
    <t>Net sales (net of excise duty etc.)</t>
  </si>
  <si>
    <t>Other income</t>
  </si>
  <si>
    <t>Operating profit/ loss*</t>
  </si>
  <si>
    <t xml:space="preserve">Profit before tax </t>
  </si>
  <si>
    <t>Profit after tax</t>
  </si>
  <si>
    <t xml:space="preserve">Depreciation </t>
  </si>
  <si>
    <t>Cash profit/ (loss) *</t>
  </si>
  <si>
    <t>EBIDTA/PBIDTA</t>
  </si>
  <si>
    <t>Paid up capital</t>
  </si>
  <si>
    <t>Unsecured loan (quasi capital)</t>
  </si>
  <si>
    <t>Reserves and surplus excluding revaluation reserves</t>
  </si>
  <si>
    <t>Misc. expenditure not written off</t>
  </si>
  <si>
    <t>Accumulated losses *</t>
  </si>
  <si>
    <t>Deferred tax liability/ asset</t>
  </si>
  <si>
    <t>a) Tangible Net Worth</t>
  </si>
  <si>
    <t xml:space="preserve">b) Investment in allied concerns and amount of cross holdings </t>
  </si>
  <si>
    <t>c) Net owned funds/Adjusted TNW       9a-b)*</t>
  </si>
  <si>
    <t>Share application money</t>
  </si>
  <si>
    <t>Total Borrowings</t>
  </si>
  <si>
    <t>Secured</t>
  </si>
  <si>
    <t xml:space="preserve">Unsecured </t>
  </si>
  <si>
    <t>Other investments (excluding investment in allied concerns considered for arriving at net owned funds)</t>
  </si>
  <si>
    <t>Total Assets</t>
  </si>
  <si>
    <t>- Current assets</t>
  </si>
  <si>
    <t>- Non-current assets</t>
  </si>
  <si>
    <t>Out of which net fixed assets</t>
  </si>
  <si>
    <t>Net working capital *</t>
  </si>
  <si>
    <t>Current ratio</t>
  </si>
  <si>
    <t>Debt equity ratio</t>
  </si>
  <si>
    <t>Term liability/ Adjusted TNW</t>
  </si>
  <si>
    <t>TOL/ adjusted TNW</t>
  </si>
  <si>
    <t xml:space="preserve">Operating profit/ sales </t>
  </si>
  <si>
    <t>Long term sources</t>
  </si>
  <si>
    <t>Long term uses</t>
  </si>
  <si>
    <t>Surplus/ Deficit</t>
  </si>
  <si>
    <t>Short Term Sources</t>
  </si>
  <si>
    <t>Short Term Uses</t>
  </si>
  <si>
    <t>Surplus/ Deficit **</t>
  </si>
  <si>
    <t>AMOUNT OF LOAN REQUIRED:</t>
  </si>
  <si>
    <t>TERM LOAN:</t>
  </si>
  <si>
    <t xml:space="preserve">Rs. </t>
  </si>
  <si>
    <t>Lacs</t>
  </si>
  <si>
    <t>CASH CREDIT:</t>
  </si>
  <si>
    <t>Detailed Sensitivity Analysis:</t>
  </si>
  <si>
    <t>Scenario I – Normal Scenario</t>
  </si>
  <si>
    <t xml:space="preserve">1. PBT </t>
  </si>
  <si>
    <t>2. Cash Profit</t>
  </si>
  <si>
    <t>Average DSCR</t>
  </si>
  <si>
    <t>IRR</t>
  </si>
  <si>
    <t>Scenario II - By drop in capacity utilization by 10%</t>
  </si>
  <si>
    <t>Scenario III - By drop in receipts by 5%</t>
  </si>
  <si>
    <t>Scenario IV - By drop in receipts by 10%</t>
  </si>
  <si>
    <t>Scenario</t>
  </si>
  <si>
    <t>BEP%</t>
  </si>
  <si>
    <t>Cash BEP%</t>
  </si>
  <si>
    <t>Base case</t>
  </si>
  <si>
    <t>10% decrease in capacity utilization</t>
  </si>
  <si>
    <t>10% decrease in gross rentals</t>
  </si>
  <si>
    <t>Brief explanation for each major individual item of cost of Project:</t>
  </si>
  <si>
    <t>Break-up of each item numbered below:</t>
  </si>
  <si>
    <t>Sl.No.</t>
  </si>
  <si>
    <t>Items</t>
  </si>
  <si>
    <t>Amount (In lacs)</t>
  </si>
  <si>
    <t>Land &amp; site development</t>
  </si>
  <si>
    <t>Building &amp; civil works</t>
  </si>
  <si>
    <t>Misc. Fixed Assets</t>
  </si>
  <si>
    <t>Electrical Installations</t>
  </si>
  <si>
    <t>Plant &amp; Machinery</t>
  </si>
  <si>
    <t>Preliminary and preoperative expenses</t>
  </si>
  <si>
    <t>Margin money for Working Capital</t>
  </si>
  <si>
    <t>Contingency</t>
  </si>
  <si>
    <t>Total</t>
  </si>
  <si>
    <t>Floor-wise Details of no. of rooms, lobby, restaurant etc.</t>
  </si>
  <si>
    <t>(34)</t>
  </si>
  <si>
    <t>ANNEXURE IX</t>
  </si>
  <si>
    <t>Internal Rate of Return</t>
  </si>
  <si>
    <t>Rs. In Lakhs</t>
  </si>
  <si>
    <t>Year</t>
  </si>
  <si>
    <t>Construction</t>
  </si>
  <si>
    <t>Year 1</t>
  </si>
  <si>
    <t>Year 2</t>
  </si>
  <si>
    <t>Year 3</t>
  </si>
  <si>
    <t>Year 4</t>
  </si>
  <si>
    <t>Year 5</t>
  </si>
  <si>
    <t>Year 6</t>
  </si>
  <si>
    <t>Year 7</t>
  </si>
  <si>
    <t>Year 8</t>
  </si>
  <si>
    <t>Year 9</t>
  </si>
  <si>
    <t>CASH INFLOW</t>
  </si>
  <si>
    <t>Profit After Tax</t>
  </si>
  <si>
    <t>Depreciation</t>
  </si>
  <si>
    <t>Interest on Term Loan</t>
  </si>
  <si>
    <t>Residual Value of Fixed Assets</t>
  </si>
  <si>
    <t>*</t>
  </si>
  <si>
    <t>TOTAL CASH INFLOW</t>
  </si>
  <si>
    <t>CASH OUTFLOWS</t>
  </si>
  <si>
    <t>Capital Expenditure</t>
  </si>
  <si>
    <t>TOTAL CASH OUTFLOW</t>
  </si>
  <si>
    <t>NET CASH FLOW</t>
  </si>
  <si>
    <t>Discounting Factor</t>
  </si>
  <si>
    <t>Present Value</t>
  </si>
  <si>
    <t>Net Present Value (Rs.)</t>
  </si>
  <si>
    <t xml:space="preserve"> The Internal Rate of Return is </t>
  </si>
  <si>
    <t>* Residual value of fixed assets has been considered at 50% of Book WDV</t>
  </si>
  <si>
    <t>(30)</t>
  </si>
  <si>
    <t>ANNEXURE V</t>
  </si>
  <si>
    <t>Break Even Analysis</t>
  </si>
  <si>
    <t>Basis</t>
  </si>
  <si>
    <t>Gross Revenue Receipt</t>
  </si>
  <si>
    <t xml:space="preserve"> VARIABLE COSTS</t>
  </si>
  <si>
    <t>TOTAL VARIABLE COSTS</t>
  </si>
  <si>
    <t>CONTRIBUTION</t>
  </si>
  <si>
    <t>FIXED COSTS</t>
  </si>
  <si>
    <t>TOTAL FIXED COSTS</t>
  </si>
  <si>
    <t>P/V Ratio</t>
  </si>
  <si>
    <t>Break Even Sales</t>
  </si>
  <si>
    <t>Break Even Point Room Occupancy Achieved</t>
  </si>
  <si>
    <t>Average Break Even Point Room Occupancy Achieved</t>
  </si>
  <si>
    <t>Break Even Point Room Capacity</t>
  </si>
  <si>
    <t>Average Break Even Point Room Capacity</t>
  </si>
  <si>
    <t>Cash Break Even Point Room Capacity</t>
  </si>
  <si>
    <t>Average Cash Break Even Point Room Capacity</t>
  </si>
  <si>
    <t>(28)</t>
  </si>
  <si>
    <t>ANNEXURE III</t>
  </si>
  <si>
    <t>Projected Profitability</t>
  </si>
  <si>
    <t>Rs. In Lacs</t>
  </si>
  <si>
    <t>Room Charges</t>
  </si>
  <si>
    <t>F &amp; B Sales</t>
  </si>
  <si>
    <t>Banquet Hall Receipts</t>
  </si>
  <si>
    <t>Conference Hall Receipts</t>
  </si>
  <si>
    <t>Other Income</t>
  </si>
  <si>
    <t>Envisaged Occupancy</t>
  </si>
  <si>
    <t>Projected Sales</t>
  </si>
  <si>
    <t>Room Sales</t>
  </si>
  <si>
    <t>Total Projected Sales</t>
  </si>
  <si>
    <t>Revenue  Expenses</t>
  </si>
  <si>
    <t>As</t>
  </si>
  <si>
    <t>of</t>
  </si>
  <si>
    <t xml:space="preserve">Food &amp; Beverages Cost </t>
  </si>
  <si>
    <t>F &amp; B sales</t>
  </si>
  <si>
    <t>Banquet &amp; Conference Hall Expenses</t>
  </si>
  <si>
    <t>B &amp; C Receipts</t>
  </si>
  <si>
    <t>Employee Related Expenses</t>
  </si>
  <si>
    <t>Total Sales</t>
  </si>
  <si>
    <t>Increasing</t>
  </si>
  <si>
    <t>Power, Fuel &amp; Water Charges</t>
  </si>
  <si>
    <t>Repair &amp; Maintenance</t>
  </si>
  <si>
    <t>Assets</t>
  </si>
  <si>
    <t>Discount on Room Rentals</t>
  </si>
  <si>
    <t>Max 25%</t>
  </si>
  <si>
    <t>Room Upkeep Exp.</t>
  </si>
  <si>
    <t>Normal</t>
  </si>
  <si>
    <t>General Upkeep &amp; Services</t>
  </si>
  <si>
    <t>Administration Expenses</t>
  </si>
  <si>
    <t>Management expenses</t>
  </si>
  <si>
    <t>Advertisement &amp; Sales Promotion</t>
  </si>
  <si>
    <t>Insurance Charges</t>
  </si>
  <si>
    <t xml:space="preserve">Building </t>
  </si>
  <si>
    <t>Plant &amp; Equipment</t>
  </si>
  <si>
    <t>Furniture &amp; Accessories</t>
  </si>
  <si>
    <t>Inventory</t>
  </si>
  <si>
    <t>Brokerage &amp; Commission</t>
  </si>
  <si>
    <t>Interest on Working Capital Loan</t>
  </si>
  <si>
    <t>Total Operating Costs</t>
  </si>
  <si>
    <t xml:space="preserve">Gross Profit </t>
  </si>
  <si>
    <t>PBIT</t>
  </si>
  <si>
    <t>Provision For Tax being MAT</t>
  </si>
  <si>
    <t>Cummulative Reserve</t>
  </si>
  <si>
    <t>Cash Profit</t>
  </si>
  <si>
    <t>% of Cash Profit</t>
  </si>
  <si>
    <t>% of PAT</t>
  </si>
  <si>
    <t>Retained Profit</t>
  </si>
  <si>
    <t>DSCR</t>
  </si>
  <si>
    <t>Cash Profit &amp; Intt On T L</t>
  </si>
  <si>
    <t>TL &amp; Intt</t>
  </si>
  <si>
    <t>LIST OF CONTENTS</t>
  </si>
  <si>
    <t>SL. NO.</t>
  </si>
  <si>
    <t>ITEMS</t>
  </si>
  <si>
    <t>PAGE(S)</t>
  </si>
  <si>
    <t>Introduction</t>
  </si>
  <si>
    <t>1</t>
  </si>
  <si>
    <t>Hotel Industry of India</t>
  </si>
  <si>
    <t>1 - 6</t>
  </si>
  <si>
    <t>About Incentives &amp; Subsidies</t>
  </si>
  <si>
    <t>7 - 9</t>
  </si>
  <si>
    <t>About the Partners</t>
  </si>
  <si>
    <t>10</t>
  </si>
  <si>
    <t>Demand Forecast</t>
  </si>
  <si>
    <t>11 - 13</t>
  </si>
  <si>
    <t>Marketing Strategy</t>
  </si>
  <si>
    <t>Location Details</t>
  </si>
  <si>
    <t>Utility &amp; Services</t>
  </si>
  <si>
    <t>Facilities</t>
  </si>
  <si>
    <t>15 - 17</t>
  </si>
  <si>
    <t>About Personnel &amp; Procedures</t>
  </si>
  <si>
    <t>Quality Assurance</t>
  </si>
  <si>
    <t>About the Consultants</t>
  </si>
  <si>
    <t>Financial Analysis</t>
  </si>
  <si>
    <t>20-23</t>
  </si>
  <si>
    <t>Project Execution &amp; Implementation Schedule</t>
  </si>
  <si>
    <t>SWOT Analysis</t>
  </si>
  <si>
    <t>LIST OF ANNEXURES</t>
  </si>
  <si>
    <t>I</t>
  </si>
  <si>
    <t>Estimated Project Cost &amp; Projected Means Of Finance</t>
  </si>
  <si>
    <t>II</t>
  </si>
  <si>
    <t>Computation of Working Capital Requirement</t>
  </si>
  <si>
    <t>III</t>
  </si>
  <si>
    <t xml:space="preserve">Projected Profitability </t>
  </si>
  <si>
    <t>IV</t>
  </si>
  <si>
    <t>Projected Balance Sheet</t>
  </si>
  <si>
    <t>V</t>
  </si>
  <si>
    <t>VI</t>
  </si>
  <si>
    <t>Projected Cash Flow</t>
  </si>
  <si>
    <t>VII</t>
  </si>
  <si>
    <t>Pay Back Period</t>
  </si>
  <si>
    <t>VIII</t>
  </si>
  <si>
    <t>Debt Service Coverage Ratio</t>
  </si>
  <si>
    <t>IX</t>
  </si>
  <si>
    <t>BEP</t>
  </si>
  <si>
    <t>X</t>
  </si>
  <si>
    <t xml:space="preserve">Internal Rate of Return </t>
  </si>
  <si>
    <t>XI</t>
  </si>
  <si>
    <t>Financial Ratio</t>
  </si>
  <si>
    <t>LIST OF APPENDICES</t>
  </si>
  <si>
    <t>Details of Plant &amp; Machinery, Misc. Fixed Assets, Electrical Installations</t>
  </si>
  <si>
    <t>Details of Preliminary &amp; Preoperative Expenses</t>
  </si>
  <si>
    <t>39 - 40</t>
  </si>
  <si>
    <t>Statement showing calculation of Interest &amp; Repayment</t>
  </si>
  <si>
    <t xml:space="preserve">Depreciation Schedule </t>
  </si>
  <si>
    <t>42 - 43</t>
  </si>
  <si>
    <t>CMA DATA FORMS</t>
  </si>
  <si>
    <t>45 - 50</t>
  </si>
  <si>
    <t>PROJECT AT GLANCE</t>
  </si>
  <si>
    <t>1)</t>
  </si>
  <si>
    <t>NAME OF THE FIRM</t>
  </si>
  <si>
    <t>:</t>
  </si>
  <si>
    <t>OM ARHAM VENTURES</t>
  </si>
  <si>
    <t>2)</t>
  </si>
  <si>
    <t>CONSTITUTION</t>
  </si>
  <si>
    <t>PARTNERSHIP</t>
  </si>
  <si>
    <t>3)</t>
  </si>
  <si>
    <t>NAME OF PARTNERS</t>
  </si>
  <si>
    <t>MR. PANKAJ KUMAR JAIN</t>
  </si>
  <si>
    <t>MR. SANDEEP JAIN</t>
  </si>
  <si>
    <t>MR. PRAMOD KUMAR JAIN</t>
  </si>
  <si>
    <t>MR. VINAY DAGA</t>
  </si>
  <si>
    <t>MR. KETAN  RAJKUMAR DAGA</t>
  </si>
  <si>
    <t>4)</t>
  </si>
  <si>
    <t>LOCATION</t>
  </si>
  <si>
    <r>
      <rPr>
        <b/>
        <u/>
        <sz val="10"/>
        <rFont val="Arial"/>
        <family val="2"/>
      </rPr>
      <t>ADMIN. OFF.:</t>
    </r>
    <r>
      <rPr>
        <b/>
        <sz val="10"/>
        <rFont val="Arial"/>
        <family val="2"/>
      </rPr>
      <t xml:space="preserve"> ROOM NO.1, GROUND FLOOR, </t>
    </r>
  </si>
  <si>
    <t>ARHAM COLD STORAGE PVT. LTD., -</t>
  </si>
  <si>
    <t xml:space="preserve">PALASHBARI UPARHALLI- DHARAPUR ROAD, </t>
  </si>
  <si>
    <t xml:space="preserve"> NEAR KAMRUP  THANDA GHAR, VILLAGE -</t>
  </si>
  <si>
    <t xml:space="preserve">SORPARA, MOUZA- CHAYANI, BIJOYNAGAR, </t>
  </si>
  <si>
    <t xml:space="preserve"> GUWAHATI, KAMRUP RURAL, </t>
  </si>
  <si>
    <t>ASSAM, PIN-781122</t>
  </si>
  <si>
    <t>5)</t>
  </si>
  <si>
    <t>PROJECT COST</t>
  </si>
  <si>
    <t>6)</t>
  </si>
  <si>
    <t>MEANS OF FINANCE</t>
  </si>
  <si>
    <t>Partners' Capital</t>
  </si>
  <si>
    <t>Unsecured Loans</t>
  </si>
  <si>
    <t>Term Loan From Financial Institutions</t>
  </si>
  <si>
    <t xml:space="preserve">Working Capital  Assistance </t>
  </si>
  <si>
    <t>11)</t>
  </si>
  <si>
    <t>Power</t>
  </si>
  <si>
    <t>320KVA</t>
  </si>
  <si>
    <t>12)</t>
  </si>
  <si>
    <t>Manpower</t>
  </si>
  <si>
    <t>13)</t>
  </si>
  <si>
    <t>Capacity/Facilities (No. of rooms)</t>
  </si>
  <si>
    <t>(12)</t>
  </si>
  <si>
    <t>A N N E X U R E  - "I"_</t>
  </si>
  <si>
    <t>CAPITAL COST OF THE PROJECT</t>
  </si>
  <si>
    <t>Sl. No.</t>
  </si>
  <si>
    <t>Particulars</t>
  </si>
  <si>
    <t>Built Up Area:</t>
  </si>
  <si>
    <t>Amt. 
(in Lac Rs.)</t>
  </si>
  <si>
    <t>Cost of Civil Works</t>
  </si>
  <si>
    <t>Land &amp; Site Development</t>
  </si>
  <si>
    <t>Building</t>
  </si>
  <si>
    <t>3.</t>
  </si>
  <si>
    <t>Plant &amp; Machineries</t>
  </si>
  <si>
    <t>4.</t>
  </si>
  <si>
    <t>Miscellaneous Fixed Assets</t>
  </si>
  <si>
    <t>5.</t>
  </si>
  <si>
    <t>6.</t>
  </si>
  <si>
    <t>Preliminary &amp; Pre-operative Expenses</t>
  </si>
  <si>
    <t>7.</t>
  </si>
  <si>
    <t>Provision for Contingency</t>
  </si>
  <si>
    <t>MEANS OF FINANCES</t>
  </si>
  <si>
    <t>1.</t>
  </si>
  <si>
    <t>Promoters Contribution</t>
  </si>
  <si>
    <t>(Incl. Unsecured Loans from Shareholders &amp; Directors)</t>
  </si>
  <si>
    <t>Term Loan assistance</t>
  </si>
  <si>
    <t>ANNEXURE - I</t>
  </si>
  <si>
    <t>ESTIMATED PROJECT COST &amp; PROJECTED MEANS OF FINANCE</t>
  </si>
  <si>
    <t>(Rs. in Lacs)</t>
  </si>
  <si>
    <t>PARTICULARS</t>
  </si>
  <si>
    <t>CAPITAL OUT FLOW</t>
  </si>
  <si>
    <t>CAPITAL COST</t>
  </si>
  <si>
    <t>% COMPOSITION</t>
  </si>
  <si>
    <t>No.of rooms</t>
  </si>
  <si>
    <t>No.</t>
  </si>
  <si>
    <t>LAND COST (OWNED)</t>
  </si>
  <si>
    <t>CIVIL WORKS (INCLUDING MEP)</t>
  </si>
  <si>
    <t xml:space="preserve">Land Area </t>
  </si>
  <si>
    <t>sq.ft</t>
  </si>
  <si>
    <t>Total Built Up Area</t>
  </si>
  <si>
    <t>Civil Construction Cost/BUA</t>
  </si>
  <si>
    <t>Rs.sq.ft</t>
  </si>
  <si>
    <t>FURNITURE &amp; FIXTURES</t>
  </si>
  <si>
    <t>Equipment cost/Room</t>
  </si>
  <si>
    <t>Rs.crore</t>
  </si>
  <si>
    <t>MISC. FIXED ASSETS</t>
  </si>
  <si>
    <t>Manpower per 100 rooms</t>
  </si>
  <si>
    <t>Total Manpower expected to be hired</t>
  </si>
  <si>
    <t>PLANT &amp; MACHINERY</t>
  </si>
  <si>
    <t>PRELIMINARY &amp; PREOPERATIVE EXPENSES</t>
  </si>
  <si>
    <t>Project Cost/Room</t>
  </si>
  <si>
    <t>Rs.crore/Room</t>
  </si>
  <si>
    <t>MARGIN MONEY / INVSTT. FOR WORKING CAPITAL</t>
  </si>
  <si>
    <t>CONTINGENCY</t>
  </si>
  <si>
    <t>TOTAL PROJECT COST</t>
  </si>
  <si>
    <t>COST OF CAPITAL</t>
  </si>
  <si>
    <t>CAPITAL EXPENDITURE</t>
  </si>
  <si>
    <t>MARGIN MONEY / INVSTT. FOR  WORKING CAPITAL</t>
  </si>
  <si>
    <t>PROPOSED MEANS OF FINANCE</t>
  </si>
  <si>
    <t>PARTNERS' CAPITAL</t>
  </si>
  <si>
    <t>UNSECURED LOANS</t>
  </si>
  <si>
    <t>TERM LOAN FROM BANKS</t>
  </si>
  <si>
    <t>TOTAL</t>
  </si>
  <si>
    <t>W C  LIMITS APPLIED</t>
  </si>
  <si>
    <t>DIFF.</t>
  </si>
  <si>
    <t>COMPUTATION OF WORKING CAPITAL REQUIREMENT</t>
  </si>
  <si>
    <t>ANNEXURE II</t>
  </si>
  <si>
    <t>( Rs. In Lacs)</t>
  </si>
  <si>
    <t>Months/Year</t>
  </si>
  <si>
    <t>CURRENT ASSETS</t>
  </si>
  <si>
    <t>Accounts Receivable</t>
  </si>
  <si>
    <t>Provisions &amp; Beverages</t>
  </si>
  <si>
    <t>Crockery, cutlery, linen,</t>
  </si>
  <si>
    <t>Silver Ware,SS items</t>
  </si>
  <si>
    <t>TOTAL CURRENT ASSETS</t>
  </si>
  <si>
    <t>CURRENT LIABILITIES</t>
  </si>
  <si>
    <t>Accounts Payable</t>
  </si>
  <si>
    <t>WORKING CAPITAL</t>
  </si>
  <si>
    <t>Net Working Capital</t>
  </si>
  <si>
    <t>Increase in Working Capital</t>
  </si>
  <si>
    <t>Bank Finance</t>
  </si>
  <si>
    <t>Margin  money / Investment</t>
  </si>
  <si>
    <t>Interest on Working Capital</t>
  </si>
  <si>
    <t>Increase in Inventory</t>
  </si>
  <si>
    <t>Increase in Accounts Receivable</t>
  </si>
  <si>
    <t>Increase in Accounts Payable</t>
  </si>
  <si>
    <t>Increase in Working Capital Loan</t>
  </si>
  <si>
    <t>Capacity Operation</t>
  </si>
  <si>
    <t>Total Projected Sales (Excl Other Income)</t>
  </si>
  <si>
    <t>31.03.15</t>
  </si>
  <si>
    <t>31.03.16</t>
  </si>
  <si>
    <t>31.03.17</t>
  </si>
  <si>
    <t>31.03.18</t>
  </si>
  <si>
    <t>31.03.19</t>
  </si>
  <si>
    <t>31.03.20</t>
  </si>
  <si>
    <t>31.03.21</t>
  </si>
  <si>
    <t>31.03.22</t>
  </si>
  <si>
    <t>31.03.23</t>
  </si>
  <si>
    <t>Add: Capital Introduced</t>
  </si>
  <si>
    <t>Add: Accumulated Profit</t>
  </si>
  <si>
    <t>Add:Reserves and Surplus excluding revaluation reserves</t>
  </si>
  <si>
    <t>Add:Deferred Tax Liability</t>
  </si>
  <si>
    <t>Less: Investment in subsidiary</t>
  </si>
  <si>
    <t>Less: Revaluation Reserve</t>
  </si>
  <si>
    <t>Less: Misc. expenditure not written off</t>
  </si>
  <si>
    <t>Less: Accumulated losses</t>
  </si>
  <si>
    <t>Less: Deferred Tax Asset</t>
  </si>
  <si>
    <t>TNW</t>
  </si>
  <si>
    <t>PBDIT</t>
  </si>
  <si>
    <t>PAT</t>
  </si>
  <si>
    <t>wc loan</t>
  </si>
  <si>
    <t>Profit Before Tax</t>
  </si>
  <si>
    <t>Drawings</t>
  </si>
  <si>
    <t>Cumulative Reserve</t>
  </si>
  <si>
    <t>ANNEXURE IV</t>
  </si>
  <si>
    <t xml:space="preserve">Construction Year 2 </t>
  </si>
  <si>
    <t>Year1</t>
  </si>
  <si>
    <t>Year2</t>
  </si>
  <si>
    <t>Year3</t>
  </si>
  <si>
    <t>Year4</t>
  </si>
  <si>
    <t>Year5</t>
  </si>
  <si>
    <t>Year6</t>
  </si>
  <si>
    <t>Year7</t>
  </si>
  <si>
    <t>Year8</t>
  </si>
  <si>
    <t>Year9</t>
  </si>
  <si>
    <t>Year10</t>
  </si>
  <si>
    <t>ASSETS</t>
  </si>
  <si>
    <t>Fixed Assets (Gross Block)</t>
  </si>
  <si>
    <t>Less: Accumulated Depreciation</t>
  </si>
  <si>
    <t>Fixed Assets ( W D V )</t>
  </si>
  <si>
    <t>Current Assets</t>
  </si>
  <si>
    <t>Cash &amp; Bank Balances</t>
  </si>
  <si>
    <t>Inventory &amp; Receivables</t>
  </si>
  <si>
    <t>Current Liability</t>
  </si>
  <si>
    <t>Other Current Assets</t>
  </si>
  <si>
    <t>Loans &amp; Advances / Non Current Assets</t>
  </si>
  <si>
    <t>TOTAL ASSETS</t>
  </si>
  <si>
    <t>LIABILITIES</t>
  </si>
  <si>
    <t>Reserves &amp; Surplus</t>
  </si>
  <si>
    <t>Secured Term Loan</t>
  </si>
  <si>
    <t>Working Capital Loan</t>
  </si>
  <si>
    <t>Instalments Repayable Within one Yr</t>
  </si>
  <si>
    <t>Current Liabilities</t>
  </si>
  <si>
    <t>Other Current Liabilities</t>
  </si>
  <si>
    <t>TOTAL LIABILITIES</t>
  </si>
  <si>
    <t>Difference</t>
  </si>
  <si>
    <t>FY 2017-18</t>
  </si>
  <si>
    <t>FY 2018-19</t>
  </si>
  <si>
    <t>FY-2019-20</t>
  </si>
  <si>
    <t>FY-2020-21</t>
  </si>
  <si>
    <t>FY-2021-22</t>
  </si>
  <si>
    <t>FY-2022-23</t>
  </si>
  <si>
    <t>FY-2023-24</t>
  </si>
  <si>
    <t>FY-2024-25</t>
  </si>
  <si>
    <t>Sales</t>
  </si>
  <si>
    <t>PBT</t>
  </si>
  <si>
    <t>Partners Capital</t>
  </si>
  <si>
    <t>Investment in group company</t>
  </si>
  <si>
    <t>-</t>
  </si>
  <si>
    <t>Effective TNW</t>
  </si>
  <si>
    <t>Term Liabilities</t>
  </si>
  <si>
    <t>Gross Block</t>
  </si>
  <si>
    <t>Net Block</t>
  </si>
  <si>
    <t>Current Ratio</t>
  </si>
  <si>
    <t>TOL/TNW</t>
  </si>
  <si>
    <t>DER</t>
  </si>
  <si>
    <t>ANNEXURE VI</t>
  </si>
  <si>
    <t>Year 10</t>
  </si>
  <si>
    <t>Promoters Contribution/Investment Subsidy</t>
  </si>
  <si>
    <t>Profit before Interest &amp; Taxes But After Depreciation</t>
  </si>
  <si>
    <t>Amortizations</t>
  </si>
  <si>
    <t xml:space="preserve">Increase in Term Loan </t>
  </si>
  <si>
    <t xml:space="preserve">Increase in Unsecured Loans </t>
  </si>
  <si>
    <t>Increase in Current Liabilities</t>
  </si>
  <si>
    <t>TOTAL INFLOWS</t>
  </si>
  <si>
    <t>Land Cost &amp; Development</t>
  </si>
  <si>
    <t>Building &amp; Civil Works</t>
  </si>
  <si>
    <t>Electical Installation</t>
  </si>
  <si>
    <t>Preliminary &amp; Capital Issue Expenses</t>
  </si>
  <si>
    <t>Increase In Inventory</t>
  </si>
  <si>
    <t>Increase in Receivables</t>
  </si>
  <si>
    <t>Increase in Other Current Assets</t>
  </si>
  <si>
    <t>Increase in NCA / L&amp;A</t>
  </si>
  <si>
    <t>Repayment of Term Loan</t>
  </si>
  <si>
    <t>Repayment of Unsecured Loans</t>
  </si>
  <si>
    <t>Provision for Tax</t>
  </si>
  <si>
    <t>TOTAL OUTFLOWS</t>
  </si>
  <si>
    <t>Opening Balance</t>
  </si>
  <si>
    <t>Surplus /Deficit for the year</t>
  </si>
  <si>
    <t>Closing Balance</t>
  </si>
  <si>
    <t>APPENDIX- I</t>
  </si>
  <si>
    <t>(i)</t>
  </si>
  <si>
    <t>CIVIL WORKS (INCLUDING SANITARY INSTALLATIONS)</t>
  </si>
  <si>
    <t>( Considered as per estimate)</t>
  </si>
  <si>
    <t>(a) Civil Works (As Per Estimate)</t>
  </si>
  <si>
    <t>Sl.No</t>
  </si>
  <si>
    <t>Floor</t>
  </si>
  <si>
    <t>Area (In sqm.)</t>
  </si>
  <si>
    <t>Rate Rs/Sqm</t>
  </si>
  <si>
    <t>Amount in Rs</t>
  </si>
  <si>
    <t>Basement Floor</t>
  </si>
  <si>
    <t>Ground Floor</t>
  </si>
  <si>
    <t>First Floor</t>
  </si>
  <si>
    <t>Second Floor</t>
  </si>
  <si>
    <t>Third Floor</t>
  </si>
  <si>
    <t>Fourth Floor</t>
  </si>
  <si>
    <t>Fifth Floor</t>
  </si>
  <si>
    <t>Sixth Floor</t>
  </si>
  <si>
    <t>Seventh Floor</t>
  </si>
  <si>
    <t>Eighth Floor</t>
  </si>
  <si>
    <t>Plumbing Works</t>
  </si>
  <si>
    <t>Centering, Shuttering, Strutting, propping etc</t>
  </si>
  <si>
    <t>Interior Civil Works (As Per Estimate)</t>
  </si>
  <si>
    <t>(B)</t>
  </si>
  <si>
    <t>Extra Items</t>
  </si>
  <si>
    <t>For Interior work including all material and making</t>
  </si>
  <si>
    <t>(Flase ceiling, Furniture, Electrical &amp; Ac system)</t>
  </si>
  <si>
    <t xml:space="preserve">97650 Sqft@ 600 Rs/ Sqft </t>
  </si>
  <si>
    <t>Less : AC as per Quotation included Below</t>
  </si>
  <si>
    <t>Service</t>
  </si>
  <si>
    <t>(C)</t>
  </si>
  <si>
    <t>For Internal water Supply @ 5% civil work</t>
  </si>
  <si>
    <t>as per Quotation included Below</t>
  </si>
  <si>
    <t>For Sanitary installation @ 8% of civil work</t>
  </si>
  <si>
    <t>For Fire Fighting (2.5% of civil cost)</t>
  </si>
  <si>
    <t>( C)</t>
  </si>
  <si>
    <t>(As PerSupplier-Ashi Associates)</t>
  </si>
  <si>
    <t>Plumbing ,Sanitary , Rain Water Harvesting Work</t>
  </si>
  <si>
    <t>Fire Fighting Work</t>
  </si>
  <si>
    <t>(II)</t>
  </si>
  <si>
    <t>DETAILS OF PLANT &amp; MACHINERIES</t>
  </si>
  <si>
    <t>Volvo Penta Genset</t>
  </si>
  <si>
    <t>(a)</t>
  </si>
  <si>
    <t>Elevator (Supplier - Kone Elevator India Pvt. Ltd.)</t>
  </si>
  <si>
    <t>(b)</t>
  </si>
  <si>
    <t>Kitchen Equipments (Supplier- Vsg Equipment)</t>
  </si>
  <si>
    <t>(c)</t>
  </si>
  <si>
    <t>Wastewater Engineering Services (Supplier - Aquasolution)</t>
  </si>
  <si>
    <t>(d)</t>
  </si>
  <si>
    <t>Lift (Taken as per Quotation Above)</t>
  </si>
  <si>
    <t>(e)</t>
  </si>
  <si>
    <t>Air Conditioning (Supplier-Ashi Associates)</t>
  </si>
  <si>
    <t>(III)</t>
  </si>
  <si>
    <t>DETAILS OF MISCELLANEOUS FIXED ASSETS / FURNITURES &amp; FIXTURES</t>
  </si>
  <si>
    <t>LED TV (Sky Vision)</t>
  </si>
  <si>
    <t>Volvo Penta Genset (Inframech Power Solutions Private Limited)</t>
  </si>
  <si>
    <t>BPL LED 55" UD5310 (Including GST) (Sky Vision) (Supplier-Ashi Associates)</t>
  </si>
  <si>
    <t>750 KVA at 0.8 pf 415V 50Hz 3-ø(Genset)</t>
  </si>
  <si>
    <t>CCTV system</t>
  </si>
  <si>
    <t>Fitness Equipments</t>
  </si>
  <si>
    <t>Furniture &amp; Other Interior Works</t>
  </si>
  <si>
    <t>(IV)</t>
  </si>
  <si>
    <t>ELECTRIFICATIONS &amp; ELECTRICAL INSTALLATIONS</t>
  </si>
  <si>
    <t>External &amp; Internal Electrification  (Supplier-Ashi Associates)</t>
  </si>
  <si>
    <t>Electrical Work</t>
  </si>
  <si>
    <t>For Electrification @9% of Civil works(As Per Estimate) Reduced due to Quotation above</t>
  </si>
  <si>
    <t>(37)</t>
  </si>
  <si>
    <t>APPENDIX 2</t>
  </si>
  <si>
    <t>COMPUTATION OF FURNITURE AND OTHER ACCESSORIES COST</t>
  </si>
  <si>
    <t>Estimate for Other Items</t>
  </si>
  <si>
    <t>Furniture/ accessories for 1 no. guest room with double bed</t>
  </si>
  <si>
    <t>a</t>
  </si>
  <si>
    <t>Furniture for 42 twin occupancy rooms</t>
  </si>
  <si>
    <t>Qnty.</t>
  </si>
  <si>
    <t>Unit</t>
  </si>
  <si>
    <t>Rate</t>
  </si>
  <si>
    <t>Amount</t>
  </si>
  <si>
    <t>( in Rs.)</t>
  </si>
  <si>
    <t>Bed(3'' 1/2 '' x 6" 1/2")</t>
  </si>
  <si>
    <t>Each</t>
  </si>
  <si>
    <t>Bed(6'' x 6" 1/2")</t>
  </si>
  <si>
    <t>Dfolding Bed(Extra Bed)</t>
  </si>
  <si>
    <t>Panel - Leather &amp; Laminate</t>
  </si>
  <si>
    <t>Sofa ( 2 Seater)</t>
  </si>
  <si>
    <t>Sofa ( 3 Seater)</t>
  </si>
  <si>
    <t>Chair</t>
  </si>
  <si>
    <t>Coffee Table</t>
  </si>
  <si>
    <t xml:space="preserve">Side Table </t>
  </si>
  <si>
    <t>Cupboard</t>
  </si>
  <si>
    <t>Study Table / Dress</t>
  </si>
  <si>
    <t>Mirror</t>
  </si>
  <si>
    <t>Curtains / Blinds</t>
  </si>
  <si>
    <t>Mattress (3" 1/2" x 6" 1/2")</t>
  </si>
  <si>
    <t>Mattress (6" x 6" 1/2")</t>
  </si>
  <si>
    <t>Pillows / Cushions (2 per bed)</t>
  </si>
  <si>
    <t>Blanket</t>
  </si>
  <si>
    <t>Plasma TV</t>
  </si>
  <si>
    <t>Refrigerator</t>
  </si>
  <si>
    <t>Electric Kettle</t>
  </si>
  <si>
    <t>Linen</t>
  </si>
  <si>
    <t>Total=</t>
  </si>
  <si>
    <t>b</t>
  </si>
  <si>
    <t>Conference</t>
  </si>
  <si>
    <t>unit</t>
  </si>
  <si>
    <t>Conference Table</t>
  </si>
  <si>
    <t>Chairs</t>
  </si>
  <si>
    <t>c</t>
  </si>
  <si>
    <t>Banquet Hall</t>
  </si>
  <si>
    <t>Service Counter</t>
  </si>
  <si>
    <t>Banquet Chairs</t>
  </si>
  <si>
    <t>Banquet Tables</t>
  </si>
  <si>
    <t>d</t>
  </si>
  <si>
    <t>Grand Total= a+b+c=</t>
  </si>
  <si>
    <t>Furniture/ accessories for the restaurant</t>
  </si>
  <si>
    <t>Sofa</t>
  </si>
  <si>
    <t>chairs</t>
  </si>
  <si>
    <t>Table</t>
  </si>
  <si>
    <t>Furniture/ accessories for the bar</t>
  </si>
  <si>
    <t>Bar Counter</t>
  </si>
  <si>
    <t>Bar stool</t>
  </si>
  <si>
    <t>(38)</t>
  </si>
  <si>
    <t>Furniture/ accessories for the Reception</t>
  </si>
  <si>
    <t>Reception Table</t>
  </si>
  <si>
    <t>Furniture/ accessories for the Tea Lounge</t>
  </si>
  <si>
    <t>Utensils</t>
  </si>
  <si>
    <t>Crockery</t>
  </si>
  <si>
    <t>Restaurant</t>
  </si>
  <si>
    <t>Bar</t>
  </si>
  <si>
    <t>Banquet</t>
  </si>
  <si>
    <t>Conference / Party Hall</t>
  </si>
  <si>
    <t>Rooms</t>
  </si>
  <si>
    <t>Glassware</t>
  </si>
  <si>
    <t>Cutlery</t>
  </si>
  <si>
    <t>Serving Dishes</t>
  </si>
  <si>
    <t>Bowls / Dishes</t>
  </si>
  <si>
    <t>Serving Cutlery</t>
  </si>
  <si>
    <t>Trays</t>
  </si>
  <si>
    <t>Others</t>
  </si>
  <si>
    <t>Kitchen Equipment</t>
  </si>
  <si>
    <t>Built-in Deep Freezer</t>
  </si>
  <si>
    <t>Bar Equipment</t>
  </si>
  <si>
    <t>Serving Equipment</t>
  </si>
  <si>
    <t>Utilities</t>
  </si>
  <si>
    <t>Laundry Equipment</t>
  </si>
  <si>
    <t>Housekeeping Equipment</t>
  </si>
  <si>
    <t>DG Set(320KVA &amp;  250 KVA Capacity)</t>
  </si>
  <si>
    <t>Avg</t>
  </si>
  <si>
    <t>Transformer</t>
  </si>
  <si>
    <t>Vehicles</t>
  </si>
  <si>
    <t>Motor cycle</t>
  </si>
  <si>
    <t>Small car</t>
  </si>
  <si>
    <t>Van</t>
  </si>
  <si>
    <t>Total nos. of double bedrooms =</t>
  </si>
  <si>
    <t>(39)</t>
  </si>
  <si>
    <t>A</t>
  </si>
  <si>
    <t>Total cost for Furniture for 40 double occupancy rooms</t>
  </si>
  <si>
    <t>B</t>
  </si>
  <si>
    <t>Total cost for furniture/ accessories for the Conference Hall</t>
  </si>
  <si>
    <t>C</t>
  </si>
  <si>
    <t>Total cost for furniture/ accessories for the Banquet Hall</t>
  </si>
  <si>
    <t>D</t>
  </si>
  <si>
    <t>Total cost for furniture/ accessories for the Restaurant</t>
  </si>
  <si>
    <t>E</t>
  </si>
  <si>
    <t>Total cost for furniture/ accessories for the Bar</t>
  </si>
  <si>
    <t>F</t>
  </si>
  <si>
    <t>Total cost for furniture/ accessories for the Reception</t>
  </si>
  <si>
    <t>G</t>
  </si>
  <si>
    <t>Total cost for furniture/ accessories for the Tea Lounge</t>
  </si>
  <si>
    <t>H</t>
  </si>
  <si>
    <t>Total cost for Utensils</t>
  </si>
  <si>
    <t>Total cost for Utilities</t>
  </si>
  <si>
    <t>J</t>
  </si>
  <si>
    <t>Total cost for Vehicles</t>
  </si>
  <si>
    <t>Grand total cost for Misc. Fixed Asset</t>
  </si>
  <si>
    <t>PRELIMINARY &amp;  PREOPERATIVE EXPENSES</t>
  </si>
  <si>
    <t>(Amt. in Rs.)</t>
  </si>
  <si>
    <t>B.</t>
  </si>
  <si>
    <t>PRELIMINARY &amp; PRE-OPERATIVE EXPENSES</t>
  </si>
  <si>
    <t>Deposits- ASEB ,Sales Tax,Telephone,Customs,etc</t>
  </si>
  <si>
    <t>Establishment Expenses</t>
  </si>
  <si>
    <t>Rent ,Rates &amp; Taxes</t>
  </si>
  <si>
    <t>Travelling &amp; Conveyance Expenses</t>
  </si>
  <si>
    <t>Interest during Construction Period</t>
  </si>
  <si>
    <t>Initial Promotion Campaign</t>
  </si>
  <si>
    <t>Consultancy &amp; Project management fees</t>
  </si>
  <si>
    <t>Sundry Expenses</t>
  </si>
  <si>
    <t xml:space="preserve">Up-front fees </t>
  </si>
  <si>
    <t>APPENDIX 3</t>
  </si>
  <si>
    <t>PROJECTED SALES</t>
  </si>
  <si>
    <t>ROOM CONFIGURATION &amp; SALES</t>
  </si>
  <si>
    <t>MAXIMUM POSSIBLE RECEIPT</t>
  </si>
  <si>
    <t xml:space="preserve">GUEST ROOM CATEGORY </t>
  </si>
  <si>
    <t>ROOMS FOR SALE</t>
  </si>
  <si>
    <t>NO.OF GUEST PER ROOM PER NIGHT</t>
  </si>
  <si>
    <t>TOTAL GUEST/PER NIGHT</t>
  </si>
  <si>
    <t>AVERAGE TARIFF (in Rs.)</t>
  </si>
  <si>
    <t>TOTAL GUEST PER ANNUM</t>
  </si>
  <si>
    <t>TOTAL ROOM SALES(Rs. In Lacs)</t>
  </si>
  <si>
    <t>Double Bed Room</t>
  </si>
  <si>
    <t>Deluxe Rooms</t>
  </si>
  <si>
    <t>Executive Suite Rooms</t>
  </si>
  <si>
    <t>Presidential Suite</t>
  </si>
  <si>
    <t>ROOM SALES</t>
  </si>
  <si>
    <t xml:space="preserve">N.B.: The average room rent has been considered keeping it lower than the prevailing competitive rates in surrounding areas for similar facilities </t>
  </si>
  <si>
    <t>CUSTOMER CONFIGURATIONS</t>
  </si>
  <si>
    <t>Breakfast</t>
  </si>
  <si>
    <t>Lunch</t>
  </si>
  <si>
    <t>Coffee Shop cum Bakery</t>
  </si>
  <si>
    <t>Dinner</t>
  </si>
  <si>
    <t>Hotel guests</t>
  </si>
  <si>
    <t>Number of Hotel guests/day</t>
  </si>
  <si>
    <t>Outside Visiter</t>
  </si>
  <si>
    <t>Number of Outside Visitor/day</t>
  </si>
  <si>
    <t>Total No. Of Visitor/day</t>
  </si>
  <si>
    <t>Average Revenue/guest</t>
  </si>
  <si>
    <t>in Rupees</t>
  </si>
  <si>
    <t>Outside Visitors</t>
  </si>
  <si>
    <t>Yearly Sales :Lakhs Rs.</t>
  </si>
  <si>
    <t>Spa &amp; Saloon</t>
  </si>
  <si>
    <t xml:space="preserve"> TOTAL F &amp; B SALES</t>
  </si>
  <si>
    <t>APPENDIX 3 contd….</t>
  </si>
  <si>
    <t>OVERALL REVENUE PROJECTION</t>
  </si>
  <si>
    <t>Fitness Centre</t>
  </si>
  <si>
    <t>Game Parlour</t>
  </si>
  <si>
    <t>Sub Total</t>
  </si>
  <si>
    <r>
      <t xml:space="preserve">Other Sales 2.5% of Total </t>
    </r>
    <r>
      <rPr>
        <i/>
        <sz val="8"/>
        <rFont val="Arial"/>
        <family val="2"/>
      </rPr>
      <t>(Includes Laundry, etc)</t>
    </r>
  </si>
  <si>
    <t>Total Revenue</t>
  </si>
  <si>
    <t>Capacity Considered</t>
  </si>
  <si>
    <t xml:space="preserve">N.B.: No Increase / Growth of revenue has been considered </t>
  </si>
  <si>
    <t>APPENDIX 4</t>
  </si>
  <si>
    <t>Apr</t>
  </si>
  <si>
    <t>Statement Showing Calculation of Interest &amp; Repayment Schedule</t>
  </si>
  <si>
    <t>May</t>
  </si>
  <si>
    <t>June</t>
  </si>
  <si>
    <t>Months</t>
  </si>
  <si>
    <t>Principal</t>
  </si>
  <si>
    <t>Interest</t>
  </si>
  <si>
    <t>Principal Repayment</t>
  </si>
  <si>
    <t>Total Repayment</t>
  </si>
  <si>
    <t>Balance</t>
  </si>
  <si>
    <t>Moratorium</t>
  </si>
  <si>
    <t>Implementation</t>
  </si>
  <si>
    <t>Door to door</t>
  </si>
  <si>
    <t>July</t>
  </si>
  <si>
    <t>Year 0</t>
  </si>
  <si>
    <t>August</t>
  </si>
  <si>
    <t>September</t>
  </si>
  <si>
    <t>October</t>
  </si>
  <si>
    <t>2025-26</t>
  </si>
  <si>
    <t>April</t>
  </si>
  <si>
    <t>November</t>
  </si>
  <si>
    <t>December</t>
  </si>
  <si>
    <t>January</t>
  </si>
  <si>
    <t>February</t>
  </si>
  <si>
    <t>March</t>
  </si>
  <si>
    <t>2026-27</t>
  </si>
  <si>
    <t>Yearly Int</t>
  </si>
  <si>
    <t>Yearly P rep</t>
  </si>
  <si>
    <t>Total Rep</t>
  </si>
  <si>
    <t>Construction Period</t>
  </si>
  <si>
    <t>2027-28</t>
  </si>
  <si>
    <t>2028-29</t>
  </si>
  <si>
    <t>2029-30</t>
  </si>
  <si>
    <t>2030-31</t>
  </si>
  <si>
    <t>2031-32</t>
  </si>
  <si>
    <t>2032-33</t>
  </si>
  <si>
    <t>2033-34</t>
  </si>
  <si>
    <t>2034-35</t>
  </si>
  <si>
    <t>2035-36</t>
  </si>
  <si>
    <t>2036-37</t>
  </si>
  <si>
    <t>APPENDIX 5</t>
  </si>
  <si>
    <t>Depreciation Schedule</t>
  </si>
  <si>
    <t>Statement showing calculation of Depreciation</t>
  </si>
  <si>
    <t>Preliminary &amp; Pre-opreative Expenses</t>
  </si>
  <si>
    <t>LAND COST &amp; DEVELOPMENT</t>
  </si>
  <si>
    <t>Opening Balance (WDV)</t>
  </si>
  <si>
    <t>Less: Depreciation @ 0 %</t>
  </si>
  <si>
    <t>Written Down Value</t>
  </si>
  <si>
    <t>FURNITURE &amp; ACCESSORIES</t>
  </si>
  <si>
    <t>Less: Depreciation @ 10 %</t>
  </si>
  <si>
    <t>BUILDING</t>
  </si>
  <si>
    <t>ELECTRICAL INSTALLATION</t>
  </si>
  <si>
    <t>Less: Depreciation @ 10%</t>
  </si>
  <si>
    <t>Less: Depreciation @ 15%</t>
  </si>
  <si>
    <t>TOTAL DEP. OF THE YEAR</t>
  </si>
  <si>
    <t>TOTAL WDV</t>
  </si>
  <si>
    <t>(44)</t>
  </si>
  <si>
    <t>APPENDIX 6</t>
  </si>
  <si>
    <t>Rs. Lakhs</t>
  </si>
  <si>
    <t>FOR COMPANIES ACT PURPOSE WDV SINGLE SHIFT BASIS</t>
  </si>
  <si>
    <t>Less: Depreciation @ 25.88%</t>
  </si>
  <si>
    <t>Less: Depreciation @ 5 %</t>
  </si>
  <si>
    <t>Less: Depreciation @ 13.91%</t>
  </si>
  <si>
    <t>Buildings</t>
  </si>
  <si>
    <t>Furniture &amp; Fixtures</t>
  </si>
  <si>
    <t>MISC FIXED ASSETS</t>
  </si>
  <si>
    <t>Rate of dep.</t>
  </si>
  <si>
    <t xml:space="preserve">Cost </t>
  </si>
  <si>
    <t>Preoperative expenses</t>
  </si>
  <si>
    <t>Land &amp; Land development</t>
  </si>
  <si>
    <t>Gross fixed Assets</t>
  </si>
  <si>
    <t>Net Fixed Assts</t>
  </si>
  <si>
    <t>Net Fixed Assets excluding Land &amp; Land Development</t>
  </si>
  <si>
    <t>(46)</t>
  </si>
  <si>
    <t>APPENDIX 7</t>
  </si>
  <si>
    <t>Statement showing calculation of Income Tax</t>
  </si>
  <si>
    <t>Book Depreciation</t>
  </si>
  <si>
    <t>Cash Profits</t>
  </si>
  <si>
    <t>Income Tax Depreciation</t>
  </si>
  <si>
    <t>Taxable Income</t>
  </si>
  <si>
    <t>Cum. Taxable Income</t>
  </si>
  <si>
    <t xml:space="preserve">Income Returned </t>
  </si>
  <si>
    <t>Net Income Returned</t>
  </si>
  <si>
    <t>Income Tax  Mat as Applicable</t>
  </si>
  <si>
    <t>APPENDIX 1</t>
  </si>
  <si>
    <t>Area statement of ROYALE INDIA PRIVATE LIMITED at Panbazar, Guwahati</t>
  </si>
  <si>
    <t>Plinth Area estimate</t>
  </si>
  <si>
    <t>For ROYALE INDIA PRIVATE LIMITED</t>
  </si>
  <si>
    <t>Area of floors</t>
  </si>
  <si>
    <t>Area of lobby,</t>
  </si>
  <si>
    <t>at Panbazar,G.N.B.ROAD Guwahati-781001.</t>
  </si>
  <si>
    <t>Sl.</t>
  </si>
  <si>
    <t>including</t>
  </si>
  <si>
    <t>staircase</t>
  </si>
  <si>
    <t>deducting the area</t>
  </si>
  <si>
    <t>Remarks</t>
  </si>
  <si>
    <t>Area statement</t>
  </si>
  <si>
    <t>lobby, staircase &amp; lift</t>
  </si>
  <si>
    <t>&amp; lift</t>
  </si>
  <si>
    <t>Basement area =</t>
  </si>
  <si>
    <t>SQM</t>
  </si>
  <si>
    <t>in sq.m.</t>
  </si>
  <si>
    <t>Ground floor area =</t>
  </si>
  <si>
    <t>Basement</t>
  </si>
  <si>
    <t>Exempted</t>
  </si>
  <si>
    <t>Mezzanine floor area =</t>
  </si>
  <si>
    <t>First floor area =</t>
  </si>
  <si>
    <t>2</t>
  </si>
  <si>
    <t>Ground floor</t>
  </si>
  <si>
    <t>Added</t>
  </si>
  <si>
    <t>Second floor area =</t>
  </si>
  <si>
    <t>Third floor , Fourth &amp; Fifth Floor area =</t>
  </si>
  <si>
    <t>3</t>
  </si>
  <si>
    <t>Mezzanine floor</t>
  </si>
  <si>
    <t>Area of mezzanine floor deducting the area of lobby, staircase &amp; lift</t>
  </si>
  <si>
    <t>33% of Ground floor area</t>
  </si>
  <si>
    <t>ESTIMATION OF CIVIL COST</t>
  </si>
  <si>
    <t>Extra area exceeding 33% of Ground floor area</t>
  </si>
  <si>
    <t>Nil</t>
  </si>
  <si>
    <t>Description of item</t>
  </si>
  <si>
    <t>Area</t>
  </si>
  <si>
    <t>4</t>
  </si>
  <si>
    <t>First floor</t>
  </si>
  <si>
    <t>in Rs.</t>
  </si>
  <si>
    <t>Cost of Basement</t>
  </si>
  <si>
    <t>5</t>
  </si>
  <si>
    <t>Second floor</t>
  </si>
  <si>
    <t>Cost of Ground floor</t>
  </si>
  <si>
    <t>Cost of Mezzanine floor</t>
  </si>
  <si>
    <t>6</t>
  </si>
  <si>
    <t>Third floor</t>
  </si>
  <si>
    <t>Cost of First floor</t>
  </si>
  <si>
    <t>Cost of Second floor</t>
  </si>
  <si>
    <t>7</t>
  </si>
  <si>
    <t>Total area</t>
  </si>
  <si>
    <t>Cost of Third floor, Fourth &amp; Fifth Floor</t>
  </si>
  <si>
    <t>Total civil cost = Rs.</t>
  </si>
  <si>
    <t>8</t>
  </si>
  <si>
    <t>Area of the plot</t>
  </si>
  <si>
    <t>Services and others</t>
  </si>
  <si>
    <t>9</t>
  </si>
  <si>
    <t>Ground Coverage</t>
  </si>
  <si>
    <t>For sanitary installation = 10.5% of the total Civil Cost</t>
  </si>
  <si>
    <t>Rs.</t>
  </si>
  <si>
    <t>For internal water supply = 5% of the total Civil Cost</t>
  </si>
  <si>
    <t>FAR</t>
  </si>
  <si>
    <t>For internal electrification = 12% of the total Civil Cost</t>
  </si>
  <si>
    <t>For external electrification = 4% of the total Civil Cost</t>
  </si>
  <si>
    <t>For internal plastic paint = 2% of the total Civil Cost</t>
  </si>
  <si>
    <t>For weather coats for external finish= 2% of the total Civil Cost</t>
  </si>
  <si>
    <t>For False Ceiling,etc</t>
  </si>
  <si>
    <t>Grand Total cost = Rs.</t>
  </si>
  <si>
    <r>
      <rPr>
        <b/>
        <i/>
        <sz val="12"/>
        <rFont val="Arial"/>
        <family val="2"/>
      </rPr>
      <t>ROYALE DE CASA</t>
    </r>
    <r>
      <rPr>
        <b/>
        <sz val="12"/>
        <rFont val="Arial"/>
        <family val="2"/>
      </rPr>
      <t xml:space="preserve"> ( A UNIT OF ROYALE INDIA PVT. LTD. )</t>
    </r>
  </si>
  <si>
    <t>ASSESSMENT OF WORKING CAPITAL REQUIREMENTS</t>
  </si>
  <si>
    <t>FORM II :  OPERATING STATEMENT</t>
  </si>
  <si>
    <t>As  per profit  and loss account  actuals/</t>
  </si>
  <si>
    <t>estimates for the year ended/ending :</t>
  </si>
  <si>
    <t>(Rs. in Lakh)</t>
  </si>
  <si>
    <t>(Pro.)</t>
  </si>
  <si>
    <t>(1)</t>
  </si>
  <si>
    <t>(2)</t>
  </si>
  <si>
    <t>(3)</t>
  </si>
  <si>
    <t>(4)</t>
  </si>
  <si>
    <t>(5)</t>
  </si>
  <si>
    <t>(6)</t>
  </si>
  <si>
    <t>(7)</t>
  </si>
  <si>
    <t>GROSS SALES :</t>
  </si>
  <si>
    <t xml:space="preserve"> </t>
  </si>
  <si>
    <t xml:space="preserve">  Goss Sales</t>
  </si>
  <si>
    <t>(i) Domestic Sales</t>
  </si>
  <si>
    <t>(ii) Export Sales</t>
  </si>
  <si>
    <t>TOTAL :</t>
  </si>
  <si>
    <t>2.</t>
  </si>
  <si>
    <t>Less Excise Duty (net of refund)</t>
  </si>
  <si>
    <t>Deduct Other Items</t>
  </si>
  <si>
    <t>Net Sales (item 1 - item 2)</t>
  </si>
  <si>
    <t>% age rise (+) or fall (-)</t>
  </si>
  <si>
    <t>in Net Sales as compared to</t>
  </si>
  <si>
    <t>Previous Year (annualised)</t>
  </si>
  <si>
    <t xml:space="preserve">5. </t>
  </si>
  <si>
    <t>COST OF SALES :</t>
  </si>
  <si>
    <t>i) Raw materials (including</t>
  </si>
  <si>
    <t xml:space="preserve">   stores and other items used</t>
  </si>
  <si>
    <t xml:space="preserve">   in the process of manufacture)</t>
  </si>
  <si>
    <t>a) Imported</t>
  </si>
  <si>
    <t>b) Indigenous</t>
  </si>
  <si>
    <t>ii) Other Spares &amp; Consumable Stores</t>
  </si>
  <si>
    <t>iii) Power and Fuel</t>
  </si>
  <si>
    <t>iv) Manpower cost</t>
  </si>
  <si>
    <t>v) Other Expenses (Repairs &amp; Maint.)</t>
  </si>
  <si>
    <t>vi) Depreciation</t>
  </si>
  <si>
    <t>vii) Sub Total (items i to vi)</t>
  </si>
  <si>
    <t>viii) Add : Opening Stock-in-</t>
  </si>
  <si>
    <t xml:space="preserve">               Process</t>
  </si>
  <si>
    <t xml:space="preserve">   SUB TOTAL :</t>
  </si>
  <si>
    <t>ix)  Deduct : Closing Stock-in-</t>
  </si>
  <si>
    <t xml:space="preserve">     Process</t>
  </si>
  <si>
    <t>x)   Cost of Production</t>
  </si>
  <si>
    <t xml:space="preserve">xi)  Add: Opening Stocks of </t>
  </si>
  <si>
    <t xml:space="preserve">              finished goods</t>
  </si>
  <si>
    <t xml:space="preserve">     SUB TOTAL :</t>
  </si>
  <si>
    <t xml:space="preserve">xii) Deduct Closing Stocks of </t>
  </si>
  <si>
    <t>xiv) SUB TOTAL (Total Cost of</t>
  </si>
  <si>
    <t xml:space="preserve">     Sales)</t>
  </si>
  <si>
    <t>Selling, General and</t>
  </si>
  <si>
    <t>Administrative Expenses</t>
  </si>
  <si>
    <t>SUB TOTAL (5+6)</t>
  </si>
  <si>
    <t>8.</t>
  </si>
  <si>
    <t>Operating Profit before</t>
  </si>
  <si>
    <t>Interest (3-7)</t>
  </si>
  <si>
    <t>9.</t>
  </si>
  <si>
    <t>Term Loan</t>
  </si>
  <si>
    <t>CC Limits</t>
  </si>
  <si>
    <t>10.</t>
  </si>
  <si>
    <t xml:space="preserve">Operating Profit after </t>
  </si>
  <si>
    <t>Interest (8-9)</t>
  </si>
  <si>
    <t>11</t>
  </si>
  <si>
    <t>(i) Add other Non-Operating</t>
  </si>
  <si>
    <t xml:space="preserve">    Income</t>
  </si>
  <si>
    <t>ii) Prior period adjustment</t>
  </si>
  <si>
    <t xml:space="preserve">     SUB TOTAL (Income)</t>
  </si>
  <si>
    <t>(ii) Deduct expenses</t>
  </si>
  <si>
    <t>a)   Preliminary expenses W/O</t>
  </si>
  <si>
    <t xml:space="preserve">     SUB TOTAL (Expenses)</t>
  </si>
  <si>
    <t>(iii) Net of Other Non-Operating</t>
  </si>
  <si>
    <t xml:space="preserve">      Income/Expenses</t>
  </si>
  <si>
    <t>12.</t>
  </si>
  <si>
    <t xml:space="preserve">Profit/Loss before Tax </t>
  </si>
  <si>
    <t>[10 + 11(iii)]</t>
  </si>
  <si>
    <t>13.</t>
  </si>
  <si>
    <t>Provision for Taxes</t>
  </si>
  <si>
    <t>14.</t>
  </si>
  <si>
    <t>Net Profit/Loss (12 - 13)</t>
  </si>
  <si>
    <t>15.</t>
  </si>
  <si>
    <t>(a) Equity Dividend paid-amt</t>
  </si>
  <si>
    <t xml:space="preserve">      Drawings</t>
  </si>
  <si>
    <t>(b) Dividend Rate (inclu div. tax)</t>
  </si>
  <si>
    <t>16.</t>
  </si>
  <si>
    <t>Retained Profit (14 - 15)</t>
  </si>
  <si>
    <t>17.</t>
  </si>
  <si>
    <t>Retained Profit/Net Profit</t>
  </si>
  <si>
    <t>(%age)</t>
  </si>
  <si>
    <t xml:space="preserve">          FORM III  (CONTINUED)</t>
  </si>
  <si>
    <t xml:space="preserve">        ANALYSIS OF BALANCE SHEET</t>
  </si>
  <si>
    <t>LIABILITIES :</t>
  </si>
  <si>
    <t>CURRENT LIABILITIES :</t>
  </si>
  <si>
    <t>Short-term borrowings from</t>
  </si>
  <si>
    <t>Banks (incld. Bills purchased,</t>
  </si>
  <si>
    <t>discounted &amp; excess borrowing</t>
  </si>
  <si>
    <t>placed on repayment basis)</t>
  </si>
  <si>
    <t xml:space="preserve"> (i) From applicant Bank</t>
  </si>
  <si>
    <t xml:space="preserve"> (ii) From other Banks</t>
  </si>
  <si>
    <t>(iii) (of which BP &amp; BD )</t>
  </si>
  <si>
    <t>SUB TOTAL (A) :</t>
  </si>
  <si>
    <t>Long term borrowings from</t>
  </si>
  <si>
    <t>others (unsecured loan)</t>
  </si>
  <si>
    <t>Sundry Creditors (Trade)</t>
  </si>
  <si>
    <t>Advance payments from Custo-</t>
  </si>
  <si>
    <t>mers/deposits from Dealers</t>
  </si>
  <si>
    <t>Provision for Taxation</t>
  </si>
  <si>
    <t>Dividend payable</t>
  </si>
  <si>
    <t>Other Statutory Liabilities</t>
  </si>
  <si>
    <t>(due within one year)</t>
  </si>
  <si>
    <t xml:space="preserve">Deposits/Instalments of Term </t>
  </si>
  <si>
    <t xml:space="preserve">Loans/DPGS/Debentures  </t>
  </si>
  <si>
    <t>- From Bank</t>
  </si>
  <si>
    <t>Other Current Liabilities &amp;</t>
  </si>
  <si>
    <t>Provisions (Due within 1 yr.)</t>
  </si>
  <si>
    <t>(Specify major items)</t>
  </si>
  <si>
    <t>SUB TOTAL (B) :</t>
  </si>
  <si>
    <t>TOTAL CURRENT LIABILITIES :</t>
  </si>
  <si>
    <t>(Total of 1 to 9 excld 1(iii))</t>
  </si>
  <si>
    <t>TERM LIABILITIES :</t>
  </si>
  <si>
    <t>11.</t>
  </si>
  <si>
    <t>Debentures (not maturing</t>
  </si>
  <si>
    <t>within one year)</t>
  </si>
  <si>
    <t>Preference Shares</t>
  </si>
  <si>
    <t>(Redeemable after one year)</t>
  </si>
  <si>
    <t>Term Loans(Excld. Instalments</t>
  </si>
  <si>
    <t xml:space="preserve">payable within one year) </t>
  </si>
  <si>
    <t>Deferred Payment Credits</t>
  </si>
  <si>
    <t xml:space="preserve">Term Deposits (repayable </t>
  </si>
  <si>
    <t>after one year)</t>
  </si>
  <si>
    <t>Other Term Liabilities</t>
  </si>
  <si>
    <t>TOTAL TERM LIABILITIES :</t>
  </si>
  <si>
    <t>18.</t>
  </si>
  <si>
    <t>TOTAL OUTSIDE LIABILITIES :</t>
  </si>
  <si>
    <t>(Item 10 plus item 17)</t>
  </si>
  <si>
    <t>NET WORTH :</t>
  </si>
  <si>
    <t>19.</t>
  </si>
  <si>
    <t>Share Capital</t>
  </si>
  <si>
    <t>20.</t>
  </si>
  <si>
    <t>General Reserves</t>
  </si>
  <si>
    <t>21.</t>
  </si>
  <si>
    <t>Revaluation Reserve</t>
  </si>
  <si>
    <t>22.</t>
  </si>
  <si>
    <t xml:space="preserve">Other Reserves </t>
  </si>
  <si>
    <t>23.</t>
  </si>
  <si>
    <t>Surplus (+) or Deficit(-) in</t>
  </si>
  <si>
    <t>Profit and Loss Account</t>
  </si>
  <si>
    <t>23a.</t>
  </si>
  <si>
    <t>Others (Specify)</t>
  </si>
  <si>
    <t>24.</t>
  </si>
  <si>
    <t>25.</t>
  </si>
  <si>
    <t>TOTAL LIABILITIES :</t>
  </si>
  <si>
    <t>FORM III</t>
  </si>
  <si>
    <t>ANALYSIS OF BALANCE SHEET</t>
  </si>
  <si>
    <t xml:space="preserve">ASSETS </t>
  </si>
  <si>
    <t>CURRENT ASSETS :</t>
  </si>
  <si>
    <t>26.</t>
  </si>
  <si>
    <t>Cash and Bank balances</t>
  </si>
  <si>
    <t>27.</t>
  </si>
  <si>
    <t>Investments(other than long</t>
  </si>
  <si>
    <t>term Investments)</t>
  </si>
  <si>
    <t>B.G. Margin</t>
  </si>
  <si>
    <t>28.</t>
  </si>
  <si>
    <t>(i)  Receivables   other   than</t>
  </si>
  <si>
    <t xml:space="preserve">     Deferred &amp; Exports (incld.</t>
  </si>
  <si>
    <t xml:space="preserve">     Bills   Purchased      and</t>
  </si>
  <si>
    <t xml:space="preserve">     Discounted by Banks)</t>
  </si>
  <si>
    <t>(ii) Export  receivables (incld</t>
  </si>
  <si>
    <t xml:space="preserve">     bills    purchased     and</t>
  </si>
  <si>
    <t xml:space="preserve">     discounted by banks)</t>
  </si>
  <si>
    <t>29.</t>
  </si>
  <si>
    <t>Instalments of deferred rece-</t>
  </si>
  <si>
    <t>ivables (due within one year)</t>
  </si>
  <si>
    <t>30.</t>
  </si>
  <si>
    <t>Inventory :</t>
  </si>
  <si>
    <t>(i) Raw   materials  ( including</t>
  </si>
  <si>
    <t xml:space="preserve">    stores &amp; other items used in</t>
  </si>
  <si>
    <t xml:space="preserve">    the process of manufacture)</t>
  </si>
  <si>
    <t>a)  Imported</t>
  </si>
  <si>
    <t>b)  Indigenous</t>
  </si>
  <si>
    <t>(ii)  Stocks-in-Process</t>
  </si>
  <si>
    <t>(iii) Finished Goods</t>
  </si>
  <si>
    <t>(iv)  Other Consumables Spares</t>
  </si>
  <si>
    <t>a)    Imported</t>
  </si>
  <si>
    <t>b)    Indigenous</t>
  </si>
  <si>
    <t>31.</t>
  </si>
  <si>
    <t>Advance to Suppliers of Raw</t>
  </si>
  <si>
    <t>Materials &amp; Stores/Spares</t>
  </si>
  <si>
    <t>32.</t>
  </si>
  <si>
    <t>Advance Payment of Taxes</t>
  </si>
  <si>
    <t>33.</t>
  </si>
  <si>
    <t>(Loans &amp; Advance)</t>
  </si>
  <si>
    <t>(Margin Deposit)</t>
  </si>
  <si>
    <t>34.</t>
  </si>
  <si>
    <t>TOTAL CURRENT ASSETS :</t>
  </si>
  <si>
    <t>(Total of 26 to 33)</t>
  </si>
  <si>
    <t>FIXED ASSETS :</t>
  </si>
  <si>
    <t>35.</t>
  </si>
  <si>
    <t>Gross Block (incld Capital</t>
  </si>
  <si>
    <t>Work-in-Progress)</t>
  </si>
  <si>
    <t>36.</t>
  </si>
  <si>
    <t>Depreciation to date</t>
  </si>
  <si>
    <t>37.</t>
  </si>
  <si>
    <t>NET BLOCK (35-36) :</t>
  </si>
  <si>
    <t>OTHER NON-CURRENT ASSETS :</t>
  </si>
  <si>
    <t>38.</t>
  </si>
  <si>
    <t>Investment/Book Debt/Advances/</t>
  </si>
  <si>
    <t xml:space="preserve">Deposits which are not </t>
  </si>
  <si>
    <t>(i)   a)  Bank Guarantee Margin</t>
  </si>
  <si>
    <t xml:space="preserve">            deposit</t>
  </si>
  <si>
    <t xml:space="preserve">      b)  Others</t>
  </si>
  <si>
    <t>(ii)  Advances to Suppliers of</t>
  </si>
  <si>
    <t xml:space="preserve">      Capital Goods &amp; Contractors</t>
  </si>
  <si>
    <t>(iii) Deferred Receivables</t>
  </si>
  <si>
    <t xml:space="preserve">      (Maturity exceeding one year)</t>
  </si>
  <si>
    <t xml:space="preserve">(iv)  Others </t>
  </si>
  <si>
    <t>39.</t>
  </si>
  <si>
    <t>Non-consumables Stores and Spares</t>
  </si>
  <si>
    <t>40.</t>
  </si>
  <si>
    <t>Other Non-Current Assets</t>
  </si>
  <si>
    <t>incld. dues from Directors</t>
  </si>
  <si>
    <t>41.</t>
  </si>
  <si>
    <t>TOTAL OTHER NON-CURRENT ASSETS :</t>
  </si>
  <si>
    <t>42.</t>
  </si>
  <si>
    <t>Intangible Assets (Patents,</t>
  </si>
  <si>
    <t>Goodwill, Prelim expenses,</t>
  </si>
  <si>
    <t>Bad/Doubtful expenses not</t>
  </si>
  <si>
    <t>provided for etc.)</t>
  </si>
  <si>
    <t>43.</t>
  </si>
  <si>
    <t>TOTAL ASSETS (34+37+41+42) :</t>
  </si>
  <si>
    <t>44.</t>
  </si>
  <si>
    <t>TANGIBLE NET WORTH (24-42) :</t>
  </si>
  <si>
    <t>45.</t>
  </si>
  <si>
    <t>NET WORKING CAPITAL (34-10) :</t>
  </si>
  <si>
    <t>46.</t>
  </si>
  <si>
    <t xml:space="preserve">47. </t>
  </si>
  <si>
    <t>Total Outside Liabilities/</t>
  </si>
  <si>
    <t>Tangible Net Worth</t>
  </si>
  <si>
    <t>48.</t>
  </si>
  <si>
    <t>Total Term Liabilities/</t>
  </si>
  <si>
    <t xml:space="preserve">     FORM IV</t>
  </si>
  <si>
    <t xml:space="preserve">   COMPARATIVE STATEMENT OF</t>
  </si>
  <si>
    <t xml:space="preserve">       CURRENT ASSETS AND CURRENT LIABILITIES</t>
  </si>
  <si>
    <t>(A) CURRENT ASSETS :</t>
  </si>
  <si>
    <t>Raw Materials (including</t>
  </si>
  <si>
    <t>Stores and Other items used</t>
  </si>
  <si>
    <t>in the process of Mfg.)</t>
  </si>
  <si>
    <t xml:space="preserve">   Amount</t>
  </si>
  <si>
    <t xml:space="preserve">   Month's Consumption</t>
  </si>
  <si>
    <t>B) Indigenous</t>
  </si>
  <si>
    <t>Other Consumables Spares,</t>
  </si>
  <si>
    <t>Excldg. those included in</t>
  </si>
  <si>
    <t>(1) above</t>
  </si>
  <si>
    <t xml:space="preserve"> a) Imported</t>
  </si>
  <si>
    <t xml:space="preserve">    Amount</t>
  </si>
  <si>
    <t xml:space="preserve">    Month's consumption</t>
  </si>
  <si>
    <t xml:space="preserve"> B) Indigenous</t>
  </si>
  <si>
    <t xml:space="preserve">    Month's Consumption</t>
  </si>
  <si>
    <t>Stock-in-Process</t>
  </si>
  <si>
    <t xml:space="preserve">Month's Cost of </t>
  </si>
  <si>
    <t>Production</t>
  </si>
  <si>
    <t>Finished Goods</t>
  </si>
  <si>
    <t>Month's Cost of Sales</t>
  </si>
  <si>
    <t>Receivables other than</t>
  </si>
  <si>
    <t>Export &amp; Deferred Recei-</t>
  </si>
  <si>
    <t>vables (Including Bills</t>
  </si>
  <si>
    <t>Purchased &amp; Discounted</t>
  </si>
  <si>
    <t>by Banks)</t>
  </si>
  <si>
    <t>Month's Domestic Sales</t>
  </si>
  <si>
    <t>(Excldg. Def Payment Sales)</t>
  </si>
  <si>
    <t>Export Receivables (Incld-</t>
  </si>
  <si>
    <t>Bills Purchased &amp; Disctd.)</t>
  </si>
  <si>
    <t>Month's Export Sales</t>
  </si>
  <si>
    <t xml:space="preserve">7. </t>
  </si>
  <si>
    <t>Advance to Supplier of</t>
  </si>
  <si>
    <t>Raw Materials &amp; Stores/</t>
  </si>
  <si>
    <t>Spares, Consumables</t>
  </si>
  <si>
    <t>Other current assets incl-</t>
  </si>
  <si>
    <t xml:space="preserve">uding Cash &amp; Bank Balances </t>
  </si>
  <si>
    <t>&amp; Deferred receivables due</t>
  </si>
  <si>
    <t>within one year</t>
  </si>
  <si>
    <t>Investment except Long Term</t>
  </si>
  <si>
    <t>Instalments of def. recvbls</t>
  </si>
  <si>
    <t>others</t>
  </si>
  <si>
    <t xml:space="preserve">      FORM IV</t>
  </si>
  <si>
    <t>(B) CURRENT LIABILITIES :</t>
  </si>
  <si>
    <t>(other than bank borrow-</t>
  </si>
  <si>
    <t>ings for working capital)</t>
  </si>
  <si>
    <t xml:space="preserve">Creditors for purchase of </t>
  </si>
  <si>
    <t>raw materials, stores and</t>
  </si>
  <si>
    <t>Consumable spares</t>
  </si>
  <si>
    <t>Month's purchase</t>
  </si>
  <si>
    <t>Advance from customers</t>
  </si>
  <si>
    <t>Statutory liabilities</t>
  </si>
  <si>
    <t>Other current liabilities</t>
  </si>
  <si>
    <t>(specify major items)</t>
  </si>
  <si>
    <t>a) Accrued expenses</t>
  </si>
  <si>
    <t>b) Dividend payable</t>
  </si>
  <si>
    <t>c) Instalments of TL, DPG</t>
  </si>
  <si>
    <t xml:space="preserve">   and public deposits</t>
  </si>
  <si>
    <t>d) Other current liabili-</t>
  </si>
  <si>
    <t xml:space="preserve">   ties and provisions</t>
  </si>
  <si>
    <t>FORM V</t>
  </si>
  <si>
    <t>CALCULATION OF ABF</t>
  </si>
  <si>
    <t>PROJECTIONS</t>
  </si>
  <si>
    <t>(8)</t>
  </si>
  <si>
    <t>(9)</t>
  </si>
  <si>
    <t>Total Current Assets ( TCA )</t>
  </si>
  <si>
    <t>Total Current Liabilities other than BB</t>
  </si>
  <si>
    <t>Working Capital Gap</t>
  </si>
  <si>
    <t>Actual/Projected NWC</t>
  </si>
  <si>
    <t>Assessed Bank Finance ( ABF )</t>
  </si>
  <si>
    <t>NWC to TCA ( % )</t>
  </si>
  <si>
    <t>Bank Finance to TCA (% )</t>
  </si>
  <si>
    <t>Sundry Creditors to TCA (%)</t>
  </si>
  <si>
    <t>Other CL to TCA (%)</t>
  </si>
  <si>
    <t>Inventory to Net Sales ( days)</t>
  </si>
  <si>
    <t>Receivables to Gross Sales ( days )</t>
  </si>
  <si>
    <t>Sundry Creditors to RM Consumed (days )</t>
  </si>
  <si>
    <t>FORM VI</t>
  </si>
  <si>
    <t xml:space="preserve">    FUNDS FLOW STATEMENT</t>
  </si>
  <si>
    <t>Period</t>
  </si>
  <si>
    <t>SOURCES :</t>
  </si>
  <si>
    <t>a)</t>
  </si>
  <si>
    <t>Net profit (after tax)</t>
  </si>
  <si>
    <t>b)</t>
  </si>
  <si>
    <t>Depreciation and Misc. Assets written off</t>
  </si>
  <si>
    <t>c)</t>
  </si>
  <si>
    <t>Increase in capital</t>
  </si>
  <si>
    <t>d)</t>
  </si>
  <si>
    <t>Increase in term liabilities</t>
  </si>
  <si>
    <t>including public deposits</t>
  </si>
  <si>
    <t>e)</t>
  </si>
  <si>
    <t>Decrease in</t>
  </si>
  <si>
    <t xml:space="preserve"> i) Fixed assets</t>
  </si>
  <si>
    <t xml:space="preserve"> ii) Other non-current assets</t>
  </si>
  <si>
    <t>g)</t>
  </si>
  <si>
    <t>USES :</t>
  </si>
  <si>
    <t>Net loss</t>
  </si>
  <si>
    <t>Decrease in term liabilities</t>
  </si>
  <si>
    <t>Increase in</t>
  </si>
  <si>
    <t>Dividend payment (Drawings)</t>
  </si>
  <si>
    <t xml:space="preserve">Others </t>
  </si>
  <si>
    <t>f)</t>
  </si>
  <si>
    <t>Long term surplus/deficit</t>
  </si>
  <si>
    <t>Increase/decrease in current</t>
  </si>
  <si>
    <t>assets *(as per detalis</t>
  </si>
  <si>
    <t>given below)</t>
  </si>
  <si>
    <t>liabilities other than bank</t>
  </si>
  <si>
    <t>borrowings</t>
  </si>
  <si>
    <t xml:space="preserve">Increase/decrease in working </t>
  </si>
  <si>
    <t>capital gap</t>
  </si>
  <si>
    <t>Net surplus (+)/defecit (-)</t>
  </si>
  <si>
    <t>Increase/decrease in bank</t>
  </si>
  <si>
    <t>INCREASE/DECREASE IN NET SALES</t>
  </si>
  <si>
    <t>* BREAK UP OF ITEM 4</t>
  </si>
  <si>
    <t>Increase/Decrease in Raw</t>
  </si>
  <si>
    <t>Materials</t>
  </si>
  <si>
    <t>Increase/Decrease in</t>
  </si>
  <si>
    <t>Receivables</t>
  </si>
  <si>
    <t>a) Domestic</t>
  </si>
  <si>
    <t>b) Export</t>
  </si>
  <si>
    <t>Stores and Spares</t>
  </si>
  <si>
    <t>Performance &amp; Financial Indicators :</t>
  </si>
  <si>
    <t>Net Sales</t>
  </si>
  <si>
    <t>Operating Profit</t>
  </si>
  <si>
    <t>PBT/Net Sales (%)</t>
  </si>
  <si>
    <t>Cash Accruals</t>
  </si>
  <si>
    <t>PUC</t>
  </si>
  <si>
    <t>Adjusted TNW</t>
  </si>
  <si>
    <t>TOL</t>
  </si>
  <si>
    <t>TOL/ Adjusted TNW</t>
  </si>
  <si>
    <t>Movement in TNW</t>
  </si>
  <si>
    <t>Opening TNW</t>
  </si>
  <si>
    <t>Add PAT</t>
  </si>
  <si>
    <t>Add increase in equity / premium</t>
  </si>
  <si>
    <t xml:space="preserve">Add: Govt. grant </t>
  </si>
  <si>
    <t>Add/ Substract change in intangible</t>
  </si>
  <si>
    <t>assets</t>
  </si>
  <si>
    <t>Less: Dividend (Drawings)</t>
  </si>
  <si>
    <t>Closing TNW</t>
  </si>
  <si>
    <t>Fund Flow Analysis :</t>
  </si>
  <si>
    <t>Long Term Sources</t>
  </si>
  <si>
    <t>Long Term Uses</t>
  </si>
  <si>
    <t>Surplus/deficit</t>
  </si>
  <si>
    <t>Commercial Viability :</t>
  </si>
  <si>
    <t>Capacity Utilisation %</t>
  </si>
  <si>
    <t>Net Profit</t>
  </si>
  <si>
    <r>
      <t xml:space="preserve">TL/ </t>
    </r>
    <r>
      <rPr>
        <b/>
        <sz val="12"/>
        <rFont val="Arial"/>
        <family val="2"/>
      </rPr>
      <t>DPG</t>
    </r>
    <r>
      <rPr>
        <sz val="12"/>
        <rFont val="Arial"/>
        <family val="2"/>
      </rPr>
      <t xml:space="preserve"> repayments</t>
    </r>
  </si>
  <si>
    <t>Gross DSCR</t>
  </si>
  <si>
    <t>Average Gross DSCR</t>
  </si>
  <si>
    <t>Assessed Bank Finance :</t>
  </si>
  <si>
    <t>Total Current Assets (TCA)</t>
  </si>
  <si>
    <t>Other Current Liabilities (OCL)</t>
  </si>
  <si>
    <t>Net Working Capital (NWC)</t>
  </si>
  <si>
    <t>Assessed Bank Finance</t>
  </si>
  <si>
    <t>NWC to TCA (%)</t>
  </si>
  <si>
    <t>Bank Finance to TCA (%)</t>
  </si>
  <si>
    <t>Other Current Liabilities to TCA (%)</t>
  </si>
  <si>
    <t>Inventories to Net Sales (days)</t>
  </si>
  <si>
    <t>Receivables to Gross Sales (days)</t>
  </si>
  <si>
    <t>Sundry Creditors to Purchases (days)</t>
  </si>
  <si>
    <t>Security Margin :</t>
  </si>
  <si>
    <t>WDV of Fixed Assets</t>
  </si>
  <si>
    <t>Agg. TL / DPG outstandings</t>
  </si>
  <si>
    <t>Security Margin available</t>
  </si>
  <si>
    <t>% of margin</t>
  </si>
  <si>
    <t>Loan Policy Guidelines :</t>
  </si>
  <si>
    <t>Parameters</t>
  </si>
  <si>
    <t>Indicative Level</t>
  </si>
  <si>
    <t>Company's Level</t>
  </si>
  <si>
    <t>as on</t>
  </si>
  <si>
    <t>1. Liquidity</t>
  </si>
  <si>
    <t>2. TOL/TNW</t>
  </si>
  <si>
    <t>3. Promoter's contribution to the</t>
  </si>
  <si>
    <t xml:space="preserve">    project (TL)</t>
  </si>
  <si>
    <t>4. Average Gross DSCR</t>
  </si>
  <si>
    <t>5. Debt/Equity</t>
  </si>
  <si>
    <t>Efficiency Ratios :</t>
  </si>
  <si>
    <t>Net Sales to Total Tangible Assets (times)</t>
  </si>
  <si>
    <t>PBT to Total Tangible Assets (%)</t>
  </si>
  <si>
    <t>Operating cost to sales (%)</t>
  </si>
  <si>
    <t>Bank Finance to Current Assets (%)</t>
  </si>
  <si>
    <t xml:space="preserve">Inventory + Receivables to Net Sales </t>
  </si>
  <si>
    <t>(Months)</t>
  </si>
  <si>
    <t>Form - II -Operating Statement</t>
  </si>
  <si>
    <t>Rs. in lacs</t>
  </si>
  <si>
    <t>{Number of Months} --&gt;</t>
  </si>
  <si>
    <t>Projected</t>
  </si>
  <si>
    <t>Gross Sales (net of returns)</t>
  </si>
  <si>
    <t>a.</t>
  </si>
  <si>
    <t>Exports</t>
  </si>
  <si>
    <t>b.</t>
  </si>
  <si>
    <t>Sales Domestic -</t>
  </si>
  <si>
    <t>Less Excise Duty</t>
  </si>
  <si>
    <t>Other Business Income</t>
  </si>
  <si>
    <t>% rise/fall in Net Sales during the year</t>
  </si>
  <si>
    <t>compared to the previous year</t>
  </si>
  <si>
    <t>Cost of Sales</t>
  </si>
  <si>
    <t>i)</t>
  </si>
  <si>
    <t>Raw Materials (incl. stores and other items</t>
  </si>
  <si>
    <t>used in the process of manufacture)</t>
  </si>
  <si>
    <t>Imported</t>
  </si>
  <si>
    <t>Indigenous (Materials Cost)</t>
  </si>
  <si>
    <t>ii)</t>
  </si>
  <si>
    <t>Consumables/stores/spares</t>
  </si>
  <si>
    <t>Indigenous</t>
  </si>
  <si>
    <t>iii)</t>
  </si>
  <si>
    <t>Power &amp; fuel</t>
  </si>
  <si>
    <t>iv)</t>
  </si>
  <si>
    <t>Direct Labour (Salaries)</t>
  </si>
  <si>
    <t>v)</t>
  </si>
  <si>
    <t>Rep. &amp; Maintenance Expenses</t>
  </si>
  <si>
    <t>vi)</t>
  </si>
  <si>
    <t>vii)</t>
  </si>
  <si>
    <t>SUB TOTAL (i. to vi)</t>
  </si>
  <si>
    <t>viii)</t>
  </si>
  <si>
    <t>Add: Opening Stock-in-process</t>
  </si>
  <si>
    <t xml:space="preserve">Sub-total </t>
  </si>
  <si>
    <t>ix)</t>
  </si>
  <si>
    <t>Less: Closing Stock-in-process</t>
  </si>
  <si>
    <t>x)</t>
  </si>
  <si>
    <t>Cost of Production</t>
  </si>
  <si>
    <t>xi)</t>
  </si>
  <si>
    <t>Add: Opening Stock of Finished Goods</t>
  </si>
  <si>
    <t>xii)</t>
  </si>
  <si>
    <t>Less: Closing Stock of Finished Goods</t>
  </si>
  <si>
    <t>xiii)</t>
  </si>
  <si>
    <t>Cost of Sales of Mfg. Items</t>
  </si>
  <si>
    <t>xiv)</t>
  </si>
  <si>
    <t>Purchase of Other Items</t>
  </si>
  <si>
    <t>xv)</t>
  </si>
  <si>
    <t>Add: Opening Stock of other items</t>
  </si>
  <si>
    <t>Sub-total</t>
  </si>
  <si>
    <t>xvi)</t>
  </si>
  <si>
    <t>Less: Closing Stock of other items</t>
  </si>
  <si>
    <t>xvii)</t>
  </si>
  <si>
    <t>Cost of Sales of Other items</t>
  </si>
  <si>
    <t>xviii)</t>
  </si>
  <si>
    <t>Total Cost of Sales</t>
  </si>
  <si>
    <t>Selling. General and Administrative Expenses</t>
  </si>
  <si>
    <t>Sub-total (5+6)</t>
  </si>
  <si>
    <t xml:space="preserve">Operating Profit before Interest </t>
  </si>
  <si>
    <t>Operating Profit after Interest</t>
  </si>
  <si>
    <t>Add other Non-operating Income</t>
  </si>
  <si>
    <t>Interest received</t>
  </si>
  <si>
    <t>Sub-total (income)</t>
  </si>
  <si>
    <t>Deduct other Non-operating Expenses</t>
  </si>
  <si>
    <t>Preliminary Expenses w/off</t>
  </si>
  <si>
    <t>Sub-total (expenses)</t>
  </si>
  <si>
    <t>Net of other Non-operating income/exp.</t>
  </si>
  <si>
    <t>Profit before Tax/Loss</t>
  </si>
  <si>
    <t>Net Profit/Loss</t>
  </si>
  <si>
    <t>Equity Dividend</t>
  </si>
  <si>
    <t>Dividend Rate</t>
  </si>
  <si>
    <t>Transfer to General Reserves</t>
  </si>
  <si>
    <t>Transfer from General Reserves</t>
  </si>
  <si>
    <t>Previous year's adjustments</t>
  </si>
  <si>
    <t>Retained Profit/Net Profit (%)</t>
  </si>
  <si>
    <t>Cumulative Profit</t>
  </si>
  <si>
    <t>N.P.RATIO</t>
  </si>
  <si>
    <t>OP. PROFIT RATIO</t>
  </si>
  <si>
    <t>Form III - Analysis of Balance Sheet</t>
  </si>
  <si>
    <t xml:space="preserve">Short term borrowings from banks (incl. Bills </t>
  </si>
  <si>
    <t xml:space="preserve">purchased, discounted &amp; excess borrowing </t>
  </si>
  <si>
    <t>a)  from applicant bank</t>
  </si>
  <si>
    <t>b)  from other banks</t>
  </si>
  <si>
    <t>c)  (of which BP &amp; BD)</t>
  </si>
  <si>
    <t>Sub-total (A)</t>
  </si>
  <si>
    <t>Short term borrowings from others</t>
  </si>
  <si>
    <t xml:space="preserve">Sundry creditors (Trade) </t>
  </si>
  <si>
    <t>Advance payments from customers/</t>
  </si>
  <si>
    <t>deposits from dealers</t>
  </si>
  <si>
    <t>Provision for taxation</t>
  </si>
  <si>
    <t>Other statutory liabilities</t>
  </si>
  <si>
    <t>Deposits/Debentures/Installments under</t>
  </si>
  <si>
    <t>term loans/DPGs, etc.</t>
  </si>
  <si>
    <t>Sub-total (B)</t>
  </si>
  <si>
    <t>TOTAL CURRENT LIABILITIES</t>
  </si>
  <si>
    <t>TERM LIABILITIES</t>
  </si>
  <si>
    <t>Debentures (not maturing within one year)</t>
  </si>
  <si>
    <t>Preference Shares (redeemable after 1 year)</t>
  </si>
  <si>
    <t>Term loans (excl. instalment payable within</t>
  </si>
  <si>
    <t>one year)</t>
  </si>
  <si>
    <t xml:space="preserve">Deferred payment Credits (excl. instalments </t>
  </si>
  <si>
    <t>due within one year)</t>
  </si>
  <si>
    <t>Term deposits (repayable after one year)</t>
  </si>
  <si>
    <t>Other term liabilities USL</t>
  </si>
  <si>
    <t>TOTAL TERM LIABILITIES</t>
  </si>
  <si>
    <t>TOTAL OUTSIDE LIABILITIES</t>
  </si>
  <si>
    <t>NET WORTH</t>
  </si>
  <si>
    <t>General Reserve</t>
  </si>
  <si>
    <t>Share Premium A/c</t>
  </si>
  <si>
    <t>Other reserves (excl. provisions)</t>
  </si>
  <si>
    <t>Surplus/Deficit  in Profit &amp; Loss Account</t>
  </si>
  <si>
    <t>Cash and bank balances</t>
  </si>
  <si>
    <t>Investments (other than long term invest.)</t>
  </si>
  <si>
    <t>Investments</t>
  </si>
  <si>
    <t>Fixed deposits with banks</t>
  </si>
  <si>
    <t>Receivables other than deferred &amp; exports</t>
  </si>
  <si>
    <t>(incl. bills purchased/discounted by bankers)</t>
  </si>
  <si>
    <t>Exports receivables (incl. Bills purchased/</t>
  </si>
  <si>
    <t>discounted by bankers)</t>
  </si>
  <si>
    <t>Instalments under deferred receivables</t>
  </si>
  <si>
    <t>Raw materials including stores &amp; other items</t>
  </si>
  <si>
    <t>used in the process of manufacture</t>
  </si>
  <si>
    <t>Contract work in progress</t>
  </si>
  <si>
    <t>Other Consumable Stores</t>
  </si>
  <si>
    <t>Advances to suppliers of Raw materials &amp;</t>
  </si>
  <si>
    <t>Stores/Spares</t>
  </si>
  <si>
    <t>Loans &amp; Advances</t>
  </si>
  <si>
    <t>Other current assets</t>
  </si>
  <si>
    <t>FIXED ASSETS</t>
  </si>
  <si>
    <t xml:space="preserve">Gross Block (land and building, machinery, </t>
  </si>
  <si>
    <t>furniture &amp; fittings, vehicles)</t>
  </si>
  <si>
    <t>NET BLOCK</t>
  </si>
  <si>
    <t>OTHER NON-CURRENT ASSETS</t>
  </si>
  <si>
    <t>Investments/book debt/advances/deposits</t>
  </si>
  <si>
    <t>which are not current assets</t>
  </si>
  <si>
    <t>(a) Investments in subsidiary companies/</t>
  </si>
  <si>
    <t>affiliates</t>
  </si>
  <si>
    <t>(b) Others</t>
  </si>
  <si>
    <t>Advances to suppliers of Capital goods and</t>
  </si>
  <si>
    <t>contractors</t>
  </si>
  <si>
    <t xml:space="preserve">Deferred receivable (maturity exceeding </t>
  </si>
  <si>
    <t>One year</t>
  </si>
  <si>
    <t>Security deposits/tender deposits</t>
  </si>
  <si>
    <t>Others (Misc. Exps.)</t>
  </si>
  <si>
    <t>Non-consumable stores &amp; spares</t>
  </si>
  <si>
    <t>Other non-current assets (incl dues from</t>
  </si>
  <si>
    <t>Directors (Deferred Tax Asset)</t>
  </si>
  <si>
    <t>TOTAL OTHER NON-CURRENT ASSETS</t>
  </si>
  <si>
    <t>Intangible assets(patents, goodwill, prelim.</t>
  </si>
  <si>
    <t>exp., bad/doubtful debts not provided for</t>
  </si>
  <si>
    <t>etc.</t>
  </si>
  <si>
    <t>ADDITIONAL INFORMATION</t>
  </si>
  <si>
    <t>(A)</t>
  </si>
  <si>
    <t>Arrears of depreciation</t>
  </si>
  <si>
    <t>Contingent liabilities:</t>
  </si>
  <si>
    <t>Arrears of cumulative dividends</t>
  </si>
  <si>
    <t>Gratuity liability not provided for</t>
  </si>
  <si>
    <t>c.</t>
  </si>
  <si>
    <t>Disputed excise/customs/tax liabilities</t>
  </si>
  <si>
    <t>d.</t>
  </si>
  <si>
    <t xml:space="preserve">Bills accepted/guarantees extended to </t>
  </si>
  <si>
    <t xml:space="preserve">accommodate associate/sister/concerns or </t>
  </si>
  <si>
    <t>other third parties</t>
  </si>
  <si>
    <t>e.</t>
  </si>
  <si>
    <t>Other liabilities not provided for</t>
  </si>
  <si>
    <t>DIFFERENCE</t>
  </si>
  <si>
    <t>FORM IV COMPARATIVE STATEMENT OF CURRENT ASSETS &amp; CURRENT LIABILITIES</t>
  </si>
  <si>
    <t>Raw materials  (including</t>
  </si>
  <si>
    <t>stores &amp; other items used in</t>
  </si>
  <si>
    <t>the process of Manufacture)</t>
  </si>
  <si>
    <t>Months' consumption:</t>
  </si>
  <si>
    <t>Other consumable spares</t>
  </si>
  <si>
    <t>excluding those included in</t>
  </si>
  <si>
    <t>(1) above.</t>
  </si>
  <si>
    <t>Stock-in-process</t>
  </si>
  <si>
    <t>Months' Cost of Production</t>
  </si>
  <si>
    <t>Months' Cost of Sales</t>
  </si>
  <si>
    <t>Other Goods</t>
  </si>
  <si>
    <t>Receivables other than export</t>
  </si>
  <si>
    <t>&amp; deferred receivables (including</t>
  </si>
  <si>
    <t>bills purchased &amp; discounted</t>
  </si>
  <si>
    <t>by bankers)</t>
  </si>
  <si>
    <t>Months' Domestic Sales</t>
  </si>
  <si>
    <t>excluding deferred payment</t>
  </si>
  <si>
    <t>sales</t>
  </si>
  <si>
    <t>Export Receivables (Including</t>
  </si>
  <si>
    <t>Months' Export Sales</t>
  </si>
  <si>
    <t>7)</t>
  </si>
  <si>
    <t>Advances to suppliers of</t>
  </si>
  <si>
    <t>raw materials &amp; stores/spares,</t>
  </si>
  <si>
    <t>consumables</t>
  </si>
  <si>
    <t>8)</t>
  </si>
  <si>
    <t>Other Current Assets including</t>
  </si>
  <si>
    <t xml:space="preserve">cash &amp; bank balances, deferred </t>
  </si>
  <si>
    <t>receivables due within one year</t>
  </si>
  <si>
    <t>9)</t>
  </si>
  <si>
    <t>(Other than bank borrowings for</t>
  </si>
  <si>
    <t>working capital)</t>
  </si>
  <si>
    <t>10)</t>
  </si>
  <si>
    <t>Creditors for purchase of Raw</t>
  </si>
  <si>
    <t>materials, stores &amp; consumable</t>
  </si>
  <si>
    <t>spares</t>
  </si>
  <si>
    <t>Months' purchases</t>
  </si>
  <si>
    <t>Advances from customers</t>
  </si>
  <si>
    <t>Short Terms borrowings</t>
  </si>
  <si>
    <t>Adv. Against com. Complex</t>
  </si>
  <si>
    <t>Installments of Term Loans</t>
  </si>
  <si>
    <t>Provision fore taxation</t>
  </si>
  <si>
    <t>Public Deposits</t>
  </si>
  <si>
    <t>14)</t>
  </si>
  <si>
    <t>OTHER CURRENT LIABILITIES</t>
  </si>
  <si>
    <t>FORM V COMPUTATION OF MAXIMUM PERMISSIBLE BANK FINANCE</t>
  </si>
  <si>
    <t>Total Current Assets</t>
  </si>
  <si>
    <t>(9 in Form IV)</t>
  </si>
  <si>
    <t>(other than bank borrowings)</t>
  </si>
  <si>
    <t>(14 of Form IV)</t>
  </si>
  <si>
    <t>Working Capital Gap (WCG)</t>
  </si>
  <si>
    <t>(1-2)</t>
  </si>
  <si>
    <t>Minimum stipulated Net</t>
  </si>
  <si>
    <t>Working Capital i.e.</t>
  </si>
  <si>
    <t>25% of WCG</t>
  </si>
  <si>
    <t>25% of Total Current Assets</t>
  </si>
  <si>
    <t>as the case may be</t>
  </si>
  <si>
    <t>depending upon the method</t>
  </si>
  <si>
    <t>of lending being applied.</t>
  </si>
  <si>
    <t xml:space="preserve">(Export receivables to be </t>
  </si>
  <si>
    <t>excluded under both methods)</t>
  </si>
  <si>
    <t>Actual/projected Net Working</t>
  </si>
  <si>
    <t>Capital (45 in Form No.III)</t>
  </si>
  <si>
    <t>Item 3 - Item 4)</t>
  </si>
  <si>
    <t>Item 3 - Item 5)</t>
  </si>
  <si>
    <t>Maximum Permissible Bank</t>
  </si>
  <si>
    <t>Finance ( Item 6 or 7 whichever</t>
  </si>
  <si>
    <t>is lower)</t>
  </si>
  <si>
    <t>Excess Borrowings representing</t>
  </si>
  <si>
    <t>shortfall in NWC (4-5)</t>
  </si>
  <si>
    <t>Bank Borrowings for W/C</t>
  </si>
  <si>
    <t>FORM VI FUNDS FLOW STATEMENT</t>
  </si>
  <si>
    <t>(Rs. in lacs)</t>
  </si>
  <si>
    <t>YEAR  =&gt;</t>
  </si>
  <si>
    <t>SOURCES</t>
  </si>
  <si>
    <t>Net Profit (after tax)</t>
  </si>
  <si>
    <t>Increase in Capital</t>
  </si>
  <si>
    <t>Increase in Term Liabilities</t>
  </si>
  <si>
    <t>(including Public Deposits)</t>
  </si>
  <si>
    <t xml:space="preserve">Decrease in </t>
  </si>
  <si>
    <t>Fixed Assets</t>
  </si>
  <si>
    <t>Others USL</t>
  </si>
  <si>
    <t>Capital Investment Subsidy</t>
  </si>
  <si>
    <t>USES</t>
  </si>
  <si>
    <t>Net Loss</t>
  </si>
  <si>
    <t>Decrease in Term Liabilities</t>
  </si>
  <si>
    <t>Dividend Payments</t>
  </si>
  <si>
    <t>Intangible Assets</t>
  </si>
  <si>
    <t>Long Term Surplus (+)/ Deficit (-) (1-2)</t>
  </si>
  <si>
    <t>Increase/Decrease in Current Assets</t>
  </si>
  <si>
    <t>* as per details given below</t>
  </si>
  <si>
    <t>Increase/Decrease in Current</t>
  </si>
  <si>
    <t>liabilities other than bank borrowings</t>
  </si>
  <si>
    <t>Increase/Decrease in Working</t>
  </si>
  <si>
    <t>Capital Gap (WCG)</t>
  </si>
  <si>
    <t>Net Surplus(+)/Deficit(-)</t>
  </si>
  <si>
    <t>(Difference of 3 &amp; 6)</t>
  </si>
  <si>
    <t>Increase/Decrease in Bank borrowings</t>
  </si>
  <si>
    <t>INCREASE/DECREASE IN NET SALES (%)</t>
  </si>
  <si>
    <t>Break-up of (4)</t>
  </si>
  <si>
    <t>Increase/Decrease in Raw Materials</t>
  </si>
  <si>
    <t>Increase/Decrease in Stock-in-process</t>
  </si>
  <si>
    <t>Increase/Decrease in Finished goods</t>
  </si>
  <si>
    <t>Increase/decrease in Receivables</t>
  </si>
  <si>
    <t>Domestic</t>
  </si>
  <si>
    <t>Export</t>
  </si>
  <si>
    <t>Increase/Decrease in Stores &amp; Spares</t>
  </si>
  <si>
    <t>Increase/Decrease in Other Current</t>
  </si>
  <si>
    <t>NOTE: Increase/Decrease under items</t>
  </si>
  <si>
    <t>4 to 8 as also under break-up of (4)</t>
  </si>
  <si>
    <t>should be indicated by (+) (-)</t>
  </si>
  <si>
    <t>Installed capacity/annum (tonnes)</t>
  </si>
  <si>
    <t>Expected Utilisation</t>
  </si>
  <si>
    <t xml:space="preserve">Expected output/annum </t>
  </si>
  <si>
    <t xml:space="preserve">Opening stock/Finished good  </t>
  </si>
  <si>
    <t xml:space="preserve">Closing stock/finished goods </t>
  </si>
  <si>
    <t>Expected sale/year</t>
  </si>
  <si>
    <t>Sale value (Rs.in lacs)</t>
  </si>
  <si>
    <t>31.03.2015</t>
  </si>
  <si>
    <t>31.03.2016</t>
  </si>
  <si>
    <t>31.03.2017</t>
  </si>
  <si>
    <t>31.03.2018</t>
  </si>
  <si>
    <t>31.03.2019</t>
  </si>
  <si>
    <t>31.03.2020</t>
  </si>
  <si>
    <t>Period ending</t>
  </si>
  <si>
    <t>12 months</t>
  </si>
  <si>
    <t>OPERATING PARAMETERS</t>
  </si>
  <si>
    <t>(Provisional)</t>
  </si>
  <si>
    <t>(Estimated)</t>
  </si>
  <si>
    <t>Gross sales</t>
  </si>
  <si>
    <t>Net sales</t>
  </si>
  <si>
    <t>Total Income</t>
  </si>
  <si>
    <t>PBIDT</t>
  </si>
  <si>
    <t>Depreciation.</t>
  </si>
  <si>
    <t>Cash Generation</t>
  </si>
  <si>
    <t>PBT/Gross sales (%)</t>
  </si>
  <si>
    <t>FINANCIAL PARAMETERS</t>
  </si>
  <si>
    <t>Preference share Capital</t>
  </si>
  <si>
    <t>Share Application Money</t>
  </si>
  <si>
    <t>Net Worth</t>
  </si>
  <si>
    <t>Investment in Group/Associate</t>
  </si>
  <si>
    <t>Company</t>
  </si>
  <si>
    <t>Secured Loans</t>
  </si>
  <si>
    <t>Total Long Term Loans</t>
  </si>
  <si>
    <t>Non Current Assets</t>
  </si>
  <si>
    <t>Total Current Liabilities</t>
  </si>
  <si>
    <t>Net Current Assets</t>
  </si>
  <si>
    <t>Debt Equity Ratio</t>
  </si>
  <si>
    <t>Tol-TNW Ratio</t>
  </si>
  <si>
    <t>Tol - Adjusted TNW Ratio</t>
  </si>
  <si>
    <t xml:space="preserve">For the Financial  Years  </t>
  </si>
  <si>
    <t xml:space="preserve"> 31/03/15</t>
  </si>
  <si>
    <t xml:space="preserve"> 31/03/16</t>
  </si>
  <si>
    <t xml:space="preserve"> 31/03/17</t>
  </si>
  <si>
    <t xml:space="preserve"> 31/03/18</t>
  </si>
  <si>
    <t xml:space="preserve"> 31/03/19</t>
  </si>
  <si>
    <t xml:space="preserve"> 31/03/20</t>
  </si>
  <si>
    <t xml:space="preserve"> 31/03/21</t>
  </si>
  <si>
    <t xml:space="preserve"> Projected </t>
  </si>
  <si>
    <t xml:space="preserve"> 1. Gross Sales </t>
  </si>
  <si>
    <t xml:space="preserve"> 2. Net Sales </t>
  </si>
  <si>
    <t xml:space="preserve"> 3. Cost of goods sold </t>
  </si>
  <si>
    <t xml:space="preserve"> 4. Gross Profit (2-3) </t>
  </si>
  <si>
    <t xml:space="preserve"> 5. Gross Profit to Net Sales(4/2*100) </t>
  </si>
  <si>
    <t xml:space="preserve"> 6. Operating, Administrative, selling &amp; General expenses </t>
  </si>
  <si>
    <t xml:space="preserve"> 7. Interest </t>
  </si>
  <si>
    <t xml:space="preserve"> 8. Operating Profit </t>
  </si>
  <si>
    <t xml:space="preserve"> 9. Non-operating surplus (+), Deficit (-) </t>
  </si>
  <si>
    <t xml:space="preserve"> 10. Pre Tax Profit/Loss </t>
  </si>
  <si>
    <t xml:space="preserve"> 11. Provision for Taxation </t>
  </si>
  <si>
    <t xml:space="preserve"> 12. Net Profit/Loss </t>
  </si>
  <si>
    <t xml:space="preserve"> 13. Profit distributed through DRAWINGS </t>
  </si>
  <si>
    <t xml:space="preserve"> 14. Retained Profit </t>
  </si>
  <si>
    <t xml:space="preserve"> 15. Depreciation </t>
  </si>
  <si>
    <t xml:space="preserve"> 16. Cash Generation(12+15) </t>
  </si>
  <si>
    <r>
      <t>Balance Sheet as on 31</t>
    </r>
    <r>
      <rPr>
        <b/>
        <vertAlign val="superscript"/>
        <sz val="11"/>
        <color indexed="8"/>
        <rFont val="Times New Roman"/>
        <family val="1"/>
      </rPr>
      <t>st</t>
    </r>
    <r>
      <rPr>
        <b/>
        <sz val="11"/>
        <color indexed="8"/>
        <rFont val="Times New Roman"/>
        <family val="1"/>
      </rPr>
      <t xml:space="preserve"> March</t>
    </r>
  </si>
  <si>
    <t>2021…</t>
  </si>
  <si>
    <t>Cash &amp; Bank Balance</t>
  </si>
  <si>
    <t>Misc. Current Assets</t>
  </si>
  <si>
    <t>SUB TOTAL</t>
  </si>
  <si>
    <t>Loan &amp; Advance</t>
  </si>
  <si>
    <t>Sundry Creditors</t>
  </si>
  <si>
    <t>i) Provision taxation</t>
  </si>
  <si>
    <t>ii) Provision for dividend</t>
  </si>
  <si>
    <t>Misc. Current Liabilities</t>
  </si>
  <si>
    <t>Bank Borrowing</t>
  </si>
  <si>
    <t>NET CURRENT ASSETS</t>
  </si>
  <si>
    <t>CURRENT  RATIO</t>
  </si>
  <si>
    <t>QUICK RATIO</t>
  </si>
  <si>
    <t>Investment &amp; Non-C. Assets</t>
  </si>
  <si>
    <t>FINANCED BY</t>
  </si>
  <si>
    <t>LONG TERM LOAN</t>
  </si>
  <si>
    <t>SHARE HOLDER'S FUND</t>
  </si>
  <si>
    <t>Equity Share Capital</t>
  </si>
  <si>
    <t>Pref. Share Capital/ Unsecured Loans</t>
  </si>
  <si>
    <t>Reserve &amp; Surplus</t>
  </si>
  <si>
    <t>Sale Permission Status</t>
  </si>
  <si>
    <t>Sale Permission No</t>
  </si>
  <si>
    <t>Date</t>
  </si>
  <si>
    <t>Buyer</t>
  </si>
  <si>
    <t>Consideration</t>
  </si>
  <si>
    <t>Area (Sqr Fts)</t>
  </si>
  <si>
    <t>@250</t>
  </si>
  <si>
    <t>KRM(M).4/2012/13511</t>
  </si>
  <si>
    <t>Kamakhya Mahanta</t>
  </si>
  <si>
    <t>Sqr Mtrs</t>
  </si>
  <si>
    <t>KRM(M).4/2012/13510</t>
  </si>
  <si>
    <t>Sangeeta Mahanta</t>
  </si>
  <si>
    <t>GMDA Permission</t>
  </si>
  <si>
    <t>KRM(M).4/2012/13512</t>
  </si>
  <si>
    <t>Block A</t>
  </si>
  <si>
    <t>Block B</t>
  </si>
  <si>
    <t>Block C</t>
  </si>
  <si>
    <t>Ground</t>
  </si>
  <si>
    <t>First</t>
  </si>
  <si>
    <t>Sale Deed Status</t>
  </si>
  <si>
    <t>Second</t>
  </si>
  <si>
    <t>Third</t>
  </si>
  <si>
    <t>Land Area</t>
  </si>
  <si>
    <t>Regn</t>
  </si>
  <si>
    <t>Stamp Duty</t>
  </si>
  <si>
    <t>Fourth</t>
  </si>
  <si>
    <t>2 Katha 6 Lechas</t>
  </si>
  <si>
    <t>Fifth</t>
  </si>
  <si>
    <t>1 Katha 7 Lechas</t>
  </si>
  <si>
    <t>Sixth</t>
  </si>
  <si>
    <t>1 Katha 17.35 Lechas</t>
  </si>
  <si>
    <t>Seventh</t>
  </si>
  <si>
    <t>Eighth</t>
  </si>
  <si>
    <t>1 Sqr Mtrs</t>
  </si>
  <si>
    <t>Sqr Fts</t>
  </si>
  <si>
    <t>Agreement Details</t>
  </si>
  <si>
    <t>In Sqr Fts</t>
  </si>
  <si>
    <t>Owner</t>
  </si>
  <si>
    <t>Consideration (Sqr Fts)</t>
  </si>
  <si>
    <t>For Vendor</t>
  </si>
  <si>
    <t>For Developer</t>
  </si>
  <si>
    <t>2 Katha</t>
  </si>
  <si>
    <t>Polly Das</t>
  </si>
  <si>
    <t>2 Katha 4 Lechhas</t>
  </si>
  <si>
    <t>Kabita Das</t>
  </si>
  <si>
    <t>1 Katha 15 Lechhas</t>
  </si>
  <si>
    <t>Abhijit Das</t>
  </si>
  <si>
    <t>Diff with Permission</t>
  </si>
  <si>
    <t>Common Area</t>
  </si>
  <si>
    <t>(Excluding Basement)</t>
  </si>
  <si>
    <r>
      <t>31</t>
    </r>
    <r>
      <rPr>
        <vertAlign val="superscript"/>
        <sz val="11"/>
        <rFont val="Times New Roman"/>
        <family val="1"/>
      </rPr>
      <t>st</t>
    </r>
    <r>
      <rPr>
        <sz val="11"/>
        <rFont val="Times New Roman"/>
        <family val="1"/>
      </rPr>
      <t xml:space="preserve">  March</t>
    </r>
  </si>
  <si>
    <t>PROJECTED</t>
  </si>
  <si>
    <t>Receipt</t>
  </si>
  <si>
    <t>Cash accrual</t>
  </si>
  <si>
    <t>Tangible net worth</t>
  </si>
  <si>
    <t>Total outside liability</t>
  </si>
  <si>
    <t>APPENDIX 8</t>
  </si>
  <si>
    <t>PROFITABILITY ASSUMPTIONS</t>
  </si>
  <si>
    <t>INCOME SOURCES</t>
  </si>
  <si>
    <t>Projections' assumption</t>
  </si>
  <si>
    <t>Average industry room rent</t>
  </si>
  <si>
    <t xml:space="preserve">The average room rent has been considered keeping it lower than the prevailing competitive rates in surrounding areas for similar facilities </t>
  </si>
  <si>
    <t>Average No. of visitors per day</t>
  </si>
  <si>
    <t>It is assumed that an average of 27 visitors for breakfast, 30 for lunch, 45 for coffee shop &amp; bakery, 75 for dinner and 75 for bar shall constitute the cumulative F&amp;B sales of the Hotel.</t>
  </si>
  <si>
    <t>Average revenue per Guest</t>
  </si>
  <si>
    <t>Average revenue is considered to be Rs 500 per guest, projected yearwise according to projected capacity utilisation</t>
  </si>
  <si>
    <t>Average revenue per day</t>
  </si>
  <si>
    <t>Average revenue is considered to be Rs 8000 per day, projected yearwise according to projected capacity utilisation</t>
  </si>
  <si>
    <t>Average revenue per customer</t>
  </si>
  <si>
    <t>It is assumed that the customers for the game parlour will comprise of children of hotel guests, the percentage of which is considered at 15%. Average revenue is considered to be Rs 500 per child, projected yearwise according to projected capacity utilisation</t>
  </si>
  <si>
    <t>Average revenue per Participant</t>
  </si>
  <si>
    <t>Average revenue is considered to be Rs 500 per participant, projected yearwise according to projected capacity utilisation</t>
  </si>
  <si>
    <t>Percentage of total sales</t>
  </si>
  <si>
    <t>Other income which will include laundry etc. has been projected at 2.5% of total sales of the Hotel.</t>
  </si>
  <si>
    <t>Projected Capacity</t>
  </si>
  <si>
    <t>Capacitywise cumulative totals</t>
  </si>
  <si>
    <t>EXPENSES</t>
  </si>
  <si>
    <t>Envisaged percentage as 40%</t>
  </si>
  <si>
    <t>Envisaged percentage as 22.5%</t>
  </si>
  <si>
    <t>Estimated manpower</t>
  </si>
  <si>
    <t>Envisaged percentage increase 5-10% YOY</t>
  </si>
  <si>
    <t>Estimated power requirement</t>
  </si>
  <si>
    <t>Envisaged percentage as 0.50%</t>
  </si>
  <si>
    <t>Envisaged percentage as 02%</t>
  </si>
  <si>
    <t>Envisaged percentage as 2.50%</t>
  </si>
  <si>
    <t>Envisaged percentage as 01%</t>
  </si>
  <si>
    <t>Envisaged percentage as 2.25%</t>
  </si>
  <si>
    <t>Envisaged percentage as 1.50%</t>
  </si>
  <si>
    <t>Insurance Charges:</t>
  </si>
  <si>
    <t>Envisaged percentage as 0.33%</t>
  </si>
  <si>
    <t>Envisaged percentage as 0.25%</t>
  </si>
  <si>
    <t>Envisaged percentage as 0.20%</t>
  </si>
  <si>
    <t>% on outstanding term loan</t>
  </si>
  <si>
    <t xml:space="preserve">The percentage is taken at 11.50% </t>
  </si>
  <si>
    <t>Straight Line Method</t>
  </si>
  <si>
    <t>Specified % on Original Cost of Fixed assets</t>
  </si>
  <si>
    <t>APPENDIX 7:</t>
  </si>
  <si>
    <t>MANPOWER REQUIREMENT</t>
  </si>
  <si>
    <t>MANAGERIAL LEVEL</t>
  </si>
  <si>
    <t>DESIGNATION/AREA</t>
  </si>
  <si>
    <t>NO. OF PERSONNEL</t>
  </si>
  <si>
    <t>AVERAGE SALARY PER ANNUM</t>
  </si>
  <si>
    <t>Administrative level</t>
  </si>
  <si>
    <t>General Manager</t>
  </si>
  <si>
    <t>Executive level</t>
  </si>
  <si>
    <t>HR Manager</t>
  </si>
  <si>
    <t>Executive Chef</t>
  </si>
  <si>
    <t>Supervisory level</t>
  </si>
  <si>
    <t>Departmental Heads</t>
  </si>
  <si>
    <t>Security supervisor</t>
  </si>
  <si>
    <t>SR. Captain</t>
  </si>
  <si>
    <t>Kitchen supervisor</t>
  </si>
  <si>
    <t>Operational Level</t>
  </si>
  <si>
    <t>Chefs</t>
  </si>
  <si>
    <t>Hotel Support Staff</t>
  </si>
  <si>
    <t>Customer Representative</t>
  </si>
  <si>
    <t>Service Personnel</t>
  </si>
  <si>
    <t>S.No.</t>
  </si>
  <si>
    <t>Description</t>
  </si>
  <si>
    <t>C.L in KW</t>
  </si>
  <si>
    <t>Diversity</t>
  </si>
  <si>
    <t>M.D in KW</t>
  </si>
  <si>
    <t xml:space="preserve">Lighting Load </t>
  </si>
  <si>
    <t xml:space="preserve">Convenience Power Load </t>
  </si>
  <si>
    <r>
      <t xml:space="preserve">Equipment's Load </t>
    </r>
    <r>
      <rPr>
        <sz val="10"/>
        <rFont val="Arial"/>
        <family val="2"/>
      </rPr>
      <t xml:space="preserve">(For Kitchen Fitness Centre etc.) </t>
    </r>
  </si>
  <si>
    <r>
      <t xml:space="preserve">Kitchen, Pantry, Laundry </t>
    </r>
    <r>
      <rPr>
        <sz val="10"/>
        <rFont val="Arial"/>
        <family val="2"/>
      </rPr>
      <t>(Assumed)</t>
    </r>
  </si>
  <si>
    <r>
      <t>Guest Room Load</t>
    </r>
    <r>
      <rPr>
        <sz val="10"/>
        <rFont val="Arial"/>
        <family val="2"/>
      </rPr>
      <t xml:space="preserve"> (For detail load calculation Please refer Annex.-2)</t>
    </r>
  </si>
  <si>
    <r>
      <t>UPS &amp; Server Load</t>
    </r>
    <r>
      <rPr>
        <sz val="10"/>
        <rFont val="Arial"/>
        <family val="2"/>
      </rPr>
      <t xml:space="preserve"> (Assumed)</t>
    </r>
  </si>
  <si>
    <t xml:space="preserve">Air-conditioning, Ventilation &amp; Pressurisation </t>
  </si>
  <si>
    <t xml:space="preserve">HVAC  Load </t>
  </si>
  <si>
    <t>Basement Ventilation Load</t>
  </si>
  <si>
    <t>Pressurization and Basement Ventilation Load (In case of Fire)</t>
  </si>
  <si>
    <t>Plumbing &amp; Fire Fighting</t>
  </si>
  <si>
    <t>Swimming Pool</t>
  </si>
  <si>
    <t>Basement Sump Pumps</t>
  </si>
  <si>
    <t>Hydropnumatic Pumps for WTP</t>
  </si>
  <si>
    <t>Boiler</t>
  </si>
  <si>
    <t>Heat Pumps</t>
  </si>
  <si>
    <t>Fire Hydrant Load</t>
  </si>
  <si>
    <t>Sprinkler Load</t>
  </si>
  <si>
    <t>Fire Fighting (Jockey pumps)</t>
  </si>
  <si>
    <t xml:space="preserve">Elevators </t>
  </si>
  <si>
    <t>Passengers Elevator @ 15 KW (3 Nos.)</t>
  </si>
  <si>
    <t xml:space="preserve">External Lighting </t>
  </si>
  <si>
    <t>Total Load in KW</t>
  </si>
  <si>
    <t>Demand Load in KW with overall diversity factor of 80% on Maximum Demand.</t>
  </si>
  <si>
    <t>(I)</t>
  </si>
  <si>
    <t>Transformer's Selection :</t>
  </si>
  <si>
    <t xml:space="preserve">Total Demand Load in KVA with 0.95 PF </t>
  </si>
  <si>
    <t>Transformer capacity in KVA with 80% loading.</t>
  </si>
  <si>
    <t xml:space="preserve">           </t>
  </si>
  <si>
    <t>Hence Selected 1 Nos. 630 KVA, 11/0.415 KV, Dry Type Transformers.</t>
  </si>
  <si>
    <t>DG's Selection :</t>
  </si>
  <si>
    <t>Demand Load in KW</t>
  </si>
  <si>
    <t>DG Sets Ventilation load</t>
  </si>
  <si>
    <t>Total Demand (in KW)</t>
  </si>
  <si>
    <t xml:space="preserve">Total Demand Load in KVA with 0.8 PF. </t>
  </si>
  <si>
    <t>DG capacity in KVA with 85% loading.</t>
  </si>
  <si>
    <t xml:space="preserve">Hence Selected 2 Nos. of 250 KVA Prime rated Standard DG Sets. </t>
  </si>
  <si>
    <t>Area (Sq Ft)</t>
  </si>
  <si>
    <t>No of rooms</t>
  </si>
  <si>
    <t>Details of services</t>
  </si>
  <si>
    <t>Mezzanine Floor</t>
  </si>
  <si>
    <t>1st Floor</t>
  </si>
  <si>
    <t>2nd Floor</t>
  </si>
  <si>
    <t>3rd Floor</t>
  </si>
  <si>
    <t>4th Floor</t>
  </si>
  <si>
    <t>5th Floor</t>
  </si>
  <si>
    <t>Details extracted from valuation report</t>
  </si>
  <si>
    <t>SL.NO.</t>
  </si>
  <si>
    <t>FLOOR</t>
  </si>
  <si>
    <t>ROOMS</t>
  </si>
  <si>
    <t>FACILITIES</t>
  </si>
  <si>
    <t>BASEMENT</t>
  </si>
  <si>
    <t>APX.90+CAR PARKING AND10+TWO WHEELER PARKING, LAUNDROMAT, SERVICE AREA, ETC.</t>
  </si>
  <si>
    <t>GROUND</t>
  </si>
  <si>
    <t>APX.60+ CAR PARKING SPACE, 1100 SQ.M BANQUET SPACE, 500SQ.M PRE-FUNCTION AREA, 310 SQ.M KITCHEN, MULTIPLE TOILET FOR MALE-FEMALE-DISABLE ALIKE, 75 SQ.M BUSINESS CENTRE, APX.20+PAX SITTING FOR COFFEE SHOP &amp; BAKERY, 1600SQ.MLAWN AREA, CLOAK ROOM, 200 SQ.M OUTDOOR KITCHEN, ETC.</t>
  </si>
  <si>
    <t>1st</t>
  </si>
  <si>
    <t>61SQ.MCONFERENCE AREA, 73SQ.M SEPARATE PARLOUR FORMALE FEMALE, SEPARATE COMMON TOILETS, 29 SQ.M MULTI PURPOSE ROOM, 173 SQ.M MULTI-PURPOSE HALL WITH KITCHEN, 80 SQ.M TERRACE AREA ATTACHED WITH MULTI PURPOSE HALL</t>
  </si>
  <si>
    <t>2nd</t>
  </si>
  <si>
    <t>110 SQ.M SPA AREA, 74 SQ.M GYMNASIUM, 62 SQ.M KIDS PLAY AREA, 60 SQ.M INDOOR GAMES AREA, 225 SQ.M BAR FOR APX.60 PAX WITH OUTDOOR SPACE, 575SQ.M RESTAURANT FOR APX.98 PAX SITTING WITH PDA, KITCHEN AND STORAGE AREA, 585 SQ.M OPEN TO SKY LAWN, 390 SQ.M SEMI-COVERED STRUCTURE ATTACHED WITH LAWN, 170 SQ.M POOL WITH SEPARATE CHANGING ROOMS.</t>
  </si>
  <si>
    <t>3rd</t>
  </si>
  <si>
    <t>2 SUITE ROOMS (Executive Rooms)</t>
  </si>
  <si>
    <t>4th</t>
  </si>
  <si>
    <t>5th</t>
  </si>
  <si>
    <t>6th</t>
  </si>
  <si>
    <t>7th</t>
  </si>
  <si>
    <t>1 PRESIDENTIAL SUITE</t>
  </si>
  <si>
    <t>8th</t>
  </si>
  <si>
    <t>34</t>
  </si>
  <si>
    <t>APPENDIX - 6</t>
  </si>
  <si>
    <t>COST OF POWER &amp; FUEL</t>
  </si>
  <si>
    <t>Sl No.</t>
  </si>
  <si>
    <t>Name of the machineries</t>
  </si>
  <si>
    <t>Total KVA</t>
  </si>
  <si>
    <t>Power Total Requirement as per calculation</t>
  </si>
  <si>
    <t>Unit consumption per annum</t>
  </si>
  <si>
    <t>(Considerig 365 working days per annum)</t>
  </si>
  <si>
    <t>Rate per unit</t>
  </si>
  <si>
    <t>Fixed charges per Month</t>
  </si>
  <si>
    <t>Power factor</t>
  </si>
  <si>
    <t>Loading</t>
  </si>
  <si>
    <t>Amt (Rs. In Lacs)</t>
  </si>
  <si>
    <t>Variable power charges per annum at 100% capacity</t>
  </si>
  <si>
    <t>Cost of fuel for DG set considering total 20 Ltrs/ hr for 2 hrs</t>
  </si>
  <si>
    <t>daily @ Rs. 61.00 per litre</t>
  </si>
  <si>
    <t>COST OF POWER AT OTHER CAPACITY UTILISATION LEVELS</t>
  </si>
  <si>
    <t>1ST YR</t>
  </si>
  <si>
    <t>2ND YR</t>
  </si>
  <si>
    <t>3RD YR</t>
  </si>
  <si>
    <t>4TH YR</t>
  </si>
  <si>
    <t>5TH YR</t>
  </si>
  <si>
    <t>6TH YR</t>
  </si>
  <si>
    <t>7TH YR</t>
  </si>
  <si>
    <t>8th YR</t>
  </si>
  <si>
    <t>Capacity utilisation (%)</t>
  </si>
  <si>
    <t>Variable power charges</t>
  </si>
  <si>
    <t>Fixed Power charges</t>
  </si>
  <si>
    <t>TOTAL POWER CHARGES</t>
  </si>
  <si>
    <t>CIVIL Works</t>
  </si>
  <si>
    <t xml:space="preserve">Grand Total Cost of Civil Works </t>
  </si>
  <si>
    <r>
      <rPr>
        <b/>
        <sz val="8.5"/>
        <rFont val="Cambria"/>
        <family val="1"/>
      </rPr>
      <t>C</t>
    </r>
  </si>
  <si>
    <r>
      <rPr>
        <b/>
        <sz val="9"/>
        <rFont val="Cambria"/>
        <family val="1"/>
      </rPr>
      <t>PLUMBING</t>
    </r>
    <r>
      <rPr>
        <sz val="9"/>
        <rFont val="Times New Roman"/>
        <family val="1"/>
      </rPr>
      <t xml:space="preserve"> </t>
    </r>
    <r>
      <rPr>
        <b/>
        <sz val="9"/>
        <rFont val="Cambria"/>
        <family val="1"/>
      </rPr>
      <t>,SANITARY</t>
    </r>
    <r>
      <rPr>
        <sz val="9"/>
        <rFont val="Times New Roman"/>
        <family val="1"/>
      </rPr>
      <t xml:space="preserve"> </t>
    </r>
    <r>
      <rPr>
        <b/>
        <sz val="9"/>
        <rFont val="Cambria"/>
        <family val="1"/>
      </rPr>
      <t>,</t>
    </r>
    <r>
      <rPr>
        <sz val="9"/>
        <rFont val="Times New Roman"/>
        <family val="1"/>
      </rPr>
      <t xml:space="preserve"> </t>
    </r>
    <r>
      <rPr>
        <b/>
        <sz val="9"/>
        <rFont val="Cambria"/>
        <family val="1"/>
      </rPr>
      <t>RAIN</t>
    </r>
    <r>
      <rPr>
        <sz val="9"/>
        <rFont val="Times New Roman"/>
        <family val="1"/>
      </rPr>
      <t xml:space="preserve"> </t>
    </r>
    <r>
      <rPr>
        <b/>
        <sz val="9"/>
        <rFont val="Cambria"/>
        <family val="1"/>
      </rPr>
      <t>WATER</t>
    </r>
    <r>
      <rPr>
        <sz val="9"/>
        <rFont val="Times New Roman"/>
        <family val="1"/>
      </rPr>
      <t xml:space="preserve"> </t>
    </r>
    <r>
      <rPr>
        <b/>
        <sz val="9"/>
        <rFont val="Cambria"/>
        <family val="1"/>
      </rPr>
      <t>HARVESTING</t>
    </r>
    <r>
      <rPr>
        <sz val="9"/>
        <rFont val="Times New Roman"/>
        <family val="1"/>
      </rPr>
      <t xml:space="preserve"> </t>
    </r>
    <r>
      <rPr>
        <b/>
        <sz val="9"/>
        <rFont val="Cambria"/>
        <family val="1"/>
      </rPr>
      <t>WORK</t>
    </r>
  </si>
  <si>
    <r>
      <rPr>
        <sz val="8"/>
        <rFont val="Cambria"/>
        <family val="1"/>
      </rPr>
      <t>Plumbing,</t>
    </r>
    <r>
      <rPr>
        <sz val="8"/>
        <rFont val="Times New Roman"/>
        <family val="1"/>
      </rPr>
      <t xml:space="preserve">  </t>
    </r>
    <r>
      <rPr>
        <sz val="8"/>
        <rFont val="Cambria"/>
        <family val="1"/>
      </rPr>
      <t>&amp;</t>
    </r>
    <r>
      <rPr>
        <sz val="8"/>
        <rFont val="Times New Roman"/>
        <family val="1"/>
      </rPr>
      <t xml:space="preserve"> </t>
    </r>
    <r>
      <rPr>
        <sz val="8"/>
        <rFont val="Cambria"/>
        <family val="1"/>
      </rPr>
      <t>Drainage</t>
    </r>
    <r>
      <rPr>
        <sz val="8"/>
        <rFont val="Times New Roman"/>
        <family val="1"/>
      </rPr>
      <t xml:space="preserve">  </t>
    </r>
    <r>
      <rPr>
        <sz val="8"/>
        <rFont val="Cambria"/>
        <family val="1"/>
      </rPr>
      <t>system</t>
    </r>
    <r>
      <rPr>
        <sz val="8"/>
        <rFont val="Times New Roman"/>
        <family val="1"/>
      </rPr>
      <t xml:space="preserve">  </t>
    </r>
    <r>
      <rPr>
        <sz val="8"/>
        <rFont val="Cambria"/>
        <family val="1"/>
      </rPr>
      <t>including</t>
    </r>
    <r>
      <rPr>
        <sz val="8"/>
        <rFont val="Times New Roman"/>
        <family val="1"/>
      </rPr>
      <t xml:space="preserve"> </t>
    </r>
    <r>
      <rPr>
        <sz val="8"/>
        <rFont val="Cambria"/>
        <family val="1"/>
      </rPr>
      <t>cost</t>
    </r>
    <r>
      <rPr>
        <sz val="8"/>
        <rFont val="Times New Roman"/>
        <family val="1"/>
      </rPr>
      <t xml:space="preserve"> </t>
    </r>
    <r>
      <rPr>
        <sz val="8"/>
        <rFont val="Cambria"/>
        <family val="1"/>
      </rPr>
      <t>of</t>
    </r>
    <r>
      <rPr>
        <sz val="8"/>
        <rFont val="Times New Roman"/>
        <family val="1"/>
      </rPr>
      <t xml:space="preserve"> </t>
    </r>
    <r>
      <rPr>
        <sz val="8"/>
        <rFont val="Cambria"/>
        <family val="1"/>
      </rPr>
      <t>Pipes,</t>
    </r>
    <r>
      <rPr>
        <sz val="8"/>
        <rFont val="Times New Roman"/>
        <family val="1"/>
      </rPr>
      <t xml:space="preserve"> </t>
    </r>
    <r>
      <rPr>
        <sz val="8"/>
        <rFont val="Cambria"/>
        <family val="1"/>
      </rPr>
      <t>Khurra,</t>
    </r>
    <r>
      <rPr>
        <sz val="8"/>
        <rFont val="Times New Roman"/>
        <family val="1"/>
      </rPr>
      <t xml:space="preserve"> </t>
    </r>
    <r>
      <rPr>
        <sz val="8"/>
        <rFont val="Cambria"/>
        <family val="1"/>
      </rPr>
      <t>Plumbing</t>
    </r>
    <r>
      <rPr>
        <sz val="8"/>
        <rFont val="Times New Roman"/>
        <family val="1"/>
      </rPr>
      <t xml:space="preserve"> </t>
    </r>
    <r>
      <rPr>
        <sz val="8"/>
        <rFont val="Cambria"/>
        <family val="1"/>
      </rPr>
      <t>Fixture</t>
    </r>
    <r>
      <rPr>
        <sz val="8"/>
        <rFont val="Times New Roman"/>
        <family val="1"/>
      </rPr>
      <t xml:space="preserve"> </t>
    </r>
    <r>
      <rPr>
        <sz val="8"/>
        <rFont val="Cambria"/>
        <family val="1"/>
      </rPr>
      <t>of</t>
    </r>
    <r>
      <rPr>
        <sz val="8"/>
        <rFont val="Times New Roman"/>
        <family val="1"/>
      </rPr>
      <t xml:space="preserve"> </t>
    </r>
    <r>
      <rPr>
        <sz val="8"/>
        <rFont val="Cambria"/>
        <family val="1"/>
      </rPr>
      <t>Jaquar</t>
    </r>
    <r>
      <rPr>
        <sz val="8"/>
        <rFont val="Times New Roman"/>
        <family val="1"/>
      </rPr>
      <t xml:space="preserve"> </t>
    </r>
    <r>
      <rPr>
        <sz val="8"/>
        <rFont val="Cambria"/>
        <family val="1"/>
      </rPr>
      <t>,Rigid</t>
    </r>
    <r>
      <rPr>
        <sz val="8"/>
        <rFont val="Times New Roman"/>
        <family val="1"/>
      </rPr>
      <t xml:space="preserve"> </t>
    </r>
    <r>
      <rPr>
        <sz val="8"/>
        <rFont val="Cambria"/>
        <family val="1"/>
      </rPr>
      <t>PVC</t>
    </r>
    <r>
      <rPr>
        <sz val="8"/>
        <rFont val="Times New Roman"/>
        <family val="1"/>
      </rPr>
      <t xml:space="preserve"> </t>
    </r>
    <r>
      <rPr>
        <sz val="8"/>
        <rFont val="Cambria"/>
        <family val="1"/>
      </rPr>
      <t>Drainage</t>
    </r>
    <r>
      <rPr>
        <sz val="8"/>
        <rFont val="Times New Roman"/>
        <family val="1"/>
      </rPr>
      <t xml:space="preserve"> </t>
    </r>
    <r>
      <rPr>
        <sz val="8"/>
        <rFont val="Cambria"/>
        <family val="1"/>
      </rPr>
      <t>pipes</t>
    </r>
    <r>
      <rPr>
        <sz val="8"/>
        <rFont val="Times New Roman"/>
        <family val="1"/>
      </rPr>
      <t xml:space="preserve"> </t>
    </r>
    <r>
      <rPr>
        <sz val="8"/>
        <rFont val="Cambria"/>
        <family val="1"/>
      </rPr>
      <t>,Cost</t>
    </r>
    <r>
      <rPr>
        <sz val="8"/>
        <rFont val="Times New Roman"/>
        <family val="1"/>
      </rPr>
      <t xml:space="preserve"> </t>
    </r>
    <r>
      <rPr>
        <sz val="8"/>
        <rFont val="Cambria"/>
        <family val="1"/>
      </rPr>
      <t>of</t>
    </r>
    <r>
      <rPr>
        <sz val="8"/>
        <rFont val="Times New Roman"/>
        <family val="1"/>
      </rPr>
      <t xml:space="preserve"> </t>
    </r>
    <r>
      <rPr>
        <sz val="8"/>
        <rFont val="Cambria"/>
        <family val="1"/>
      </rPr>
      <t>Sanitary</t>
    </r>
    <r>
      <rPr>
        <sz val="8"/>
        <rFont val="Times New Roman"/>
        <family val="1"/>
      </rPr>
      <t xml:space="preserve"> </t>
    </r>
    <r>
      <rPr>
        <sz val="8"/>
        <rFont val="Cambria"/>
        <family val="1"/>
      </rPr>
      <t>Fixtures,</t>
    </r>
    <r>
      <rPr>
        <sz val="8"/>
        <rFont val="Times New Roman"/>
        <family val="1"/>
      </rPr>
      <t xml:space="preserve"> </t>
    </r>
    <r>
      <rPr>
        <sz val="8"/>
        <rFont val="Cambria"/>
        <family val="1"/>
      </rPr>
      <t>Pump</t>
    </r>
    <r>
      <rPr>
        <sz val="8"/>
        <rFont val="Times New Roman"/>
        <family val="1"/>
      </rPr>
      <t xml:space="preserve"> </t>
    </r>
    <r>
      <rPr>
        <sz val="8"/>
        <rFont val="Cambria"/>
        <family val="1"/>
      </rPr>
      <t>Room</t>
    </r>
    <r>
      <rPr>
        <sz val="8"/>
        <rFont val="Times New Roman"/>
        <family val="1"/>
      </rPr>
      <t xml:space="preserve"> </t>
    </r>
    <r>
      <rPr>
        <sz val="8"/>
        <rFont val="Cambria"/>
        <family val="1"/>
      </rPr>
      <t>,</t>
    </r>
    <r>
      <rPr>
        <sz val="8"/>
        <rFont val="Times New Roman"/>
        <family val="1"/>
      </rPr>
      <t xml:space="preserve"> </t>
    </r>
    <r>
      <rPr>
        <sz val="8"/>
        <rFont val="Cambria"/>
        <family val="1"/>
      </rPr>
      <t>Rain</t>
    </r>
    <r>
      <rPr>
        <sz val="8"/>
        <rFont val="Times New Roman"/>
        <family val="1"/>
      </rPr>
      <t xml:space="preserve"> </t>
    </r>
    <r>
      <rPr>
        <sz val="8"/>
        <rFont val="Cambria"/>
        <family val="1"/>
      </rPr>
      <t xml:space="preserve">water
</t>
    </r>
    <r>
      <rPr>
        <sz val="8"/>
        <rFont val="Cambria"/>
        <family val="1"/>
      </rPr>
      <t>harvesting</t>
    </r>
    <r>
      <rPr>
        <sz val="8"/>
        <rFont val="Times New Roman"/>
        <family val="1"/>
      </rPr>
      <t xml:space="preserve"> </t>
    </r>
    <r>
      <rPr>
        <sz val="8"/>
        <rFont val="Cambria"/>
        <family val="1"/>
      </rPr>
      <t>pit</t>
    </r>
    <r>
      <rPr>
        <sz val="8"/>
        <rFont val="Times New Roman"/>
        <family val="1"/>
      </rPr>
      <t xml:space="preserve"> </t>
    </r>
    <r>
      <rPr>
        <sz val="8"/>
        <rFont val="Cambria"/>
        <family val="1"/>
      </rPr>
      <t>and</t>
    </r>
    <r>
      <rPr>
        <sz val="8"/>
        <rFont val="Times New Roman"/>
        <family val="1"/>
      </rPr>
      <t xml:space="preserve"> </t>
    </r>
    <r>
      <rPr>
        <sz val="8"/>
        <rFont val="Cambria"/>
        <family val="1"/>
      </rPr>
      <t>related</t>
    </r>
    <r>
      <rPr>
        <sz val="8"/>
        <rFont val="Times New Roman"/>
        <family val="1"/>
      </rPr>
      <t xml:space="preserve"> </t>
    </r>
    <r>
      <rPr>
        <sz val="8"/>
        <rFont val="Cambria"/>
        <family val="1"/>
      </rPr>
      <t>linees,</t>
    </r>
    <r>
      <rPr>
        <sz val="8"/>
        <rFont val="Times New Roman"/>
        <family val="1"/>
      </rPr>
      <t xml:space="preserve"> </t>
    </r>
    <r>
      <rPr>
        <sz val="8"/>
        <rFont val="Cambria"/>
        <family val="1"/>
      </rPr>
      <t>cost</t>
    </r>
    <r>
      <rPr>
        <sz val="8"/>
        <rFont val="Times New Roman"/>
        <family val="1"/>
      </rPr>
      <t xml:space="preserve"> </t>
    </r>
    <r>
      <rPr>
        <sz val="8"/>
        <rFont val="Cambria"/>
        <family val="1"/>
      </rPr>
      <t>chambers</t>
    </r>
    <r>
      <rPr>
        <sz val="8"/>
        <rFont val="Times New Roman"/>
        <family val="1"/>
      </rPr>
      <t xml:space="preserve"> </t>
    </r>
    <r>
      <rPr>
        <sz val="8"/>
        <rFont val="Cambria"/>
        <family val="1"/>
      </rPr>
      <t>and</t>
    </r>
    <r>
      <rPr>
        <sz val="8"/>
        <rFont val="Times New Roman"/>
        <family val="1"/>
      </rPr>
      <t xml:space="preserve"> </t>
    </r>
    <r>
      <rPr>
        <sz val="8"/>
        <rFont val="Cambria"/>
        <family val="1"/>
      </rPr>
      <t>manholes</t>
    </r>
  </si>
  <si>
    <r>
      <rPr>
        <sz val="8"/>
        <rFont val="Cambria"/>
        <family val="1"/>
      </rPr>
      <t>Per</t>
    </r>
    <r>
      <rPr>
        <sz val="8"/>
        <rFont val="Times New Roman"/>
        <family val="1"/>
      </rPr>
      <t xml:space="preserve"> </t>
    </r>
    <r>
      <rPr>
        <sz val="8"/>
        <rFont val="Cambria"/>
        <family val="1"/>
      </rPr>
      <t>Sqft</t>
    </r>
  </si>
  <si>
    <r>
      <rPr>
        <sz val="8"/>
        <rFont val="Cambria"/>
        <family val="1"/>
      </rPr>
      <t>Making</t>
    </r>
    <r>
      <rPr>
        <sz val="8"/>
        <rFont val="Times New Roman"/>
        <family val="1"/>
      </rPr>
      <t xml:space="preserve"> </t>
    </r>
    <r>
      <rPr>
        <sz val="8"/>
        <rFont val="Cambria"/>
        <family val="1"/>
      </rPr>
      <t>of</t>
    </r>
    <r>
      <rPr>
        <sz val="8"/>
        <rFont val="Times New Roman"/>
        <family val="1"/>
      </rPr>
      <t xml:space="preserve"> </t>
    </r>
    <r>
      <rPr>
        <sz val="8"/>
        <rFont val="Cambria"/>
        <family val="1"/>
      </rPr>
      <t>RAIN</t>
    </r>
    <r>
      <rPr>
        <sz val="8"/>
        <rFont val="Times New Roman"/>
        <family val="1"/>
      </rPr>
      <t xml:space="preserve"> </t>
    </r>
    <r>
      <rPr>
        <sz val="8"/>
        <rFont val="Cambria"/>
        <family val="1"/>
      </rPr>
      <t>WATER</t>
    </r>
    <r>
      <rPr>
        <sz val="8"/>
        <rFont val="Times New Roman"/>
        <family val="1"/>
      </rPr>
      <t xml:space="preserve"> </t>
    </r>
    <r>
      <rPr>
        <sz val="8"/>
        <rFont val="Cambria"/>
        <family val="1"/>
      </rPr>
      <t>Harvesting</t>
    </r>
    <r>
      <rPr>
        <sz val="8"/>
        <rFont val="Times New Roman"/>
        <family val="1"/>
      </rPr>
      <t xml:space="preserve"> </t>
    </r>
    <r>
      <rPr>
        <sz val="8"/>
        <rFont val="Cambria"/>
        <family val="1"/>
      </rPr>
      <t>Structure</t>
    </r>
    <r>
      <rPr>
        <sz val="8"/>
        <rFont val="Times New Roman"/>
        <family val="1"/>
      </rPr>
      <t xml:space="preserve">  </t>
    </r>
    <r>
      <rPr>
        <sz val="8"/>
        <rFont val="Cambria"/>
        <family val="1"/>
      </rPr>
      <t>complete</t>
    </r>
    <r>
      <rPr>
        <sz val="8"/>
        <rFont val="Times New Roman"/>
        <family val="1"/>
      </rPr>
      <t xml:space="preserve"> </t>
    </r>
    <r>
      <rPr>
        <sz val="8"/>
        <rFont val="Cambria"/>
        <family val="1"/>
      </rPr>
      <t>with</t>
    </r>
    <r>
      <rPr>
        <sz val="8"/>
        <rFont val="Times New Roman"/>
        <family val="1"/>
      </rPr>
      <t xml:space="preserve"> </t>
    </r>
    <r>
      <rPr>
        <sz val="8"/>
        <rFont val="Cambria"/>
        <family val="1"/>
      </rPr>
      <t>Boring/</t>
    </r>
    <r>
      <rPr>
        <sz val="8"/>
        <rFont val="Times New Roman"/>
        <family val="1"/>
      </rPr>
      <t xml:space="preserve"> </t>
    </r>
    <r>
      <rPr>
        <sz val="8"/>
        <rFont val="Cambria"/>
        <family val="1"/>
      </rPr>
      <t>vent</t>
    </r>
    <r>
      <rPr>
        <sz val="8"/>
        <rFont val="Times New Roman"/>
        <family val="1"/>
      </rPr>
      <t xml:space="preserve"> </t>
    </r>
    <r>
      <rPr>
        <sz val="8"/>
        <rFont val="Cambria"/>
        <family val="1"/>
      </rPr>
      <t>pipe</t>
    </r>
    <r>
      <rPr>
        <sz val="8"/>
        <rFont val="Times New Roman"/>
        <family val="1"/>
      </rPr>
      <t xml:space="preserve"> </t>
    </r>
    <r>
      <rPr>
        <sz val="8"/>
        <rFont val="Cambria"/>
        <family val="1"/>
      </rPr>
      <t>as</t>
    </r>
    <r>
      <rPr>
        <sz val="8"/>
        <rFont val="Times New Roman"/>
        <family val="1"/>
      </rPr>
      <t xml:space="preserve"> </t>
    </r>
    <r>
      <rPr>
        <sz val="8"/>
        <rFont val="Cambria"/>
        <family val="1"/>
      </rPr>
      <t xml:space="preserve">per
</t>
    </r>
    <r>
      <rPr>
        <sz val="8"/>
        <rFont val="Cambria"/>
        <family val="1"/>
      </rPr>
      <t>site,filter</t>
    </r>
    <r>
      <rPr>
        <sz val="8"/>
        <rFont val="Times New Roman"/>
        <family val="1"/>
      </rPr>
      <t xml:space="preserve"> </t>
    </r>
    <r>
      <rPr>
        <sz val="8"/>
        <rFont val="Cambria"/>
        <family val="1"/>
      </rPr>
      <t>media</t>
    </r>
    <r>
      <rPr>
        <sz val="8"/>
        <rFont val="Times New Roman"/>
        <family val="1"/>
      </rPr>
      <t xml:space="preserve"> </t>
    </r>
    <r>
      <rPr>
        <sz val="8"/>
        <rFont val="Cambria"/>
        <family val="1"/>
      </rPr>
      <t>etc.</t>
    </r>
  </si>
  <si>
    <r>
      <rPr>
        <sz val="8"/>
        <rFont val="Cambria"/>
        <family val="1"/>
      </rPr>
      <t>Supply</t>
    </r>
    <r>
      <rPr>
        <sz val="8"/>
        <rFont val="Times New Roman"/>
        <family val="1"/>
      </rPr>
      <t xml:space="preserve"> </t>
    </r>
    <r>
      <rPr>
        <sz val="8"/>
        <rFont val="Cambria"/>
        <family val="1"/>
      </rPr>
      <t>,installation,</t>
    </r>
    <r>
      <rPr>
        <sz val="8"/>
        <rFont val="Times New Roman"/>
        <family val="1"/>
      </rPr>
      <t xml:space="preserve"> </t>
    </r>
    <r>
      <rPr>
        <sz val="8"/>
        <rFont val="Cambria"/>
        <family val="1"/>
      </rPr>
      <t>Testing</t>
    </r>
    <r>
      <rPr>
        <sz val="8"/>
        <rFont val="Times New Roman"/>
        <family val="1"/>
      </rPr>
      <t xml:space="preserve"> </t>
    </r>
    <r>
      <rPr>
        <sz val="8"/>
        <rFont val="Cambria"/>
        <family val="1"/>
      </rPr>
      <t>comissioning</t>
    </r>
    <r>
      <rPr>
        <sz val="8"/>
        <rFont val="Times New Roman"/>
        <family val="1"/>
      </rPr>
      <t xml:space="preserve"> </t>
    </r>
    <r>
      <rPr>
        <sz val="8"/>
        <rFont val="Cambria"/>
        <family val="1"/>
      </rPr>
      <t>of</t>
    </r>
    <r>
      <rPr>
        <sz val="8"/>
        <rFont val="Times New Roman"/>
        <family val="1"/>
      </rPr>
      <t xml:space="preserve">   </t>
    </r>
    <r>
      <rPr>
        <sz val="8"/>
        <rFont val="Cambria"/>
        <family val="1"/>
      </rPr>
      <t>,Heat</t>
    </r>
    <r>
      <rPr>
        <sz val="8"/>
        <rFont val="Times New Roman"/>
        <family val="1"/>
      </rPr>
      <t xml:space="preserve"> </t>
    </r>
    <r>
      <rPr>
        <sz val="8"/>
        <rFont val="Cambria"/>
        <family val="1"/>
      </rPr>
      <t>Pump.</t>
    </r>
    <r>
      <rPr>
        <sz val="8"/>
        <rFont val="Times New Roman"/>
        <family val="1"/>
      </rPr>
      <t xml:space="preserve">  </t>
    </r>
    <r>
      <rPr>
        <sz val="8"/>
        <rFont val="Cambria"/>
        <family val="1"/>
      </rPr>
      <t>Hot</t>
    </r>
    <r>
      <rPr>
        <sz val="8"/>
        <rFont val="Times New Roman"/>
        <family val="1"/>
      </rPr>
      <t xml:space="preserve"> </t>
    </r>
    <r>
      <rPr>
        <sz val="8"/>
        <rFont val="Cambria"/>
        <family val="1"/>
      </rPr>
      <t>water</t>
    </r>
    <r>
      <rPr>
        <sz val="8"/>
        <rFont val="Times New Roman"/>
        <family val="1"/>
      </rPr>
      <t xml:space="preserve"> </t>
    </r>
    <r>
      <rPr>
        <sz val="8"/>
        <rFont val="Cambria"/>
        <family val="1"/>
      </rPr>
      <t>Boiler,</t>
    </r>
    <r>
      <rPr>
        <sz val="8"/>
        <rFont val="Times New Roman"/>
        <family val="1"/>
      </rPr>
      <t xml:space="preserve">  </t>
    </r>
    <r>
      <rPr>
        <sz val="8"/>
        <rFont val="Cambria"/>
        <family val="1"/>
      </rPr>
      <t xml:space="preserve">complete
</t>
    </r>
    <r>
      <rPr>
        <sz val="8"/>
        <rFont val="Cambria"/>
        <family val="1"/>
      </rPr>
      <t>in</t>
    </r>
    <r>
      <rPr>
        <sz val="8"/>
        <rFont val="Times New Roman"/>
        <family val="1"/>
      </rPr>
      <t xml:space="preserve"> </t>
    </r>
    <r>
      <rPr>
        <sz val="8"/>
        <rFont val="Cambria"/>
        <family val="1"/>
      </rPr>
      <t>all</t>
    </r>
    <r>
      <rPr>
        <sz val="8"/>
        <rFont val="Times New Roman"/>
        <family val="1"/>
      </rPr>
      <t xml:space="preserve"> </t>
    </r>
    <r>
      <rPr>
        <sz val="8"/>
        <rFont val="Cambria"/>
        <family val="1"/>
      </rPr>
      <t>respect.</t>
    </r>
  </si>
  <si>
    <r>
      <rPr>
        <sz val="8"/>
        <rFont val="Cambria"/>
        <family val="1"/>
      </rPr>
      <t>Complete</t>
    </r>
    <r>
      <rPr>
        <sz val="8"/>
        <rFont val="Times New Roman"/>
        <family val="1"/>
      </rPr>
      <t xml:space="preserve"> </t>
    </r>
    <r>
      <rPr>
        <sz val="8"/>
        <rFont val="Cambria"/>
        <family val="1"/>
      </rPr>
      <t>Job</t>
    </r>
  </si>
  <si>
    <r>
      <rPr>
        <sz val="8"/>
        <rFont val="Cambria"/>
        <family val="1"/>
      </rPr>
      <t>Supply</t>
    </r>
    <r>
      <rPr>
        <sz val="8"/>
        <rFont val="Times New Roman"/>
        <family val="1"/>
      </rPr>
      <t xml:space="preserve"> </t>
    </r>
    <r>
      <rPr>
        <sz val="8"/>
        <rFont val="Cambria"/>
        <family val="1"/>
      </rPr>
      <t>,installation,</t>
    </r>
    <r>
      <rPr>
        <sz val="8"/>
        <rFont val="Times New Roman"/>
        <family val="1"/>
      </rPr>
      <t xml:space="preserve"> </t>
    </r>
    <r>
      <rPr>
        <sz val="8"/>
        <rFont val="Cambria"/>
        <family val="1"/>
      </rPr>
      <t>Testing</t>
    </r>
    <r>
      <rPr>
        <sz val="8"/>
        <rFont val="Times New Roman"/>
        <family val="1"/>
      </rPr>
      <t xml:space="preserve"> </t>
    </r>
    <r>
      <rPr>
        <sz val="8"/>
        <rFont val="Cambria"/>
        <family val="1"/>
      </rPr>
      <t>comissioning</t>
    </r>
    <r>
      <rPr>
        <sz val="8"/>
        <rFont val="Times New Roman"/>
        <family val="1"/>
      </rPr>
      <t xml:space="preserve"> </t>
    </r>
    <r>
      <rPr>
        <sz val="8"/>
        <rFont val="Cambria"/>
        <family val="1"/>
      </rPr>
      <t>of</t>
    </r>
    <r>
      <rPr>
        <sz val="8"/>
        <rFont val="Times New Roman"/>
        <family val="1"/>
      </rPr>
      <t xml:space="preserve">  </t>
    </r>
    <r>
      <rPr>
        <sz val="8"/>
        <rFont val="Cambria"/>
        <family val="1"/>
      </rPr>
      <t>Tube</t>
    </r>
    <r>
      <rPr>
        <sz val="8"/>
        <rFont val="Times New Roman"/>
        <family val="1"/>
      </rPr>
      <t xml:space="preserve"> </t>
    </r>
    <r>
      <rPr>
        <sz val="8"/>
        <rFont val="Cambria"/>
        <family val="1"/>
      </rPr>
      <t>well</t>
    </r>
    <r>
      <rPr>
        <sz val="8"/>
        <rFont val="Times New Roman"/>
        <family val="1"/>
      </rPr>
      <t xml:space="preserve"> </t>
    </r>
    <r>
      <rPr>
        <sz val="8"/>
        <rFont val="Cambria"/>
        <family val="1"/>
      </rPr>
      <t>&amp;</t>
    </r>
    <r>
      <rPr>
        <sz val="8"/>
        <rFont val="Times New Roman"/>
        <family val="1"/>
      </rPr>
      <t xml:space="preserve"> </t>
    </r>
    <r>
      <rPr>
        <sz val="8"/>
        <rFont val="Cambria"/>
        <family val="1"/>
      </rPr>
      <t>raw</t>
    </r>
    <r>
      <rPr>
        <sz val="8"/>
        <rFont val="Times New Roman"/>
        <family val="1"/>
      </rPr>
      <t xml:space="preserve"> </t>
    </r>
    <r>
      <rPr>
        <sz val="8"/>
        <rFont val="Cambria"/>
        <family val="1"/>
      </rPr>
      <t>water</t>
    </r>
    <r>
      <rPr>
        <sz val="8"/>
        <rFont val="Times New Roman"/>
        <family val="1"/>
      </rPr>
      <t xml:space="preserve"> </t>
    </r>
    <r>
      <rPr>
        <sz val="8"/>
        <rFont val="Cambria"/>
        <family val="1"/>
      </rPr>
      <t>pump</t>
    </r>
    <r>
      <rPr>
        <sz val="8"/>
        <rFont val="Times New Roman"/>
        <family val="1"/>
      </rPr>
      <t xml:space="preserve"> </t>
    </r>
    <r>
      <rPr>
        <sz val="8"/>
        <rFont val="Cambria"/>
        <family val="1"/>
      </rPr>
      <t>,</t>
    </r>
    <r>
      <rPr>
        <sz val="8"/>
        <rFont val="Times New Roman"/>
        <family val="1"/>
      </rPr>
      <t xml:space="preserve"> </t>
    </r>
    <r>
      <rPr>
        <sz val="8"/>
        <rFont val="Cambria"/>
        <family val="1"/>
      </rPr>
      <t>soft</t>
    </r>
    <r>
      <rPr>
        <sz val="8"/>
        <rFont val="Times New Roman"/>
        <family val="1"/>
      </rPr>
      <t xml:space="preserve"> </t>
    </r>
    <r>
      <rPr>
        <sz val="8"/>
        <rFont val="Cambria"/>
        <family val="1"/>
      </rPr>
      <t xml:space="preserve">water
</t>
    </r>
    <r>
      <rPr>
        <sz val="8"/>
        <rFont val="Cambria"/>
        <family val="1"/>
      </rPr>
      <t>pump/</t>
    </r>
    <r>
      <rPr>
        <sz val="8"/>
        <rFont val="Times New Roman"/>
        <family val="1"/>
      </rPr>
      <t xml:space="preserve"> </t>
    </r>
    <r>
      <rPr>
        <sz val="8"/>
        <rFont val="Cambria"/>
        <family val="1"/>
      </rPr>
      <t>sump</t>
    </r>
    <r>
      <rPr>
        <sz val="8"/>
        <rFont val="Times New Roman"/>
        <family val="1"/>
      </rPr>
      <t xml:space="preserve"> </t>
    </r>
    <r>
      <rPr>
        <sz val="8"/>
        <rFont val="Cambria"/>
        <family val="1"/>
      </rPr>
      <t>pump</t>
    </r>
    <r>
      <rPr>
        <sz val="8"/>
        <rFont val="Times New Roman"/>
        <family val="1"/>
      </rPr>
      <t xml:space="preserve"> </t>
    </r>
    <r>
      <rPr>
        <sz val="8"/>
        <rFont val="Cambria"/>
        <family val="1"/>
      </rPr>
      <t>including</t>
    </r>
    <r>
      <rPr>
        <sz val="8"/>
        <rFont val="Times New Roman"/>
        <family val="1"/>
      </rPr>
      <t xml:space="preserve"> </t>
    </r>
    <r>
      <rPr>
        <sz val="8"/>
        <rFont val="Cambria"/>
        <family val="1"/>
      </rPr>
      <t>suitable</t>
    </r>
    <r>
      <rPr>
        <sz val="8"/>
        <rFont val="Times New Roman"/>
        <family val="1"/>
      </rPr>
      <t xml:space="preserve"> </t>
    </r>
    <r>
      <rPr>
        <sz val="8"/>
        <rFont val="Cambria"/>
        <family val="1"/>
      </rPr>
      <t>soft</t>
    </r>
    <r>
      <rPr>
        <sz val="8"/>
        <rFont val="Times New Roman"/>
        <family val="1"/>
      </rPr>
      <t xml:space="preserve"> </t>
    </r>
    <r>
      <rPr>
        <sz val="8"/>
        <rFont val="Cambria"/>
        <family val="1"/>
      </rPr>
      <t>starter</t>
    </r>
    <r>
      <rPr>
        <sz val="8"/>
        <rFont val="Times New Roman"/>
        <family val="1"/>
      </rPr>
      <t xml:space="preserve"> </t>
    </r>
    <r>
      <rPr>
        <sz val="8"/>
        <rFont val="Cambria"/>
        <family val="1"/>
      </rPr>
      <t>etc.</t>
    </r>
    <r>
      <rPr>
        <sz val="8"/>
        <rFont val="Times New Roman"/>
        <family val="1"/>
      </rPr>
      <t xml:space="preserve"> </t>
    </r>
    <r>
      <rPr>
        <sz val="8"/>
        <rFont val="Cambria"/>
        <family val="1"/>
      </rPr>
      <t>as</t>
    </r>
    <r>
      <rPr>
        <sz val="8"/>
        <rFont val="Times New Roman"/>
        <family val="1"/>
      </rPr>
      <t xml:space="preserve"> </t>
    </r>
    <r>
      <rPr>
        <sz val="8"/>
        <rFont val="Cambria"/>
        <family val="1"/>
      </rPr>
      <t>per</t>
    </r>
    <r>
      <rPr>
        <sz val="8"/>
        <rFont val="Times New Roman"/>
        <family val="1"/>
      </rPr>
      <t xml:space="preserve"> </t>
    </r>
    <r>
      <rPr>
        <sz val="8"/>
        <rFont val="Cambria"/>
        <family val="1"/>
      </rPr>
      <t>requirment.</t>
    </r>
  </si>
  <si>
    <r>
      <rPr>
        <sz val="8"/>
        <rFont val="Cambria"/>
        <family val="1"/>
      </rPr>
      <t>Supply</t>
    </r>
    <r>
      <rPr>
        <sz val="8"/>
        <rFont val="Times New Roman"/>
        <family val="1"/>
      </rPr>
      <t xml:space="preserve">  </t>
    </r>
    <r>
      <rPr>
        <sz val="8"/>
        <rFont val="Cambria"/>
        <family val="1"/>
      </rPr>
      <t>,installation,</t>
    </r>
    <r>
      <rPr>
        <sz val="8"/>
        <rFont val="Times New Roman"/>
        <family val="1"/>
      </rPr>
      <t xml:space="preserve">  </t>
    </r>
    <r>
      <rPr>
        <sz val="8"/>
        <rFont val="Cambria"/>
        <family val="1"/>
      </rPr>
      <t>Testing</t>
    </r>
    <r>
      <rPr>
        <sz val="8"/>
        <rFont val="Times New Roman"/>
        <family val="1"/>
      </rPr>
      <t xml:space="preserve">  </t>
    </r>
    <r>
      <rPr>
        <sz val="8"/>
        <rFont val="Cambria"/>
        <family val="1"/>
      </rPr>
      <t>comissioning</t>
    </r>
    <r>
      <rPr>
        <sz val="8"/>
        <rFont val="Times New Roman"/>
        <family val="1"/>
      </rPr>
      <t xml:space="preserve">  </t>
    </r>
    <r>
      <rPr>
        <sz val="8"/>
        <rFont val="Cambria"/>
        <family val="1"/>
      </rPr>
      <t>of</t>
    </r>
    <r>
      <rPr>
        <sz val="8"/>
        <rFont val="Times New Roman"/>
        <family val="1"/>
      </rPr>
      <t xml:space="preserve">   </t>
    </r>
    <r>
      <rPr>
        <sz val="8"/>
        <rFont val="Cambria"/>
        <family val="1"/>
      </rPr>
      <t>Pump</t>
    </r>
    <r>
      <rPr>
        <sz val="8"/>
        <rFont val="Times New Roman"/>
        <family val="1"/>
      </rPr>
      <t xml:space="preserve">  </t>
    </r>
    <r>
      <rPr>
        <sz val="8"/>
        <rFont val="Cambria"/>
        <family val="1"/>
      </rPr>
      <t>room</t>
    </r>
    <r>
      <rPr>
        <sz val="8"/>
        <rFont val="Times New Roman"/>
        <family val="1"/>
      </rPr>
      <t xml:space="preserve">  </t>
    </r>
    <r>
      <rPr>
        <sz val="8"/>
        <rFont val="Cambria"/>
        <family val="1"/>
      </rPr>
      <t>equipment</t>
    </r>
    <r>
      <rPr>
        <sz val="8"/>
        <rFont val="Times New Roman"/>
        <family val="1"/>
      </rPr>
      <t xml:space="preserve">  </t>
    </r>
    <r>
      <rPr>
        <sz val="8"/>
        <rFont val="Cambria"/>
        <family val="1"/>
      </rPr>
      <t>like</t>
    </r>
    <r>
      <rPr>
        <sz val="8"/>
        <rFont val="Times New Roman"/>
        <family val="1"/>
      </rPr>
      <t xml:space="preserve">    </t>
    </r>
    <r>
      <rPr>
        <sz val="8"/>
        <rFont val="Cambria"/>
        <family val="1"/>
      </rPr>
      <t xml:space="preserve">filter
</t>
    </r>
    <r>
      <rPr>
        <sz val="8"/>
        <rFont val="Cambria"/>
        <family val="1"/>
      </rPr>
      <t>softner/</t>
    </r>
    <r>
      <rPr>
        <sz val="8"/>
        <rFont val="Times New Roman"/>
        <family val="1"/>
      </rPr>
      <t xml:space="preserve"> </t>
    </r>
    <r>
      <rPr>
        <sz val="8"/>
        <rFont val="Cambria"/>
        <family val="1"/>
      </rPr>
      <t>RO</t>
    </r>
    <r>
      <rPr>
        <sz val="8"/>
        <rFont val="Times New Roman"/>
        <family val="1"/>
      </rPr>
      <t xml:space="preserve"> </t>
    </r>
    <r>
      <rPr>
        <sz val="8"/>
        <rFont val="Cambria"/>
        <family val="1"/>
      </rPr>
      <t>plant/</t>
    </r>
    <r>
      <rPr>
        <sz val="8"/>
        <rFont val="Times New Roman"/>
        <family val="1"/>
      </rPr>
      <t xml:space="preserve"> </t>
    </r>
    <r>
      <rPr>
        <sz val="8"/>
        <rFont val="Cambria"/>
        <family val="1"/>
      </rPr>
      <t>With</t>
    </r>
    <r>
      <rPr>
        <sz val="8"/>
        <rFont val="Times New Roman"/>
        <family val="1"/>
      </rPr>
      <t xml:space="preserve"> </t>
    </r>
    <r>
      <rPr>
        <sz val="8"/>
        <rFont val="Cambria"/>
        <family val="1"/>
      </rPr>
      <t>required</t>
    </r>
    <r>
      <rPr>
        <sz val="8"/>
        <rFont val="Times New Roman"/>
        <family val="1"/>
      </rPr>
      <t xml:space="preserve"> </t>
    </r>
    <r>
      <rPr>
        <sz val="8"/>
        <rFont val="Cambria"/>
        <family val="1"/>
      </rPr>
      <t>Pump</t>
    </r>
    <r>
      <rPr>
        <sz val="8"/>
        <rFont val="Times New Roman"/>
        <family val="1"/>
      </rPr>
      <t xml:space="preserve"> </t>
    </r>
    <r>
      <rPr>
        <sz val="8"/>
        <rFont val="Cambria"/>
        <family val="1"/>
      </rPr>
      <t>room</t>
    </r>
    <r>
      <rPr>
        <sz val="8"/>
        <rFont val="Times New Roman"/>
        <family val="1"/>
      </rPr>
      <t xml:space="preserve">  </t>
    </r>
    <r>
      <rPr>
        <sz val="8"/>
        <rFont val="Cambria"/>
        <family val="1"/>
      </rPr>
      <t>etc.</t>
    </r>
    <r>
      <rPr>
        <sz val="8"/>
        <rFont val="Times New Roman"/>
        <family val="1"/>
      </rPr>
      <t xml:space="preserve"> </t>
    </r>
    <r>
      <rPr>
        <sz val="8"/>
        <rFont val="Cambria"/>
        <family val="1"/>
      </rPr>
      <t>as</t>
    </r>
    <r>
      <rPr>
        <sz val="8"/>
        <rFont val="Times New Roman"/>
        <family val="1"/>
      </rPr>
      <t xml:space="preserve"> </t>
    </r>
    <r>
      <rPr>
        <sz val="8"/>
        <rFont val="Cambria"/>
        <family val="1"/>
      </rPr>
      <t>per</t>
    </r>
    <r>
      <rPr>
        <sz val="8"/>
        <rFont val="Times New Roman"/>
        <family val="1"/>
      </rPr>
      <t xml:space="preserve"> </t>
    </r>
    <r>
      <rPr>
        <sz val="8"/>
        <rFont val="Cambria"/>
        <family val="1"/>
      </rPr>
      <t>requirment.</t>
    </r>
  </si>
  <si>
    <r>
      <rPr>
        <sz val="8"/>
        <rFont val="Cambria"/>
        <family val="1"/>
      </rPr>
      <t>Construction</t>
    </r>
    <r>
      <rPr>
        <sz val="8"/>
        <rFont val="Times New Roman"/>
        <family val="1"/>
      </rPr>
      <t xml:space="preserve"> </t>
    </r>
    <r>
      <rPr>
        <sz val="8"/>
        <rFont val="Cambria"/>
        <family val="1"/>
      </rPr>
      <t>and</t>
    </r>
    <r>
      <rPr>
        <sz val="8"/>
        <rFont val="Times New Roman"/>
        <family val="1"/>
      </rPr>
      <t xml:space="preserve"> </t>
    </r>
    <r>
      <rPr>
        <sz val="8"/>
        <rFont val="Cambria"/>
        <family val="1"/>
      </rPr>
      <t>making</t>
    </r>
    <r>
      <rPr>
        <sz val="8"/>
        <rFont val="Times New Roman"/>
        <family val="1"/>
      </rPr>
      <t xml:space="preserve"> </t>
    </r>
    <r>
      <rPr>
        <sz val="8"/>
        <rFont val="Cambria"/>
        <family val="1"/>
      </rPr>
      <t>of</t>
    </r>
    <r>
      <rPr>
        <sz val="8"/>
        <rFont val="Times New Roman"/>
        <family val="1"/>
      </rPr>
      <t xml:space="preserve">  </t>
    </r>
    <r>
      <rPr>
        <b/>
        <sz val="8"/>
        <rFont val="Cambria"/>
        <family val="1"/>
      </rPr>
      <t>UG</t>
    </r>
    <r>
      <rPr>
        <sz val="8"/>
        <rFont val="Times New Roman"/>
        <family val="1"/>
      </rPr>
      <t xml:space="preserve"> </t>
    </r>
    <r>
      <rPr>
        <b/>
        <sz val="8"/>
        <rFont val="Cambria"/>
        <family val="1"/>
      </rPr>
      <t>&amp;</t>
    </r>
    <r>
      <rPr>
        <sz val="8"/>
        <rFont val="Times New Roman"/>
        <family val="1"/>
      </rPr>
      <t xml:space="preserve"> </t>
    </r>
    <r>
      <rPr>
        <b/>
        <sz val="8"/>
        <rFont val="Cambria"/>
        <family val="1"/>
      </rPr>
      <t>OH</t>
    </r>
    <r>
      <rPr>
        <sz val="8"/>
        <rFont val="Times New Roman"/>
        <family val="1"/>
      </rPr>
      <t xml:space="preserve"> </t>
    </r>
    <r>
      <rPr>
        <b/>
        <sz val="8"/>
        <rFont val="Cambria"/>
        <family val="1"/>
      </rPr>
      <t>Water</t>
    </r>
    <r>
      <rPr>
        <sz val="8"/>
        <rFont val="Times New Roman"/>
        <family val="1"/>
      </rPr>
      <t xml:space="preserve"> </t>
    </r>
    <r>
      <rPr>
        <b/>
        <sz val="8"/>
        <rFont val="Cambria"/>
        <family val="1"/>
      </rPr>
      <t>Tank</t>
    </r>
    <r>
      <rPr>
        <sz val="8"/>
        <rFont val="Times New Roman"/>
        <family val="1"/>
      </rPr>
      <t xml:space="preserve"> </t>
    </r>
    <r>
      <rPr>
        <sz val="8"/>
        <rFont val="Cambria"/>
        <family val="1"/>
      </rPr>
      <t>including</t>
    </r>
    <r>
      <rPr>
        <sz val="8"/>
        <rFont val="Times New Roman"/>
        <family val="1"/>
      </rPr>
      <t xml:space="preserve"> </t>
    </r>
    <r>
      <rPr>
        <sz val="8"/>
        <rFont val="Cambria"/>
        <family val="1"/>
      </rPr>
      <t>all</t>
    </r>
    <r>
      <rPr>
        <sz val="8"/>
        <rFont val="Times New Roman"/>
        <family val="1"/>
      </rPr>
      <t xml:space="preserve"> </t>
    </r>
    <r>
      <rPr>
        <sz val="8"/>
        <rFont val="Cambria"/>
        <family val="1"/>
      </rPr>
      <t>puddle</t>
    </r>
    <r>
      <rPr>
        <sz val="8"/>
        <rFont val="Times New Roman"/>
        <family val="1"/>
      </rPr>
      <t xml:space="preserve"> </t>
    </r>
    <r>
      <rPr>
        <sz val="8"/>
        <rFont val="Cambria"/>
        <family val="1"/>
      </rPr>
      <t>flange</t>
    </r>
    <r>
      <rPr>
        <sz val="8"/>
        <rFont val="Times New Roman"/>
        <family val="1"/>
      </rPr>
      <t xml:space="preserve"> </t>
    </r>
    <r>
      <rPr>
        <sz val="8"/>
        <rFont val="Cambria"/>
        <family val="1"/>
      </rPr>
      <t>,</t>
    </r>
    <r>
      <rPr>
        <sz val="8"/>
        <rFont val="Times New Roman"/>
        <family val="1"/>
      </rPr>
      <t xml:space="preserve"> </t>
    </r>
    <r>
      <rPr>
        <sz val="8"/>
        <rFont val="Cambria"/>
        <family val="1"/>
      </rPr>
      <t xml:space="preserve">auto
</t>
    </r>
    <r>
      <rPr>
        <sz val="8"/>
        <rFont val="Cambria"/>
        <family val="1"/>
      </rPr>
      <t>level</t>
    </r>
    <r>
      <rPr>
        <sz val="8"/>
        <rFont val="Times New Roman"/>
        <family val="1"/>
      </rPr>
      <t xml:space="preserve"> </t>
    </r>
    <r>
      <rPr>
        <sz val="8"/>
        <rFont val="Cambria"/>
        <family val="1"/>
      </rPr>
      <t>controller</t>
    </r>
    <r>
      <rPr>
        <sz val="8"/>
        <rFont val="Times New Roman"/>
        <family val="1"/>
      </rPr>
      <t xml:space="preserve"> </t>
    </r>
    <r>
      <rPr>
        <sz val="8"/>
        <rFont val="Cambria"/>
        <family val="1"/>
      </rPr>
      <t>sleeve</t>
    </r>
    <r>
      <rPr>
        <sz val="8"/>
        <rFont val="Times New Roman"/>
        <family val="1"/>
      </rPr>
      <t xml:space="preserve"> </t>
    </r>
    <r>
      <rPr>
        <sz val="8"/>
        <rFont val="Cambria"/>
        <family val="1"/>
      </rPr>
      <t>whereas</t>
    </r>
    <r>
      <rPr>
        <sz val="8"/>
        <rFont val="Times New Roman"/>
        <family val="1"/>
      </rPr>
      <t xml:space="preserve"> </t>
    </r>
    <r>
      <rPr>
        <sz val="8"/>
        <rFont val="Cambria"/>
        <family val="1"/>
      </rPr>
      <t>required</t>
    </r>
    <r>
      <rPr>
        <sz val="8"/>
        <rFont val="Times New Roman"/>
        <family val="1"/>
      </rPr>
      <t xml:space="preserve"> </t>
    </r>
    <r>
      <rPr>
        <sz val="8"/>
        <rFont val="Cambria"/>
        <family val="1"/>
      </rPr>
      <t>.</t>
    </r>
  </si>
  <si>
    <r>
      <rPr>
        <sz val="8"/>
        <rFont val="Cambria"/>
        <family val="1"/>
      </rPr>
      <t>Per</t>
    </r>
    <r>
      <rPr>
        <sz val="8"/>
        <rFont val="Times New Roman"/>
        <family val="1"/>
      </rPr>
      <t xml:space="preserve"> </t>
    </r>
    <r>
      <rPr>
        <sz val="8"/>
        <rFont val="Cambria"/>
        <family val="1"/>
      </rPr>
      <t>Ltr</t>
    </r>
  </si>
  <si>
    <r>
      <rPr>
        <b/>
        <sz val="8"/>
        <rFont val="Cambria"/>
        <family val="1"/>
      </rPr>
      <t>TOTAL</t>
    </r>
    <r>
      <rPr>
        <sz val="8"/>
        <rFont val="Times New Roman"/>
        <family val="1"/>
      </rPr>
      <t xml:space="preserve"> </t>
    </r>
    <r>
      <rPr>
        <b/>
        <sz val="8"/>
        <rFont val="Cambria"/>
        <family val="1"/>
      </rPr>
      <t>COST</t>
    </r>
    <r>
      <rPr>
        <sz val="8"/>
        <rFont val="Times New Roman"/>
        <family val="1"/>
      </rPr>
      <t xml:space="preserve"> </t>
    </r>
    <r>
      <rPr>
        <b/>
        <sz val="8"/>
        <rFont val="Cambria"/>
        <family val="1"/>
      </rPr>
      <t>OF</t>
    </r>
    <r>
      <rPr>
        <sz val="8"/>
        <rFont val="Times New Roman"/>
        <family val="1"/>
      </rPr>
      <t xml:space="preserve"> </t>
    </r>
    <r>
      <rPr>
        <b/>
        <sz val="8"/>
        <rFont val="Cambria"/>
        <family val="1"/>
      </rPr>
      <t>PLUMBING,</t>
    </r>
    <r>
      <rPr>
        <sz val="8"/>
        <rFont val="Times New Roman"/>
        <family val="1"/>
      </rPr>
      <t xml:space="preserve"> </t>
    </r>
    <r>
      <rPr>
        <b/>
        <sz val="8"/>
        <rFont val="Cambria"/>
        <family val="1"/>
      </rPr>
      <t>SANITARY,RAIN</t>
    </r>
    <r>
      <rPr>
        <sz val="8"/>
        <rFont val="Times New Roman"/>
        <family val="1"/>
      </rPr>
      <t xml:space="preserve"> </t>
    </r>
    <r>
      <rPr>
        <b/>
        <sz val="8"/>
        <rFont val="Cambria"/>
        <family val="1"/>
      </rPr>
      <t>WATER</t>
    </r>
    <r>
      <rPr>
        <sz val="8"/>
        <rFont val="Times New Roman"/>
        <family val="1"/>
      </rPr>
      <t xml:space="preserve"> </t>
    </r>
    <r>
      <rPr>
        <b/>
        <sz val="8"/>
        <rFont val="Cambria"/>
        <family val="1"/>
      </rPr>
      <t>HARVESTING</t>
    </r>
    <r>
      <rPr>
        <sz val="8"/>
        <rFont val="Times New Roman"/>
        <family val="1"/>
      </rPr>
      <t xml:space="preserve"> </t>
    </r>
    <r>
      <rPr>
        <b/>
        <sz val="8"/>
        <rFont val="Cambria"/>
        <family val="1"/>
      </rPr>
      <t>WORK</t>
    </r>
    <r>
      <rPr>
        <sz val="8"/>
        <rFont val="Times New Roman"/>
        <family val="1"/>
      </rPr>
      <t xml:space="preserve"> </t>
    </r>
    <r>
      <rPr>
        <b/>
        <sz val="8"/>
        <rFont val="Cambria"/>
        <family val="1"/>
      </rPr>
      <t>IN</t>
    </r>
    <r>
      <rPr>
        <sz val="8"/>
        <rFont val="Times New Roman"/>
        <family val="1"/>
      </rPr>
      <t xml:space="preserve"> </t>
    </r>
    <r>
      <rPr>
        <b/>
        <sz val="8"/>
        <rFont val="Cambria"/>
        <family val="1"/>
      </rPr>
      <t>Rs.</t>
    </r>
  </si>
  <si>
    <r>
      <rPr>
        <b/>
        <sz val="8.5"/>
        <rFont val="Cambria"/>
        <family val="1"/>
      </rPr>
      <t>E</t>
    </r>
  </si>
  <si>
    <r>
      <rPr>
        <b/>
        <sz val="9"/>
        <rFont val="Cambria"/>
        <family val="1"/>
      </rPr>
      <t>FIRE</t>
    </r>
    <r>
      <rPr>
        <sz val="9"/>
        <rFont val="Times New Roman"/>
        <family val="1"/>
      </rPr>
      <t xml:space="preserve"> </t>
    </r>
    <r>
      <rPr>
        <b/>
        <sz val="9"/>
        <rFont val="Cambria"/>
        <family val="1"/>
      </rPr>
      <t>FIGHTING</t>
    </r>
    <r>
      <rPr>
        <sz val="9"/>
        <rFont val="Times New Roman"/>
        <family val="1"/>
      </rPr>
      <t xml:space="preserve"> </t>
    </r>
    <r>
      <rPr>
        <b/>
        <sz val="9"/>
        <rFont val="Cambria"/>
        <family val="1"/>
      </rPr>
      <t>WORK</t>
    </r>
  </si>
  <si>
    <r>
      <rPr>
        <sz val="8"/>
        <rFont val="Cambria"/>
        <family val="1"/>
      </rPr>
      <t>Fire</t>
    </r>
    <r>
      <rPr>
        <sz val="8"/>
        <rFont val="Times New Roman"/>
        <family val="1"/>
      </rPr>
      <t xml:space="preserve">  </t>
    </r>
    <r>
      <rPr>
        <sz val="8"/>
        <rFont val="Cambria"/>
        <family val="1"/>
      </rPr>
      <t>Fighting</t>
    </r>
    <r>
      <rPr>
        <sz val="8"/>
        <rFont val="Times New Roman"/>
        <family val="1"/>
      </rPr>
      <t xml:space="preserve">  </t>
    </r>
    <r>
      <rPr>
        <sz val="8"/>
        <rFont val="Cambria"/>
        <family val="1"/>
      </rPr>
      <t>System</t>
    </r>
    <r>
      <rPr>
        <sz val="8"/>
        <rFont val="Times New Roman"/>
        <family val="1"/>
      </rPr>
      <t xml:space="preserve">  </t>
    </r>
    <r>
      <rPr>
        <sz val="8"/>
        <rFont val="Cambria"/>
        <family val="1"/>
      </rPr>
      <t>Internal</t>
    </r>
    <r>
      <rPr>
        <sz val="8"/>
        <rFont val="Times New Roman"/>
        <family val="1"/>
      </rPr>
      <t xml:space="preserve">  </t>
    </r>
    <r>
      <rPr>
        <sz val="8"/>
        <rFont val="Cambria"/>
        <family val="1"/>
      </rPr>
      <t>&amp;</t>
    </r>
    <r>
      <rPr>
        <sz val="8"/>
        <rFont val="Times New Roman"/>
        <family val="1"/>
      </rPr>
      <t xml:space="preserve">  </t>
    </r>
    <r>
      <rPr>
        <sz val="8"/>
        <rFont val="Cambria"/>
        <family val="1"/>
      </rPr>
      <t>External</t>
    </r>
    <r>
      <rPr>
        <sz val="8"/>
        <rFont val="Times New Roman"/>
        <family val="1"/>
      </rPr>
      <t xml:space="preserve">  </t>
    </r>
    <r>
      <rPr>
        <sz val="8"/>
        <rFont val="Cambria"/>
        <family val="1"/>
      </rPr>
      <t>Hydrent</t>
    </r>
    <r>
      <rPr>
        <sz val="8"/>
        <rFont val="Times New Roman"/>
        <family val="1"/>
      </rPr>
      <t xml:space="preserve">  </t>
    </r>
    <r>
      <rPr>
        <sz val="8"/>
        <rFont val="Cambria"/>
        <family val="1"/>
      </rPr>
      <t>with</t>
    </r>
    <r>
      <rPr>
        <sz val="8"/>
        <rFont val="Times New Roman"/>
        <family val="1"/>
      </rPr>
      <t xml:space="preserve">  </t>
    </r>
    <r>
      <rPr>
        <sz val="8"/>
        <rFont val="Cambria"/>
        <family val="1"/>
      </rPr>
      <t>all</t>
    </r>
    <r>
      <rPr>
        <sz val="8"/>
        <rFont val="Times New Roman"/>
        <family val="1"/>
      </rPr>
      <t xml:space="preserve">  </t>
    </r>
    <r>
      <rPr>
        <sz val="8"/>
        <rFont val="Cambria"/>
        <family val="1"/>
      </rPr>
      <t>floor</t>
    </r>
    <r>
      <rPr>
        <sz val="8"/>
        <rFont val="Times New Roman"/>
        <family val="1"/>
      </rPr>
      <t xml:space="preserve">  </t>
    </r>
    <r>
      <rPr>
        <sz val="8"/>
        <rFont val="Cambria"/>
        <family val="1"/>
      </rPr>
      <t>sprnkler</t>
    </r>
    <r>
      <rPr>
        <sz val="8"/>
        <rFont val="Times New Roman"/>
        <family val="1"/>
      </rPr>
      <t xml:space="preserve">  </t>
    </r>
    <r>
      <rPr>
        <sz val="8"/>
        <rFont val="Cambria"/>
        <family val="1"/>
      </rPr>
      <t>system</t>
    </r>
    <r>
      <rPr>
        <sz val="8"/>
        <rFont val="Times New Roman"/>
        <family val="1"/>
      </rPr>
      <t xml:space="preserve">  </t>
    </r>
    <r>
      <rPr>
        <sz val="8"/>
        <rFont val="Cambria"/>
        <family val="1"/>
      </rPr>
      <t>&amp;</t>
    </r>
    <r>
      <rPr>
        <sz val="8"/>
        <rFont val="Times New Roman"/>
        <family val="1"/>
      </rPr>
      <t xml:space="preserve"> </t>
    </r>
    <r>
      <rPr>
        <sz val="8"/>
        <rFont val="Cambria"/>
        <family val="1"/>
      </rPr>
      <t>accessories</t>
    </r>
    <r>
      <rPr>
        <sz val="8"/>
        <rFont val="Times New Roman"/>
        <family val="1"/>
      </rPr>
      <t xml:space="preserve"> </t>
    </r>
    <r>
      <rPr>
        <sz val="8"/>
        <rFont val="Cambria"/>
        <family val="1"/>
      </rPr>
      <t>with</t>
    </r>
    <r>
      <rPr>
        <sz val="8"/>
        <rFont val="Times New Roman"/>
        <family val="1"/>
      </rPr>
      <t xml:space="preserve"> </t>
    </r>
    <r>
      <rPr>
        <sz val="8"/>
        <rFont val="Cambria"/>
        <family val="1"/>
      </rPr>
      <t>2*</t>
    </r>
    <r>
      <rPr>
        <sz val="8"/>
        <rFont val="Times New Roman"/>
        <family val="1"/>
      </rPr>
      <t xml:space="preserve"> </t>
    </r>
    <r>
      <rPr>
        <sz val="8"/>
        <rFont val="Cambria"/>
        <family val="1"/>
      </rPr>
      <t>2280</t>
    </r>
    <r>
      <rPr>
        <sz val="8"/>
        <rFont val="Times New Roman"/>
        <family val="1"/>
      </rPr>
      <t xml:space="preserve"> </t>
    </r>
    <r>
      <rPr>
        <sz val="8"/>
        <rFont val="Cambria"/>
        <family val="1"/>
      </rPr>
      <t>LPM</t>
    </r>
    <r>
      <rPr>
        <sz val="8"/>
        <rFont val="Times New Roman"/>
        <family val="1"/>
      </rPr>
      <t xml:space="preserve"> </t>
    </r>
    <r>
      <rPr>
        <sz val="8"/>
        <rFont val="Cambria"/>
        <family val="1"/>
      </rPr>
      <t>Electric,</t>
    </r>
    <r>
      <rPr>
        <sz val="8"/>
        <rFont val="Times New Roman"/>
        <family val="1"/>
      </rPr>
      <t xml:space="preserve"> </t>
    </r>
    <r>
      <rPr>
        <sz val="8"/>
        <rFont val="Cambria"/>
        <family val="1"/>
      </rPr>
      <t>1*2280</t>
    </r>
    <r>
      <rPr>
        <sz val="8"/>
        <rFont val="Times New Roman"/>
        <family val="1"/>
      </rPr>
      <t xml:space="preserve">  </t>
    </r>
    <r>
      <rPr>
        <sz val="8"/>
        <rFont val="Cambria"/>
        <family val="1"/>
      </rPr>
      <t>Diesel,</t>
    </r>
    <r>
      <rPr>
        <sz val="8"/>
        <rFont val="Times New Roman"/>
        <family val="1"/>
      </rPr>
      <t xml:space="preserve"> </t>
    </r>
    <r>
      <rPr>
        <sz val="8"/>
        <rFont val="Cambria"/>
        <family val="1"/>
      </rPr>
      <t>2*</t>
    </r>
    <r>
      <rPr>
        <sz val="8"/>
        <rFont val="Times New Roman"/>
        <family val="1"/>
      </rPr>
      <t xml:space="preserve"> </t>
    </r>
    <r>
      <rPr>
        <sz val="8"/>
        <rFont val="Cambria"/>
        <family val="1"/>
      </rPr>
      <t>180</t>
    </r>
    <r>
      <rPr>
        <sz val="8"/>
        <rFont val="Times New Roman"/>
        <family val="1"/>
      </rPr>
      <t xml:space="preserve"> </t>
    </r>
    <r>
      <rPr>
        <sz val="8"/>
        <rFont val="Cambria"/>
        <family val="1"/>
      </rPr>
      <t>jockey</t>
    </r>
    <r>
      <rPr>
        <sz val="8"/>
        <rFont val="Times New Roman"/>
        <family val="1"/>
      </rPr>
      <t xml:space="preserve"> </t>
    </r>
    <r>
      <rPr>
        <sz val="8"/>
        <rFont val="Cambria"/>
        <family val="1"/>
      </rPr>
      <t>Pump,</t>
    </r>
    <r>
      <rPr>
        <sz val="8"/>
        <rFont val="Times New Roman"/>
        <family val="1"/>
      </rPr>
      <t xml:space="preserve"> </t>
    </r>
    <r>
      <rPr>
        <sz val="8"/>
        <rFont val="Cambria"/>
        <family val="1"/>
      </rPr>
      <t xml:space="preserve">Control
</t>
    </r>
    <r>
      <rPr>
        <sz val="8"/>
        <rFont val="Cambria"/>
        <family val="1"/>
      </rPr>
      <t>cable,</t>
    </r>
    <r>
      <rPr>
        <sz val="8"/>
        <rFont val="Times New Roman"/>
        <family val="1"/>
      </rPr>
      <t xml:space="preserve"> </t>
    </r>
    <r>
      <rPr>
        <sz val="8"/>
        <rFont val="Cambria"/>
        <family val="1"/>
      </rPr>
      <t>auto</t>
    </r>
    <r>
      <rPr>
        <sz val="8"/>
        <rFont val="Times New Roman"/>
        <family val="1"/>
      </rPr>
      <t xml:space="preserve"> </t>
    </r>
    <r>
      <rPr>
        <sz val="8"/>
        <rFont val="Cambria"/>
        <family val="1"/>
      </rPr>
      <t>start</t>
    </r>
    <r>
      <rPr>
        <sz val="8"/>
        <rFont val="Times New Roman"/>
        <family val="1"/>
      </rPr>
      <t xml:space="preserve"> </t>
    </r>
    <r>
      <rPr>
        <sz val="8"/>
        <rFont val="Cambria"/>
        <family val="1"/>
      </rPr>
      <t>stop</t>
    </r>
    <r>
      <rPr>
        <sz val="8"/>
        <rFont val="Times New Roman"/>
        <family val="1"/>
      </rPr>
      <t xml:space="preserve"> </t>
    </r>
    <r>
      <rPr>
        <sz val="8"/>
        <rFont val="Cambria"/>
        <family val="1"/>
      </rPr>
      <t>Starter</t>
    </r>
    <r>
      <rPr>
        <sz val="8"/>
        <rFont val="Times New Roman"/>
        <family val="1"/>
      </rPr>
      <t xml:space="preserve"> </t>
    </r>
    <r>
      <rPr>
        <sz val="8"/>
        <rFont val="Cambria"/>
        <family val="1"/>
      </rPr>
      <t>panel,</t>
    </r>
    <r>
      <rPr>
        <sz val="8"/>
        <rFont val="Times New Roman"/>
        <family val="1"/>
      </rPr>
      <t xml:space="preserve"> </t>
    </r>
    <r>
      <rPr>
        <sz val="8"/>
        <rFont val="Cambria"/>
        <family val="1"/>
      </rPr>
      <t>complete</t>
    </r>
    <r>
      <rPr>
        <sz val="8"/>
        <rFont val="Times New Roman"/>
        <family val="1"/>
      </rPr>
      <t xml:space="preserve"> </t>
    </r>
    <r>
      <rPr>
        <sz val="8"/>
        <rFont val="Cambria"/>
        <family val="1"/>
      </rPr>
      <t>external</t>
    </r>
    <r>
      <rPr>
        <sz val="8"/>
        <rFont val="Times New Roman"/>
        <family val="1"/>
      </rPr>
      <t xml:space="preserve"> </t>
    </r>
    <r>
      <rPr>
        <sz val="8"/>
        <rFont val="Cambria"/>
        <family val="1"/>
      </rPr>
      <t>ring</t>
    </r>
    <r>
      <rPr>
        <sz val="8"/>
        <rFont val="Times New Roman"/>
        <family val="1"/>
      </rPr>
      <t xml:space="preserve">  </t>
    </r>
    <r>
      <rPr>
        <sz val="8"/>
        <rFont val="Cambria"/>
        <family val="1"/>
      </rPr>
      <t>and</t>
    </r>
    <r>
      <rPr>
        <sz val="8"/>
        <rFont val="Times New Roman"/>
        <family val="1"/>
      </rPr>
      <t xml:space="preserve"> </t>
    </r>
    <r>
      <rPr>
        <sz val="8"/>
        <rFont val="Cambria"/>
        <family val="1"/>
      </rPr>
      <t>150</t>
    </r>
    <r>
      <rPr>
        <sz val="8"/>
        <rFont val="Times New Roman"/>
        <family val="1"/>
      </rPr>
      <t xml:space="preserve"> </t>
    </r>
    <r>
      <rPr>
        <sz val="8"/>
        <rFont val="Cambria"/>
        <family val="1"/>
      </rPr>
      <t>mm.</t>
    </r>
  </si>
  <si>
    <r>
      <rPr>
        <b/>
        <sz val="8"/>
        <rFont val="Cambria"/>
        <family val="1"/>
      </rPr>
      <t>TOTAL</t>
    </r>
    <r>
      <rPr>
        <sz val="8"/>
        <rFont val="Times New Roman"/>
        <family val="1"/>
      </rPr>
      <t xml:space="preserve"> </t>
    </r>
    <r>
      <rPr>
        <b/>
        <sz val="8"/>
        <rFont val="Cambria"/>
        <family val="1"/>
      </rPr>
      <t>COST</t>
    </r>
    <r>
      <rPr>
        <sz val="8"/>
        <rFont val="Times New Roman"/>
        <family val="1"/>
      </rPr>
      <t xml:space="preserve"> </t>
    </r>
    <r>
      <rPr>
        <b/>
        <sz val="8"/>
        <rFont val="Cambria"/>
        <family val="1"/>
      </rPr>
      <t>OF</t>
    </r>
    <r>
      <rPr>
        <sz val="8"/>
        <rFont val="Times New Roman"/>
        <family val="1"/>
      </rPr>
      <t xml:space="preserve"> </t>
    </r>
    <r>
      <rPr>
        <b/>
        <sz val="8"/>
        <rFont val="Cambria"/>
        <family val="1"/>
      </rPr>
      <t>FIRE</t>
    </r>
    <r>
      <rPr>
        <sz val="8"/>
        <rFont val="Times New Roman"/>
        <family val="1"/>
      </rPr>
      <t xml:space="preserve"> </t>
    </r>
    <r>
      <rPr>
        <b/>
        <sz val="8"/>
        <rFont val="Cambria"/>
        <family val="1"/>
      </rPr>
      <t>FIGHTING</t>
    </r>
    <r>
      <rPr>
        <sz val="8"/>
        <rFont val="Times New Roman"/>
        <family val="1"/>
      </rPr>
      <t xml:space="preserve"> </t>
    </r>
    <r>
      <rPr>
        <b/>
        <sz val="8"/>
        <rFont val="Cambria"/>
        <family val="1"/>
      </rPr>
      <t>WORK</t>
    </r>
    <r>
      <rPr>
        <sz val="8"/>
        <rFont val="Times New Roman"/>
        <family val="1"/>
      </rPr>
      <t xml:space="preserve"> </t>
    </r>
    <r>
      <rPr>
        <b/>
        <sz val="8"/>
        <rFont val="Cambria"/>
        <family val="1"/>
      </rPr>
      <t>IN</t>
    </r>
    <r>
      <rPr>
        <sz val="8"/>
        <rFont val="Times New Roman"/>
        <family val="1"/>
      </rPr>
      <t xml:space="preserve"> </t>
    </r>
    <r>
      <rPr>
        <b/>
        <sz val="8"/>
        <rFont val="Cambria"/>
        <family val="1"/>
      </rPr>
      <t>Rs.</t>
    </r>
  </si>
  <si>
    <t>S.No</t>
  </si>
  <si>
    <t>Specification</t>
  </si>
  <si>
    <t>Unit Price
(Excl GST</t>
  </si>
  <si>
    <t>GST 18 %</t>
  </si>
  <si>
    <t>Unit Price
(Incl GST)</t>
  </si>
  <si>
    <t>Qty</t>
  </si>
  <si>
    <t>Total price</t>
  </si>
  <si>
    <t>10 Passenger elevator with 9 stops without machine room as per specification - 10pax, 9s L-1 (a. price validity 12 months from date of signing order, b. Warranty 12 months from date of handing over)</t>
  </si>
  <si>
    <t>10 Passenger elevator with 9 stops without machine room as per specification - 10pax, 9s L-2 (a. price validity 12 months from date of signing order, b. Warranty 12 months from date of handing over</t>
  </si>
  <si>
    <t>10 Passenger elevator with 9 stops without machine room as per specification - 10pax, 9s L-3 (a. price validity 12 months from date of signing order, b. Warranty 12 months from date of handing over)</t>
  </si>
  <si>
    <t>10 Passenger elevator with 9 stops without machine room as per specification - 10pax, 9s L-4 (a. price validity 12 months from date of signing order, b. Warranty 12 months from date of handing over)</t>
  </si>
  <si>
    <t>10 Passenger elevator with 9 stops without machine room as per specification - 10pax, 9s L-5 (a. price validity 12 months from date of signing order, b. Warranty 12 months from date of handing over)</t>
  </si>
  <si>
    <t>10 Passenger elevator with 9 stops without machine room as per specification - 10pax, 9s L-6 (a. price validity 12 months from date of signing order, b. Warranty 12 months from date of handing over)</t>
  </si>
  <si>
    <t>S.NO.</t>
  </si>
  <si>
    <t>NAME OF ITEM</t>
  </si>
  <si>
    <t>SIZE</t>
  </si>
  <si>
    <t>MAKE</t>
  </si>
  <si>
    <t>QTY</t>
  </si>
  <si>
    <t>UNIT PRICE</t>
  </si>
  <si>
    <t>AMOUNT</t>
  </si>
  <si>
    <t>STORE</t>
  </si>
  <si>
    <t>ST.02</t>
  </si>
  <si>
    <t>S.S. RACK 5 TIER</t>
  </si>
  <si>
    <t>36"X18"X72"</t>
  </si>
  <si>
    <t>VSG</t>
  </si>
  <si>
    <t>ST.03</t>
  </si>
  <si>
    <t>S.S. INGREDIENT BINS</t>
  </si>
  <si>
    <t>15"X22"X30"</t>
  </si>
  <si>
    <t>ST.04</t>
  </si>
  <si>
    <t>S.S. RACK 3TIER</t>
  </si>
  <si>
    <t>ST.05</t>
  </si>
  <si>
    <t>MOBILE PIPE RACK</t>
  </si>
  <si>
    <t>32"X32"X84"</t>
  </si>
  <si>
    <t>ST.06</t>
  </si>
  <si>
    <t>CHEST FREEZER</t>
  </si>
  <si>
    <t>300 LTRS</t>
  </si>
  <si>
    <t>ST.07</t>
  </si>
  <si>
    <t>S.S,COLD ROOM 5 TIER RACK</t>
  </si>
  <si>
    <t>ST.08</t>
  </si>
  <si>
    <t>S.S,COLD ROOM</t>
  </si>
  <si>
    <t>ST.09</t>
  </si>
  <si>
    <t>VEG. WASHING 2 SINK UNIT WITH CROSS</t>
  </si>
  <si>
    <t>72"X24"X35"+6"</t>
  </si>
  <si>
    <t>ST.10</t>
  </si>
  <si>
    <t>S.S.PIPE WALL SHELF</t>
  </si>
  <si>
    <t>72"X14"</t>
  </si>
  <si>
    <t>ST.13</t>
  </si>
  <si>
    <t>2 TIER MOBILE BUSSING</t>
  </si>
  <si>
    <t>36"X24"X36"</t>
  </si>
  <si>
    <t>ST.14</t>
  </si>
  <si>
    <t>MOBILE PLATEFORM</t>
  </si>
  <si>
    <t>ST.15</t>
  </si>
  <si>
    <t>ONION POTATO BINS</t>
  </si>
  <si>
    <t>48"X24"X39"</t>
  </si>
  <si>
    <t>STAFF DINING+ PANTRY</t>
  </si>
  <si>
    <t>SC.01</t>
  </si>
  <si>
    <t>HOT BAIN MAIRE COUNTER</t>
  </si>
  <si>
    <t>69"X28"+12"X34"+20"</t>
  </si>
  <si>
    <t>SC.02</t>
  </si>
  <si>
    <t>WORK TABLE WITH UNDERSHELVES</t>
  </si>
  <si>
    <t>20"X24"X34" VERIFY</t>
  </si>
  <si>
    <t>SC.06</t>
  </si>
  <si>
    <t>5 TIER RACK</t>
  </si>
  <si>
    <t>30"X18"X72"</t>
  </si>
  <si>
    <t>SC.07</t>
  </si>
  <si>
    <t>WATER COOLER</t>
  </si>
  <si>
    <t>80 LTRS</t>
  </si>
  <si>
    <t>SC.08</t>
  </si>
  <si>
    <t>S.S.GRATING</t>
  </si>
  <si>
    <t>18"X12"</t>
  </si>
  <si>
    <t>VEG PREPERATION</t>
  </si>
  <si>
    <t>VP.01</t>
  </si>
  <si>
    <t>5 TIER STORAGE RACK</t>
  </si>
  <si>
    <t>VP.02</t>
  </si>
  <si>
    <t>WORK TABLE WITH SINK AND UNDERSHELF-SINK 18"X18"X10"</t>
  </si>
  <si>
    <t>56"X24"X34"+6"</t>
  </si>
  <si>
    <t>VP.03</t>
  </si>
  <si>
    <t>S.S.SHEET WALL SHELF</t>
  </si>
  <si>
    <t>56"X12"</t>
  </si>
  <si>
    <t>VP.04</t>
  </si>
  <si>
    <t>UNDER COUNTER CHILLER WITH 3 DOORS AND OHS</t>
  </si>
  <si>
    <t>75"X24"X34"+18"</t>
  </si>
  <si>
    <t>VP.05</t>
  </si>
  <si>
    <t>WORK TABLE WITH 2 UNDERSHLF AND OHS</t>
  </si>
  <si>
    <t>48"X24"X34"+18"</t>
  </si>
  <si>
    <t>VP.06</t>
  </si>
  <si>
    <t>DOUBLE OVER HEAD CEILING HUNG SHLEF</t>
  </si>
  <si>
    <t>75"X18"X12"+PIPE STAND</t>
  </si>
  <si>
    <t>VP.07</t>
  </si>
  <si>
    <t>48"X18"X12"+PIPE STAND</t>
  </si>
  <si>
    <t>VP.08</t>
  </si>
  <si>
    <t>75"X24"X34"</t>
  </si>
  <si>
    <t>VP.10</t>
  </si>
  <si>
    <t>2 DOOR VERTICAL FREEZER</t>
  </si>
  <si>
    <t>30"X30"X72"</t>
  </si>
  <si>
    <t>VP.11</t>
  </si>
  <si>
    <t>4 DOOR VERTICAL REFERIGERATOR</t>
  </si>
  <si>
    <t>48"X30"X72"</t>
  </si>
  <si>
    <t>VP.12</t>
  </si>
  <si>
    <t>MOBILE GN PAN TROLLEY</t>
  </si>
  <si>
    <t>2/1 GN SIZE</t>
  </si>
  <si>
    <t>VP.13</t>
  </si>
  <si>
    <t>HAND WASH SINK KNEE OPERATED</t>
  </si>
  <si>
    <t>WALL MOUNTED</t>
  </si>
  <si>
    <t>VP.14</t>
  </si>
  <si>
    <t>39"X12"</t>
  </si>
  <si>
    <t>MACHINE ROOM</t>
  </si>
  <si>
    <t>GR.01</t>
  </si>
  <si>
    <t>POTATO PEELAR</t>
  </si>
  <si>
    <t>10 KG/LOAD</t>
  </si>
  <si>
    <t>GR.02</t>
  </si>
  <si>
    <t>WET MASALA GRINDER</t>
  </si>
  <si>
    <t>5 LTRS</t>
  </si>
  <si>
    <t>GR.03</t>
  </si>
  <si>
    <t>46"X15"</t>
  </si>
  <si>
    <t>GR.04</t>
  </si>
  <si>
    <t>PULVERISER</t>
  </si>
  <si>
    <t>HOT KITCHEN</t>
  </si>
  <si>
    <t>HK.01</t>
  </si>
  <si>
    <t>UNDER COUNTER REFERIGERATOR</t>
  </si>
  <si>
    <t>75"X26"X34"+17"+13"</t>
  </si>
  <si>
    <t>HK.02</t>
  </si>
  <si>
    <t>WORK COUNTER WITH SINK AND UNDERSHELF,REMOVABLE SPLASH</t>
  </si>
  <si>
    <t>28"X26"X34"</t>
  </si>
  <si>
    <t>HK.03</t>
  </si>
  <si>
    <t>S.S.EXHAUST HOOD WITH SUPPLY AIR GRILL</t>
  </si>
  <si>
    <t>14'-6"X3'-6"'X1'- 8"</t>
  </si>
  <si>
    <t>HK.03A</t>
  </si>
  <si>
    <t>8'-3"X3'-6"'X1'- 8"</t>
  </si>
  <si>
    <t>HK-03B</t>
  </si>
  <si>
    <t>S.S.EXHAUST HOOD WITH</t>
  </si>
  <si>
    <t>6'-00"X3'-6"'X1'- 8"</t>
  </si>
  <si>
    <t>SUPPLY AIR GRILL</t>
  </si>
  <si>
    <t>HK.04</t>
  </si>
  <si>
    <t>WORK TABLE WITH DOUBLE UNDERSHLEVES AND DOUBLE OHS</t>
  </si>
  <si>
    <t>52"X26"X34"+6"
+18"+12"</t>
  </si>
  <si>
    <t>HK.05</t>
  </si>
  <si>
    <t>THREE BURNER INDIAN RANGE WITH PIPE UNDER SHLEF</t>
  </si>
  <si>
    <t>60"X30"X34"+6"</t>
  </si>
  <si>
    <t>HK.06</t>
  </si>
  <si>
    <t>WORK TABLE WITH DOUBLE UNDERSHLEVES-- VERIFY</t>
  </si>
  <si>
    <t>24"X30"X34"+6"</t>
  </si>
  <si>
    <t>HK.07</t>
  </si>
  <si>
    <t>S.S.DOUBLE BODY MOBILE TANDOOR</t>
  </si>
  <si>
    <t>30"X30"X34"+6"</t>
  </si>
  <si>
    <t>HK.07A</t>
  </si>
  <si>
    <t>SKEWER HANGER WITH DRIP TRAY</t>
  </si>
  <si>
    <t>24 LONG</t>
  </si>
  <si>
    <t>HK.07B</t>
  </si>
  <si>
    <t>WORK TABLE WITH DOUBLE UNDERSHLEVES</t>
  </si>
  <si>
    <t>34"X30"X34"+6"</t>
  </si>
  <si>
    <t>HK.08</t>
  </si>
  <si>
    <t>WORK TABLE WITH UNDERSHLEVES</t>
  </si>
  <si>
    <t>52"X24"X34"+6"</t>
  </si>
  <si>
    <t>HK.08A</t>
  </si>
  <si>
    <t>WALL SHELF</t>
  </si>
  <si>
    <t>28"X12"</t>
  </si>
  <si>
    <t>HK.09</t>
  </si>
  <si>
    <t>HK.10</t>
  </si>
  <si>
    <t>4 BURNER RANGE WITHOUT ELECT OVEN</t>
  </si>
  <si>
    <t>36"X30"X34"+6"</t>
  </si>
  <si>
    <t>HK.11</t>
  </si>
  <si>
    <t>HOT PLATE WITH UNDERSHELF</t>
  </si>
  <si>
    <t>HK.12</t>
  </si>
  <si>
    <t>18"X30"X34"+6"</t>
  </si>
  <si>
    <t>HK.13</t>
  </si>
  <si>
    <t>24"X26"X34"+6"</t>
  </si>
  <si>
    <t>HK.14</t>
  </si>
  <si>
    <t>THREE BURNER CHINESE RANGE WITH PIPE UNDERSHELF</t>
  </si>
  <si>
    <t>60"X30"X34"+18"</t>
  </si>
  <si>
    <t>HK.16</t>
  </si>
  <si>
    <t>UNDER COUNTER REF</t>
  </si>
  <si>
    <t>56"X24"X34"+17</t>
  </si>
  <si>
    <t>DW-01</t>
  </si>
  <si>
    <t>THREE UNIT SINK</t>
  </si>
  <si>
    <t>60"X24"X34"+6"</t>
  </si>
  <si>
    <t>DW-02</t>
  </si>
  <si>
    <t>DISH LANDING TABLE</t>
  </si>
  <si>
    <t>48"X24"X34"+6"</t>
  </si>
  <si>
    <t>DW-03</t>
  </si>
  <si>
    <t>POT RACK</t>
  </si>
  <si>
    <t>48"X24"X60"</t>
  </si>
  <si>
    <t>DW-04</t>
  </si>
  <si>
    <t>DISH WASHER MACHINE</t>
  </si>
  <si>
    <t>LA-02</t>
  </si>
  <si>
    <t>TIKKA COUNTER</t>
  </si>
  <si>
    <t>30"X20"X34"</t>
  </si>
  <si>
    <t>LA-03</t>
  </si>
  <si>
    <t>CHAT COUNTER</t>
  </si>
  <si>
    <t>72"X30"X34"</t>
  </si>
  <si>
    <t>LA-04</t>
  </si>
  <si>
    <t>ICE CREAM FREEZER</t>
  </si>
  <si>
    <t>CELFROST</t>
  </si>
  <si>
    <t>LA-05</t>
  </si>
  <si>
    <t>PIZZA OVEN 3KW</t>
  </si>
  <si>
    <t>30"X15"X</t>
  </si>
  <si>
    <t>LA-06</t>
  </si>
  <si>
    <t>SANDWICH GRIILER</t>
  </si>
  <si>
    <t>SINGLE PLATE</t>
  </si>
  <si>
    <t>LA-07</t>
  </si>
  <si>
    <t>COLD BAIN MARI</t>
  </si>
  <si>
    <t>48"X27"X34"</t>
  </si>
  <si>
    <t>KITCHEN VENTILATION</t>
  </si>
  <si>
    <t>Supply and installation of kitchen EXHAUST system including with air washer</t>
  </si>
  <si>
    <t>25000 CFM</t>
  </si>
  <si>
    <t>ventilation system including with inline/ etc. complete in all respect.</t>
  </si>
  <si>
    <t>20000 CFM</t>
  </si>
  <si>
    <t>Total ex- works</t>
  </si>
  <si>
    <t>GST 18%</t>
  </si>
  <si>
    <t>Grand Total</t>
  </si>
  <si>
    <t>Quantity</t>
  </si>
  <si>
    <t>Supply and Installation of MBBR STP 100 KLD</t>
  </si>
  <si>
    <t>1Set</t>
  </si>
  <si>
    <t>Ultrafiltration system</t>
  </si>
  <si>
    <t>Basic Amount</t>
  </si>
  <si>
    <t>Total Amount</t>
  </si>
  <si>
    <t>For Passanger Lifts (6 Nos)</t>
  </si>
  <si>
    <r>
      <rPr>
        <b/>
        <sz val="8.5"/>
        <rFont val="Cambria"/>
        <family val="1"/>
      </rPr>
      <t>D</t>
    </r>
  </si>
  <si>
    <r>
      <rPr>
        <b/>
        <sz val="9"/>
        <rFont val="Cambria"/>
        <family val="1"/>
      </rPr>
      <t>AIR</t>
    </r>
    <r>
      <rPr>
        <sz val="9"/>
        <rFont val="Times New Roman"/>
        <family val="1"/>
      </rPr>
      <t xml:space="preserve"> </t>
    </r>
    <r>
      <rPr>
        <b/>
        <sz val="9"/>
        <rFont val="Cambria"/>
        <family val="1"/>
      </rPr>
      <t>CONDITIONING</t>
    </r>
  </si>
  <si>
    <r>
      <rPr>
        <b/>
        <sz val="9"/>
        <rFont val="Cambria"/>
        <family val="1"/>
      </rPr>
      <t>FORECAST</t>
    </r>
    <r>
      <rPr>
        <sz val="9"/>
        <rFont val="Times New Roman"/>
        <family val="1"/>
      </rPr>
      <t xml:space="preserve"> </t>
    </r>
    <r>
      <rPr>
        <b/>
        <sz val="9"/>
        <rFont val="Cambria"/>
        <family val="1"/>
      </rPr>
      <t>ESTIMATE</t>
    </r>
  </si>
  <si>
    <r>
      <rPr>
        <b/>
        <sz val="9"/>
        <rFont val="Cambria"/>
        <family val="1"/>
      </rPr>
      <t>CLIENT:-</t>
    </r>
    <r>
      <rPr>
        <sz val="9"/>
        <rFont val="Times New Roman"/>
        <family val="1"/>
      </rPr>
      <t xml:space="preserve"> </t>
    </r>
    <r>
      <rPr>
        <b/>
        <sz val="9"/>
        <rFont val="Cambria"/>
        <family val="1"/>
      </rPr>
      <t>OM</t>
    </r>
    <r>
      <rPr>
        <sz val="9"/>
        <rFont val="Times New Roman"/>
        <family val="1"/>
      </rPr>
      <t xml:space="preserve"> </t>
    </r>
    <r>
      <rPr>
        <b/>
        <sz val="9"/>
        <rFont val="Cambria"/>
        <family val="1"/>
      </rPr>
      <t>ARHAM</t>
    </r>
    <r>
      <rPr>
        <sz val="9"/>
        <rFont val="Times New Roman"/>
        <family val="1"/>
      </rPr>
      <t xml:space="preserve"> </t>
    </r>
    <r>
      <rPr>
        <b/>
        <sz val="9"/>
        <rFont val="Cambria"/>
        <family val="1"/>
      </rPr>
      <t>VENTURES</t>
    </r>
    <r>
      <rPr>
        <sz val="9"/>
        <rFont val="Times New Roman"/>
        <family val="1"/>
      </rPr>
      <t xml:space="preserve"> </t>
    </r>
    <r>
      <rPr>
        <b/>
        <sz val="9"/>
        <rFont val="Cambria"/>
        <family val="1"/>
      </rPr>
      <t>AT</t>
    </r>
    <r>
      <rPr>
        <sz val="9"/>
        <rFont val="Times New Roman"/>
        <family val="1"/>
      </rPr>
      <t xml:space="preserve"> </t>
    </r>
    <r>
      <rPr>
        <b/>
        <sz val="9"/>
        <rFont val="Cambria"/>
        <family val="1"/>
      </rPr>
      <t>PALASBARI.</t>
    </r>
  </si>
  <si>
    <r>
      <rPr>
        <b/>
        <sz val="8.5"/>
        <rFont val="Cambria"/>
        <family val="1"/>
      </rPr>
      <t xml:space="preserve">S
</t>
    </r>
    <r>
      <rPr>
        <b/>
        <sz val="8.5"/>
        <rFont val="Cambria"/>
        <family val="1"/>
      </rPr>
      <t>no</t>
    </r>
  </si>
  <si>
    <r>
      <rPr>
        <b/>
        <sz val="8.5"/>
        <rFont val="Cambria"/>
        <family val="1"/>
      </rPr>
      <t>Description</t>
    </r>
  </si>
  <si>
    <r>
      <rPr>
        <b/>
        <sz val="8.5"/>
        <rFont val="Cambria"/>
        <family val="1"/>
      </rPr>
      <t>Unit</t>
    </r>
  </si>
  <si>
    <r>
      <rPr>
        <b/>
        <sz val="8.5"/>
        <rFont val="Cambria"/>
        <family val="1"/>
      </rPr>
      <t>Qty</t>
    </r>
  </si>
  <si>
    <r>
      <rPr>
        <b/>
        <sz val="8.5"/>
        <rFont val="Cambria"/>
        <family val="1"/>
      </rPr>
      <t>Rate</t>
    </r>
  </si>
  <si>
    <r>
      <rPr>
        <b/>
        <sz val="8.5"/>
        <rFont val="Cambria"/>
        <family val="1"/>
      </rPr>
      <t>Amount</t>
    </r>
  </si>
  <si>
    <r>
      <rPr>
        <sz val="8"/>
        <rFont val="Cambria"/>
        <family val="1"/>
      </rPr>
      <t>SITC</t>
    </r>
    <r>
      <rPr>
        <sz val="8"/>
        <rFont val="Times New Roman"/>
        <family val="1"/>
      </rPr>
      <t xml:space="preserve">   </t>
    </r>
    <r>
      <rPr>
        <sz val="8"/>
        <rFont val="Cambria"/>
        <family val="1"/>
      </rPr>
      <t>of</t>
    </r>
    <r>
      <rPr>
        <sz val="8"/>
        <rFont val="Times New Roman"/>
        <family val="1"/>
      </rPr>
      <t xml:space="preserve">   </t>
    </r>
    <r>
      <rPr>
        <sz val="8"/>
        <rFont val="Cambria"/>
        <family val="1"/>
      </rPr>
      <t>VRV/VR/Air</t>
    </r>
    <r>
      <rPr>
        <sz val="8"/>
        <rFont val="Times New Roman"/>
        <family val="1"/>
      </rPr>
      <t xml:space="preserve">   </t>
    </r>
    <r>
      <rPr>
        <sz val="8"/>
        <rFont val="Cambria"/>
        <family val="1"/>
      </rPr>
      <t>Cooled</t>
    </r>
    <r>
      <rPr>
        <sz val="8"/>
        <rFont val="Times New Roman"/>
        <family val="1"/>
      </rPr>
      <t xml:space="preserve">   </t>
    </r>
    <r>
      <rPr>
        <sz val="8"/>
        <rFont val="Cambria"/>
        <family val="1"/>
      </rPr>
      <t>split</t>
    </r>
    <r>
      <rPr>
        <sz val="8"/>
        <rFont val="Times New Roman"/>
        <family val="1"/>
      </rPr>
      <t xml:space="preserve">   </t>
    </r>
    <r>
      <rPr>
        <sz val="8"/>
        <rFont val="Cambria"/>
        <family val="1"/>
      </rPr>
      <t>type</t>
    </r>
    <r>
      <rPr>
        <sz val="8"/>
        <rFont val="Times New Roman"/>
        <family val="1"/>
      </rPr>
      <t xml:space="preserve">   </t>
    </r>
    <r>
      <rPr>
        <sz val="8"/>
        <rFont val="Cambria"/>
        <family val="1"/>
      </rPr>
      <t>Air</t>
    </r>
    <r>
      <rPr>
        <sz val="8"/>
        <rFont val="Times New Roman"/>
        <family val="1"/>
      </rPr>
      <t xml:space="preserve">   </t>
    </r>
    <r>
      <rPr>
        <sz val="8"/>
        <rFont val="Cambria"/>
        <family val="1"/>
      </rPr>
      <t>conditioners</t>
    </r>
    <r>
      <rPr>
        <sz val="8"/>
        <rFont val="Times New Roman"/>
        <family val="1"/>
      </rPr>
      <t xml:space="preserve">   </t>
    </r>
    <r>
      <rPr>
        <sz val="8"/>
        <rFont val="Cambria"/>
        <family val="1"/>
      </rPr>
      <t>complete</t>
    </r>
    <r>
      <rPr>
        <sz val="8"/>
        <rFont val="Times New Roman"/>
        <family val="1"/>
      </rPr>
      <t xml:space="preserve">   </t>
    </r>
    <r>
      <rPr>
        <sz val="8"/>
        <rFont val="Cambria"/>
        <family val="1"/>
      </rPr>
      <t>with</t>
    </r>
    <r>
      <rPr>
        <sz val="8"/>
        <rFont val="Times New Roman"/>
        <family val="1"/>
      </rPr>
      <t xml:space="preserve">   </t>
    </r>
    <r>
      <rPr>
        <sz val="8"/>
        <rFont val="Cambria"/>
        <family val="1"/>
      </rPr>
      <t>Indoor</t>
    </r>
    <r>
      <rPr>
        <sz val="8"/>
        <rFont val="Times New Roman"/>
        <family val="1"/>
      </rPr>
      <t xml:space="preserve"> </t>
    </r>
    <r>
      <rPr>
        <sz val="8"/>
        <rFont val="Cambria"/>
        <family val="1"/>
      </rPr>
      <t>unit(IDU),</t>
    </r>
    <r>
      <rPr>
        <sz val="8"/>
        <rFont val="Times New Roman"/>
        <family val="1"/>
      </rPr>
      <t xml:space="preserve"> </t>
    </r>
    <r>
      <rPr>
        <sz val="8"/>
        <rFont val="Cambria"/>
        <family val="1"/>
      </rPr>
      <t>Out</t>
    </r>
    <r>
      <rPr>
        <sz val="8"/>
        <rFont val="Times New Roman"/>
        <family val="1"/>
      </rPr>
      <t xml:space="preserve"> </t>
    </r>
    <r>
      <rPr>
        <sz val="8"/>
        <rFont val="Cambria"/>
        <family val="1"/>
      </rPr>
      <t>door</t>
    </r>
    <r>
      <rPr>
        <sz val="8"/>
        <rFont val="Times New Roman"/>
        <family val="1"/>
      </rPr>
      <t xml:space="preserve"> </t>
    </r>
    <r>
      <rPr>
        <sz val="8"/>
        <rFont val="Cambria"/>
        <family val="1"/>
      </rPr>
      <t>unit</t>
    </r>
    <r>
      <rPr>
        <sz val="8"/>
        <rFont val="Times New Roman"/>
        <family val="1"/>
      </rPr>
      <t xml:space="preserve"> </t>
    </r>
    <r>
      <rPr>
        <sz val="8"/>
        <rFont val="Cambria"/>
        <family val="1"/>
      </rPr>
      <t>(ODU),</t>
    </r>
    <r>
      <rPr>
        <sz val="8"/>
        <rFont val="Times New Roman"/>
        <family val="1"/>
      </rPr>
      <t xml:space="preserve"> </t>
    </r>
    <r>
      <rPr>
        <sz val="8"/>
        <rFont val="Cambria"/>
        <family val="1"/>
      </rPr>
      <t>surface</t>
    </r>
    <r>
      <rPr>
        <sz val="8"/>
        <rFont val="Times New Roman"/>
        <family val="1"/>
      </rPr>
      <t xml:space="preserve"> </t>
    </r>
    <r>
      <rPr>
        <sz val="8"/>
        <rFont val="Cambria"/>
        <family val="1"/>
      </rPr>
      <t>/</t>
    </r>
    <r>
      <rPr>
        <sz val="8"/>
        <rFont val="Times New Roman"/>
        <family val="1"/>
      </rPr>
      <t xml:space="preserve"> </t>
    </r>
    <r>
      <rPr>
        <sz val="8"/>
        <rFont val="Cambria"/>
        <family val="1"/>
      </rPr>
      <t>concealed</t>
    </r>
    <r>
      <rPr>
        <sz val="8"/>
        <rFont val="Times New Roman"/>
        <family val="1"/>
      </rPr>
      <t xml:space="preserve"> </t>
    </r>
    <r>
      <rPr>
        <sz val="8"/>
        <rFont val="Cambria"/>
        <family val="1"/>
      </rPr>
      <t>copper</t>
    </r>
    <r>
      <rPr>
        <sz val="8"/>
        <rFont val="Times New Roman"/>
        <family val="1"/>
      </rPr>
      <t xml:space="preserve"> </t>
    </r>
    <r>
      <rPr>
        <sz val="8"/>
        <rFont val="Cambria"/>
        <family val="1"/>
      </rPr>
      <t>Refrigerant</t>
    </r>
    <r>
      <rPr>
        <sz val="8"/>
        <rFont val="Times New Roman"/>
        <family val="1"/>
      </rPr>
      <t xml:space="preserve"> </t>
    </r>
    <r>
      <rPr>
        <sz val="8"/>
        <rFont val="Cambria"/>
        <family val="1"/>
      </rPr>
      <t>piping</t>
    </r>
    <r>
      <rPr>
        <sz val="8"/>
        <rFont val="Times New Roman"/>
        <family val="1"/>
      </rPr>
      <t xml:space="preserve"> </t>
    </r>
    <r>
      <rPr>
        <sz val="8"/>
        <rFont val="Cambria"/>
        <family val="1"/>
      </rPr>
      <t>with</t>
    </r>
    <r>
      <rPr>
        <sz val="8"/>
        <rFont val="Times New Roman"/>
        <family val="1"/>
      </rPr>
      <t xml:space="preserve"> </t>
    </r>
    <r>
      <rPr>
        <sz val="8"/>
        <rFont val="Cambria"/>
        <family val="1"/>
      </rPr>
      <t>insulation</t>
    </r>
    <r>
      <rPr>
        <sz val="8"/>
        <rFont val="Times New Roman"/>
        <family val="1"/>
      </rPr>
      <t xml:space="preserve"> </t>
    </r>
    <r>
      <rPr>
        <sz val="8"/>
        <rFont val="Cambria"/>
        <family val="1"/>
      </rPr>
      <t>(EP</t>
    </r>
    <r>
      <rPr>
        <sz val="8"/>
        <rFont val="Times New Roman"/>
        <family val="1"/>
      </rPr>
      <t xml:space="preserve"> </t>
    </r>
    <r>
      <rPr>
        <sz val="8"/>
        <rFont val="Cambria"/>
        <family val="1"/>
      </rPr>
      <t>foam</t>
    </r>
    <r>
      <rPr>
        <sz val="8"/>
        <rFont val="Times New Roman"/>
        <family val="1"/>
      </rPr>
      <t xml:space="preserve">  </t>
    </r>
    <r>
      <rPr>
        <sz val="8"/>
        <rFont val="Cambria"/>
        <family val="1"/>
      </rPr>
      <t>pipe</t>
    </r>
    <r>
      <rPr>
        <sz val="8"/>
        <rFont val="Times New Roman"/>
        <family val="1"/>
      </rPr>
      <t xml:space="preserve"> </t>
    </r>
    <r>
      <rPr>
        <sz val="8"/>
        <rFont val="Cambria"/>
        <family val="1"/>
      </rPr>
      <t>section)</t>
    </r>
    <r>
      <rPr>
        <sz val="8"/>
        <rFont val="Times New Roman"/>
        <family val="1"/>
      </rPr>
      <t xml:space="preserve"> </t>
    </r>
    <r>
      <rPr>
        <sz val="8"/>
        <rFont val="Cambria"/>
        <family val="1"/>
      </rPr>
      <t>upto</t>
    </r>
    <r>
      <rPr>
        <sz val="8"/>
        <rFont val="Times New Roman"/>
        <family val="1"/>
      </rPr>
      <t xml:space="preserve"> </t>
    </r>
    <r>
      <rPr>
        <sz val="8"/>
        <rFont val="Cambria"/>
        <family val="1"/>
      </rPr>
      <t>3</t>
    </r>
    <r>
      <rPr>
        <sz val="8"/>
        <rFont val="Times New Roman"/>
        <family val="1"/>
      </rPr>
      <t xml:space="preserve"> </t>
    </r>
    <r>
      <rPr>
        <sz val="8"/>
        <rFont val="Cambria"/>
        <family val="1"/>
      </rPr>
      <t>Mtr</t>
    </r>
    <r>
      <rPr>
        <sz val="8"/>
        <rFont val="Times New Roman"/>
        <family val="1"/>
      </rPr>
      <t xml:space="preserve"> </t>
    </r>
    <r>
      <rPr>
        <sz val="8"/>
        <rFont val="Cambria"/>
        <family val="1"/>
      </rPr>
      <t>(IDU</t>
    </r>
    <r>
      <rPr>
        <sz val="8"/>
        <rFont val="Times New Roman"/>
        <family val="1"/>
      </rPr>
      <t xml:space="preserve"> </t>
    </r>
    <r>
      <rPr>
        <sz val="8"/>
        <rFont val="Cambria"/>
        <family val="1"/>
      </rPr>
      <t>to</t>
    </r>
    <r>
      <rPr>
        <sz val="8"/>
        <rFont val="Times New Roman"/>
        <family val="1"/>
      </rPr>
      <t xml:space="preserve"> </t>
    </r>
    <r>
      <rPr>
        <sz val="8"/>
        <rFont val="Cambria"/>
        <family val="1"/>
      </rPr>
      <t>ODU),</t>
    </r>
    <r>
      <rPr>
        <sz val="8"/>
        <rFont val="Times New Roman"/>
        <family val="1"/>
      </rPr>
      <t xml:space="preserve"> </t>
    </r>
    <r>
      <rPr>
        <sz val="8"/>
        <rFont val="Cambria"/>
        <family val="1"/>
      </rPr>
      <t>copper</t>
    </r>
    <r>
      <rPr>
        <sz val="8"/>
        <rFont val="Times New Roman"/>
        <family val="1"/>
      </rPr>
      <t xml:space="preserve"> </t>
    </r>
    <r>
      <rPr>
        <sz val="8"/>
        <rFont val="Cambria"/>
        <family val="1"/>
      </rPr>
      <t>power</t>
    </r>
    <r>
      <rPr>
        <sz val="8"/>
        <rFont val="Times New Roman"/>
        <family val="1"/>
      </rPr>
      <t xml:space="preserve"> </t>
    </r>
    <r>
      <rPr>
        <sz val="8"/>
        <rFont val="Cambria"/>
        <family val="1"/>
      </rPr>
      <t>cable</t>
    </r>
    <r>
      <rPr>
        <sz val="8"/>
        <rFont val="Times New Roman"/>
        <family val="1"/>
      </rPr>
      <t xml:space="preserve"> </t>
    </r>
    <r>
      <rPr>
        <sz val="8"/>
        <rFont val="Cambria"/>
        <family val="1"/>
      </rPr>
      <t>upto</t>
    </r>
    <r>
      <rPr>
        <sz val="8"/>
        <rFont val="Times New Roman"/>
        <family val="1"/>
      </rPr>
      <t xml:space="preserve"> </t>
    </r>
    <r>
      <rPr>
        <sz val="8"/>
        <rFont val="Cambria"/>
        <family val="1"/>
      </rPr>
      <t>4</t>
    </r>
    <r>
      <rPr>
        <sz val="8"/>
        <rFont val="Times New Roman"/>
        <family val="1"/>
      </rPr>
      <t xml:space="preserve"> </t>
    </r>
    <r>
      <rPr>
        <sz val="8"/>
        <rFont val="Cambria"/>
        <family val="1"/>
      </rPr>
      <t>Mtr</t>
    </r>
    <r>
      <rPr>
        <sz val="8"/>
        <rFont val="Times New Roman"/>
        <family val="1"/>
      </rPr>
      <t xml:space="preserve"> </t>
    </r>
    <r>
      <rPr>
        <sz val="8"/>
        <rFont val="Cambria"/>
        <family val="1"/>
      </rPr>
      <t>(IDU</t>
    </r>
    <r>
      <rPr>
        <sz val="8"/>
        <rFont val="Times New Roman"/>
        <family val="1"/>
      </rPr>
      <t xml:space="preserve"> </t>
    </r>
    <r>
      <rPr>
        <sz val="8"/>
        <rFont val="Cambria"/>
        <family val="1"/>
      </rPr>
      <t>to</t>
    </r>
    <r>
      <rPr>
        <sz val="8"/>
        <rFont val="Times New Roman"/>
        <family val="1"/>
      </rPr>
      <t xml:space="preserve"> </t>
    </r>
    <r>
      <rPr>
        <sz val="8"/>
        <rFont val="Cambria"/>
        <family val="1"/>
      </rPr>
      <t>ODU),</t>
    </r>
    <r>
      <rPr>
        <sz val="8"/>
        <rFont val="Times New Roman"/>
        <family val="1"/>
      </rPr>
      <t xml:space="preserve"> </t>
    </r>
    <r>
      <rPr>
        <sz val="8"/>
        <rFont val="Cambria"/>
        <family val="1"/>
      </rPr>
      <t>R-22/R-410</t>
    </r>
    <r>
      <rPr>
        <sz val="8"/>
        <rFont val="Times New Roman"/>
        <family val="1"/>
      </rPr>
      <t xml:space="preserve"> </t>
    </r>
    <r>
      <rPr>
        <sz val="8"/>
        <rFont val="Cambria"/>
        <family val="1"/>
      </rPr>
      <t>Refrigerant,</t>
    </r>
    <r>
      <rPr>
        <sz val="8"/>
        <rFont val="Times New Roman"/>
        <family val="1"/>
      </rPr>
      <t xml:space="preserve"> </t>
    </r>
    <r>
      <rPr>
        <sz val="8"/>
        <rFont val="Cambria"/>
        <family val="1"/>
      </rPr>
      <t>Remote,</t>
    </r>
    <r>
      <rPr>
        <sz val="8"/>
        <rFont val="Times New Roman"/>
        <family val="1"/>
      </rPr>
      <t xml:space="preserve"> </t>
    </r>
    <r>
      <rPr>
        <sz val="8"/>
        <rFont val="Cambria"/>
        <family val="1"/>
      </rPr>
      <t>suitable</t>
    </r>
    <r>
      <rPr>
        <sz val="8"/>
        <rFont val="Times New Roman"/>
        <family val="1"/>
      </rPr>
      <t xml:space="preserve"> </t>
    </r>
    <r>
      <rPr>
        <sz val="8"/>
        <rFont val="Cambria"/>
        <family val="1"/>
      </rPr>
      <t>for</t>
    </r>
    <r>
      <rPr>
        <sz val="8"/>
        <rFont val="Times New Roman"/>
        <family val="1"/>
      </rPr>
      <t xml:space="preserve"> </t>
    </r>
    <r>
      <rPr>
        <sz val="8"/>
        <rFont val="Cambria"/>
        <family val="1"/>
      </rPr>
      <t>400/230V</t>
    </r>
    <r>
      <rPr>
        <sz val="8"/>
        <rFont val="Times New Roman"/>
        <family val="1"/>
      </rPr>
      <t xml:space="preserve"> </t>
    </r>
    <r>
      <rPr>
        <sz val="8"/>
        <rFont val="Cambria"/>
        <family val="1"/>
      </rPr>
      <t>+10%</t>
    </r>
    <r>
      <rPr>
        <sz val="8"/>
        <rFont val="Times New Roman"/>
        <family val="1"/>
      </rPr>
      <t xml:space="preserve"> </t>
    </r>
    <r>
      <rPr>
        <sz val="8"/>
        <rFont val="Cambria"/>
        <family val="1"/>
      </rPr>
      <t>of</t>
    </r>
    <r>
      <rPr>
        <sz val="8"/>
        <rFont val="Times New Roman"/>
        <family val="1"/>
      </rPr>
      <t xml:space="preserve"> </t>
    </r>
    <r>
      <rPr>
        <sz val="8"/>
        <rFont val="Cambria"/>
        <family val="1"/>
      </rPr>
      <t>50</t>
    </r>
    <r>
      <rPr>
        <sz val="8"/>
        <rFont val="Times New Roman"/>
        <family val="1"/>
      </rPr>
      <t xml:space="preserve">  </t>
    </r>
    <r>
      <rPr>
        <sz val="8"/>
        <rFont val="Cambria"/>
        <family val="1"/>
      </rPr>
      <t>Hz</t>
    </r>
    <r>
      <rPr>
        <sz val="8"/>
        <rFont val="Times New Roman"/>
        <family val="1"/>
      </rPr>
      <t xml:space="preserve">  </t>
    </r>
    <r>
      <rPr>
        <sz val="8"/>
        <rFont val="Cambria"/>
        <family val="1"/>
      </rPr>
      <t>,1</t>
    </r>
    <r>
      <rPr>
        <sz val="8"/>
        <rFont val="Times New Roman"/>
        <family val="1"/>
      </rPr>
      <t xml:space="preserve">  </t>
    </r>
    <r>
      <rPr>
        <sz val="8"/>
        <rFont val="Cambria"/>
        <family val="1"/>
      </rPr>
      <t>/3</t>
    </r>
    <r>
      <rPr>
        <sz val="8"/>
        <rFont val="Times New Roman"/>
        <family val="1"/>
      </rPr>
      <t xml:space="preserve">  </t>
    </r>
    <r>
      <rPr>
        <sz val="8"/>
        <rFont val="Cambria"/>
        <family val="1"/>
      </rPr>
      <t>phase</t>
    </r>
    <r>
      <rPr>
        <sz val="8"/>
        <rFont val="Times New Roman"/>
        <family val="1"/>
      </rPr>
      <t xml:space="preserve">  </t>
    </r>
    <r>
      <rPr>
        <sz val="8"/>
        <rFont val="Cambria"/>
        <family val="1"/>
      </rPr>
      <t>AC</t>
    </r>
    <r>
      <rPr>
        <sz val="8"/>
        <rFont val="Times New Roman"/>
        <family val="1"/>
      </rPr>
      <t xml:space="preserve">   </t>
    </r>
    <r>
      <rPr>
        <sz val="8"/>
        <rFont val="Cambria"/>
        <family val="1"/>
      </rPr>
      <t>supply</t>
    </r>
    <r>
      <rPr>
        <sz val="8"/>
        <rFont val="Times New Roman"/>
        <family val="1"/>
      </rPr>
      <t xml:space="preserve">  </t>
    </r>
    <r>
      <rPr>
        <sz val="8"/>
        <rFont val="Cambria"/>
        <family val="1"/>
      </rPr>
      <t>capable</t>
    </r>
    <r>
      <rPr>
        <sz val="8"/>
        <rFont val="Times New Roman"/>
        <family val="1"/>
      </rPr>
      <t xml:space="preserve">  </t>
    </r>
    <r>
      <rPr>
        <sz val="8"/>
        <rFont val="Cambria"/>
        <family val="1"/>
      </rPr>
      <t>of</t>
    </r>
    <r>
      <rPr>
        <sz val="8"/>
        <rFont val="Times New Roman"/>
        <family val="1"/>
      </rPr>
      <t xml:space="preserve">  </t>
    </r>
    <r>
      <rPr>
        <sz val="8"/>
        <rFont val="Cambria"/>
        <family val="1"/>
      </rPr>
      <t>performing</t>
    </r>
    <r>
      <rPr>
        <sz val="8"/>
        <rFont val="Times New Roman"/>
        <family val="1"/>
      </rPr>
      <t xml:space="preserve">  </t>
    </r>
    <r>
      <rPr>
        <sz val="8"/>
        <rFont val="Cambria"/>
        <family val="1"/>
      </rPr>
      <t>cooling,</t>
    </r>
    <r>
      <rPr>
        <sz val="8"/>
        <rFont val="Times New Roman"/>
        <family val="1"/>
      </rPr>
      <t xml:space="preserve">  </t>
    </r>
    <r>
      <rPr>
        <sz val="8"/>
        <rFont val="Cambria"/>
        <family val="1"/>
      </rPr>
      <t>dehumidification,</t>
    </r>
    <r>
      <rPr>
        <sz val="8"/>
        <rFont val="Times New Roman"/>
        <family val="1"/>
      </rPr>
      <t xml:space="preserve"> </t>
    </r>
    <r>
      <rPr>
        <sz val="8"/>
        <rFont val="Cambria"/>
        <family val="1"/>
      </rPr>
      <t>air</t>
    </r>
    <r>
      <rPr>
        <sz val="8"/>
        <rFont val="Times New Roman"/>
        <family val="1"/>
      </rPr>
      <t xml:space="preserve"> </t>
    </r>
    <r>
      <rPr>
        <sz val="8"/>
        <rFont val="Cambria"/>
        <family val="1"/>
      </rPr>
      <t>circulation</t>
    </r>
    <r>
      <rPr>
        <sz val="8"/>
        <rFont val="Times New Roman"/>
        <family val="1"/>
      </rPr>
      <t xml:space="preserve"> </t>
    </r>
    <r>
      <rPr>
        <sz val="8"/>
        <rFont val="Cambria"/>
        <family val="1"/>
      </rPr>
      <t>of</t>
    </r>
    <r>
      <rPr>
        <sz val="8"/>
        <rFont val="Times New Roman"/>
        <family val="1"/>
      </rPr>
      <t xml:space="preserve">  </t>
    </r>
    <r>
      <rPr>
        <sz val="8"/>
        <rFont val="Cambria"/>
        <family val="1"/>
      </rPr>
      <t>following</t>
    </r>
    <r>
      <rPr>
        <sz val="8"/>
        <rFont val="Times New Roman"/>
        <family val="1"/>
      </rPr>
      <t xml:space="preserve">  </t>
    </r>
    <r>
      <rPr>
        <sz val="8"/>
        <rFont val="Cambria"/>
        <family val="1"/>
      </rPr>
      <t>capacity</t>
    </r>
    <r>
      <rPr>
        <sz val="8"/>
        <rFont val="Times New Roman"/>
        <family val="1"/>
      </rPr>
      <t xml:space="preserve"> </t>
    </r>
    <r>
      <rPr>
        <sz val="8"/>
        <rFont val="Cambria"/>
        <family val="1"/>
      </rPr>
      <t>with</t>
    </r>
    <r>
      <rPr>
        <sz val="8"/>
        <rFont val="Times New Roman"/>
        <family val="1"/>
      </rPr>
      <t xml:space="preserve"> </t>
    </r>
    <r>
      <rPr>
        <sz val="8"/>
        <rFont val="Cambria"/>
        <family val="1"/>
      </rPr>
      <t>Scroll</t>
    </r>
    <r>
      <rPr>
        <sz val="8"/>
        <rFont val="Times New Roman"/>
        <family val="1"/>
      </rPr>
      <t xml:space="preserve">  </t>
    </r>
    <r>
      <rPr>
        <sz val="8"/>
        <rFont val="Cambria"/>
        <family val="1"/>
      </rPr>
      <t>/</t>
    </r>
    <r>
      <rPr>
        <sz val="8"/>
        <rFont val="Times New Roman"/>
        <family val="1"/>
      </rPr>
      <t xml:space="preserve">  </t>
    </r>
    <r>
      <rPr>
        <sz val="8"/>
        <rFont val="Cambria"/>
        <family val="1"/>
      </rPr>
      <t>reciprocating</t>
    </r>
    <r>
      <rPr>
        <sz val="8"/>
        <rFont val="Times New Roman"/>
        <family val="1"/>
      </rPr>
      <t xml:space="preserve"> </t>
    </r>
    <r>
      <rPr>
        <sz val="8"/>
        <rFont val="Cambria"/>
        <family val="1"/>
      </rPr>
      <t>/</t>
    </r>
    <r>
      <rPr>
        <sz val="8"/>
        <rFont val="Times New Roman"/>
        <family val="1"/>
      </rPr>
      <t xml:space="preserve">  </t>
    </r>
    <r>
      <rPr>
        <sz val="8"/>
        <rFont val="Cambria"/>
        <family val="1"/>
      </rPr>
      <t>rotary</t>
    </r>
    <r>
      <rPr>
        <sz val="8"/>
        <rFont val="Times New Roman"/>
        <family val="1"/>
      </rPr>
      <t xml:space="preserve">  </t>
    </r>
    <r>
      <rPr>
        <sz val="8"/>
        <rFont val="Cambria"/>
        <family val="1"/>
      </rPr>
      <t>compressor</t>
    </r>
    <r>
      <rPr>
        <sz val="8"/>
        <rFont val="Times New Roman"/>
        <family val="1"/>
      </rPr>
      <t xml:space="preserve"> </t>
    </r>
    <r>
      <rPr>
        <sz val="8"/>
        <rFont val="Cambria"/>
        <family val="1"/>
      </rPr>
      <t xml:space="preserve">as
</t>
    </r>
    <r>
      <rPr>
        <sz val="8"/>
        <rFont val="Cambria"/>
        <family val="1"/>
      </rPr>
      <t>specified.</t>
    </r>
  </si>
  <si>
    <r>
      <rPr>
        <sz val="8"/>
        <rFont val="Cambria"/>
        <family val="1"/>
      </rPr>
      <t>PER</t>
    </r>
    <r>
      <rPr>
        <sz val="8"/>
        <rFont val="Times New Roman"/>
        <family val="1"/>
      </rPr>
      <t xml:space="preserve"> </t>
    </r>
    <r>
      <rPr>
        <sz val="8"/>
        <rFont val="Cambria"/>
        <family val="1"/>
      </rPr>
      <t>TR</t>
    </r>
  </si>
  <si>
    <r>
      <rPr>
        <b/>
        <sz val="8"/>
        <rFont val="Cambria"/>
        <family val="1"/>
      </rPr>
      <t>BASEMENT</t>
    </r>
    <r>
      <rPr>
        <sz val="8"/>
        <rFont val="Times New Roman"/>
        <family val="1"/>
      </rPr>
      <t xml:space="preserve">   </t>
    </r>
    <r>
      <rPr>
        <b/>
        <sz val="8"/>
        <rFont val="Cambria"/>
        <family val="1"/>
      </rPr>
      <t>VENTILATION:-</t>
    </r>
    <r>
      <rPr>
        <sz val="8"/>
        <rFont val="Times New Roman"/>
        <family val="1"/>
      </rPr>
      <t xml:space="preserve">   </t>
    </r>
    <r>
      <rPr>
        <sz val="8"/>
        <rFont val="Cambria"/>
        <family val="1"/>
      </rPr>
      <t>Supply,</t>
    </r>
    <r>
      <rPr>
        <sz val="8"/>
        <rFont val="Times New Roman"/>
        <family val="1"/>
      </rPr>
      <t xml:space="preserve">   </t>
    </r>
    <r>
      <rPr>
        <sz val="8"/>
        <rFont val="Cambria"/>
        <family val="1"/>
      </rPr>
      <t>installation,</t>
    </r>
    <r>
      <rPr>
        <sz val="8"/>
        <rFont val="Times New Roman"/>
        <family val="1"/>
      </rPr>
      <t xml:space="preserve">   </t>
    </r>
    <r>
      <rPr>
        <sz val="8"/>
        <rFont val="Cambria"/>
        <family val="1"/>
      </rPr>
      <t>testing</t>
    </r>
    <r>
      <rPr>
        <sz val="8"/>
        <rFont val="Times New Roman"/>
        <family val="1"/>
      </rPr>
      <t xml:space="preserve">   </t>
    </r>
    <r>
      <rPr>
        <sz val="8"/>
        <rFont val="Cambria"/>
        <family val="1"/>
      </rPr>
      <t>and</t>
    </r>
    <r>
      <rPr>
        <sz val="8"/>
        <rFont val="Times New Roman"/>
        <family val="1"/>
      </rPr>
      <t xml:space="preserve">   </t>
    </r>
    <r>
      <rPr>
        <sz val="8"/>
        <rFont val="Cambria"/>
        <family val="1"/>
      </rPr>
      <t>commissioning</t>
    </r>
    <r>
      <rPr>
        <sz val="8"/>
        <rFont val="Times New Roman"/>
        <family val="1"/>
      </rPr>
      <t xml:space="preserve">   </t>
    </r>
    <r>
      <rPr>
        <sz val="8"/>
        <rFont val="Cambria"/>
        <family val="1"/>
      </rPr>
      <t xml:space="preserve">of
</t>
    </r>
    <r>
      <rPr>
        <sz val="8"/>
        <rFont val="Cambria"/>
        <family val="1"/>
      </rPr>
      <t>propeller</t>
    </r>
    <r>
      <rPr>
        <sz val="8"/>
        <rFont val="Times New Roman"/>
        <family val="1"/>
      </rPr>
      <t xml:space="preserve"> </t>
    </r>
    <r>
      <rPr>
        <sz val="8"/>
        <rFont val="Cambria"/>
        <family val="1"/>
      </rPr>
      <t>/</t>
    </r>
    <r>
      <rPr>
        <sz val="8"/>
        <rFont val="Times New Roman"/>
        <family val="1"/>
      </rPr>
      <t xml:space="preserve"> </t>
    </r>
    <r>
      <rPr>
        <sz val="8"/>
        <rFont val="Cambria"/>
        <family val="1"/>
      </rPr>
      <t>centrifugal</t>
    </r>
    <r>
      <rPr>
        <sz val="8"/>
        <rFont val="Times New Roman"/>
        <family val="1"/>
      </rPr>
      <t xml:space="preserve"> </t>
    </r>
    <r>
      <rPr>
        <sz val="8"/>
        <rFont val="Cambria"/>
        <family val="1"/>
      </rPr>
      <t>/</t>
    </r>
    <r>
      <rPr>
        <sz val="8"/>
        <rFont val="Times New Roman"/>
        <family val="1"/>
      </rPr>
      <t xml:space="preserve"> </t>
    </r>
    <r>
      <rPr>
        <sz val="8"/>
        <rFont val="Cambria"/>
        <family val="1"/>
      </rPr>
      <t>Axial</t>
    </r>
    <r>
      <rPr>
        <sz val="8"/>
        <rFont val="Times New Roman"/>
        <family val="1"/>
      </rPr>
      <t xml:space="preserve">  </t>
    </r>
    <r>
      <rPr>
        <sz val="8"/>
        <rFont val="Cambria"/>
        <family val="1"/>
      </rPr>
      <t>fan</t>
    </r>
    <r>
      <rPr>
        <sz val="8"/>
        <rFont val="Times New Roman"/>
        <family val="1"/>
      </rPr>
      <t xml:space="preserve"> </t>
    </r>
    <r>
      <rPr>
        <sz val="8"/>
        <rFont val="Cambria"/>
        <family val="1"/>
      </rPr>
      <t>to</t>
    </r>
    <r>
      <rPr>
        <sz val="8"/>
        <rFont val="Times New Roman"/>
        <family val="1"/>
      </rPr>
      <t xml:space="preserve"> </t>
    </r>
    <r>
      <rPr>
        <sz val="8"/>
        <rFont val="Cambria"/>
        <family val="1"/>
      </rPr>
      <t>provide</t>
    </r>
    <r>
      <rPr>
        <sz val="8"/>
        <rFont val="Times New Roman"/>
        <family val="1"/>
      </rPr>
      <t xml:space="preserve"> </t>
    </r>
    <r>
      <rPr>
        <sz val="8"/>
        <rFont val="Cambria"/>
        <family val="1"/>
      </rPr>
      <t>mechanical</t>
    </r>
    <r>
      <rPr>
        <sz val="8"/>
        <rFont val="Times New Roman"/>
        <family val="1"/>
      </rPr>
      <t xml:space="preserve"> </t>
    </r>
    <r>
      <rPr>
        <sz val="8"/>
        <rFont val="Cambria"/>
        <family val="1"/>
      </rPr>
      <t>ventilation</t>
    </r>
    <r>
      <rPr>
        <sz val="8"/>
        <rFont val="Times New Roman"/>
        <family val="1"/>
      </rPr>
      <t xml:space="preserve">  </t>
    </r>
    <r>
      <rPr>
        <sz val="8"/>
        <rFont val="Cambria"/>
        <family val="1"/>
      </rPr>
      <t>as</t>
    </r>
    <r>
      <rPr>
        <sz val="8"/>
        <rFont val="Times New Roman"/>
        <family val="1"/>
      </rPr>
      <t xml:space="preserve"> </t>
    </r>
    <r>
      <rPr>
        <sz val="8"/>
        <rFont val="Cambria"/>
        <family val="1"/>
      </rPr>
      <t>shown</t>
    </r>
    <r>
      <rPr>
        <sz val="8"/>
        <rFont val="Times New Roman"/>
        <family val="1"/>
      </rPr>
      <t xml:space="preserve"> </t>
    </r>
    <r>
      <rPr>
        <sz val="8"/>
        <rFont val="Cambria"/>
        <family val="1"/>
      </rPr>
      <t>on</t>
    </r>
    <r>
      <rPr>
        <sz val="8"/>
        <rFont val="Times New Roman"/>
        <family val="1"/>
      </rPr>
      <t xml:space="preserve">  </t>
    </r>
    <r>
      <rPr>
        <sz val="8"/>
        <rFont val="Cambria"/>
        <family val="1"/>
      </rPr>
      <t>the</t>
    </r>
    <r>
      <rPr>
        <sz val="8"/>
        <rFont val="Times New Roman"/>
        <family val="1"/>
      </rPr>
      <t xml:space="preserve"> </t>
    </r>
    <r>
      <rPr>
        <sz val="8"/>
        <rFont val="Cambria"/>
        <family val="1"/>
      </rPr>
      <t>tender</t>
    </r>
    <r>
      <rPr>
        <sz val="8"/>
        <rFont val="Times New Roman"/>
        <family val="1"/>
      </rPr>
      <t xml:space="preserve"> </t>
    </r>
    <r>
      <rPr>
        <sz val="8"/>
        <rFont val="Cambria"/>
        <family val="1"/>
      </rPr>
      <t>drawing.</t>
    </r>
    <r>
      <rPr>
        <sz val="8"/>
        <rFont val="Times New Roman"/>
        <family val="1"/>
      </rPr>
      <t xml:space="preserve"> </t>
    </r>
    <r>
      <rPr>
        <sz val="8"/>
        <rFont val="Cambria"/>
        <family val="1"/>
      </rPr>
      <t>Including</t>
    </r>
    <r>
      <rPr>
        <sz val="8"/>
        <rFont val="Times New Roman"/>
        <family val="1"/>
      </rPr>
      <t xml:space="preserve"> </t>
    </r>
    <r>
      <rPr>
        <sz val="8"/>
        <rFont val="Cambria"/>
        <family val="1"/>
      </rPr>
      <t>(DUCTING,</t>
    </r>
    <r>
      <rPr>
        <sz val="8"/>
        <rFont val="Times New Roman"/>
        <family val="1"/>
      </rPr>
      <t xml:space="preserve"> </t>
    </r>
    <r>
      <rPr>
        <sz val="8"/>
        <rFont val="Cambria"/>
        <family val="1"/>
      </rPr>
      <t>GRILLS,</t>
    </r>
    <r>
      <rPr>
        <sz val="8"/>
        <rFont val="Times New Roman"/>
        <family val="1"/>
      </rPr>
      <t xml:space="preserve"> </t>
    </r>
    <r>
      <rPr>
        <sz val="8"/>
        <rFont val="Cambria"/>
        <family val="1"/>
      </rPr>
      <t>DIFFUSERS)</t>
    </r>
  </si>
  <si>
    <r>
      <rPr>
        <sz val="8"/>
        <rFont val="Cambria"/>
        <family val="1"/>
      </rPr>
      <t>PER</t>
    </r>
    <r>
      <rPr>
        <sz val="8"/>
        <rFont val="Times New Roman"/>
        <family val="1"/>
      </rPr>
      <t xml:space="preserve"> </t>
    </r>
    <r>
      <rPr>
        <sz val="8"/>
        <rFont val="Cambria"/>
        <family val="1"/>
      </rPr>
      <t>CFM</t>
    </r>
  </si>
  <si>
    <r>
      <rPr>
        <b/>
        <sz val="8"/>
        <rFont val="Cambria"/>
        <family val="1"/>
      </rPr>
      <t>TOTAL</t>
    </r>
    <r>
      <rPr>
        <sz val="8"/>
        <rFont val="Times New Roman"/>
        <family val="1"/>
      </rPr>
      <t xml:space="preserve"> </t>
    </r>
    <r>
      <rPr>
        <b/>
        <sz val="8"/>
        <rFont val="Cambria"/>
        <family val="1"/>
      </rPr>
      <t>COST</t>
    </r>
    <r>
      <rPr>
        <sz val="8"/>
        <rFont val="Times New Roman"/>
        <family val="1"/>
      </rPr>
      <t xml:space="preserve"> </t>
    </r>
    <r>
      <rPr>
        <b/>
        <sz val="8"/>
        <rFont val="Cambria"/>
        <family val="1"/>
      </rPr>
      <t>OF</t>
    </r>
    <r>
      <rPr>
        <sz val="8"/>
        <rFont val="Times New Roman"/>
        <family val="1"/>
      </rPr>
      <t xml:space="preserve"> </t>
    </r>
    <r>
      <rPr>
        <b/>
        <sz val="8"/>
        <rFont val="Cambria"/>
        <family val="1"/>
      </rPr>
      <t>AIR</t>
    </r>
    <r>
      <rPr>
        <sz val="8"/>
        <rFont val="Times New Roman"/>
        <family val="1"/>
      </rPr>
      <t xml:space="preserve"> </t>
    </r>
    <r>
      <rPr>
        <b/>
        <sz val="8"/>
        <rFont val="Cambria"/>
        <family val="1"/>
      </rPr>
      <t>CONDITIONING</t>
    </r>
    <r>
      <rPr>
        <sz val="8"/>
        <rFont val="Times New Roman"/>
        <family val="1"/>
      </rPr>
      <t xml:space="preserve"> </t>
    </r>
    <r>
      <rPr>
        <b/>
        <sz val="8"/>
        <rFont val="Cambria"/>
        <family val="1"/>
      </rPr>
      <t>WORK</t>
    </r>
    <r>
      <rPr>
        <sz val="8"/>
        <rFont val="Times New Roman"/>
        <family val="1"/>
      </rPr>
      <t xml:space="preserve"> </t>
    </r>
    <r>
      <rPr>
        <b/>
        <sz val="8"/>
        <rFont val="Cambria"/>
        <family val="1"/>
      </rPr>
      <t>IN</t>
    </r>
    <r>
      <rPr>
        <sz val="8"/>
        <rFont val="Times New Roman"/>
        <family val="1"/>
      </rPr>
      <t xml:space="preserve"> </t>
    </r>
    <r>
      <rPr>
        <b/>
        <sz val="8"/>
        <rFont val="Cambria"/>
        <family val="1"/>
      </rPr>
      <t>Rs.</t>
    </r>
  </si>
  <si>
    <t>MISCELLANEOUS FIXED ASSETS / FURNITURES &amp; FIXTURES</t>
  </si>
  <si>
    <t>Brand</t>
  </si>
  <si>
    <t>Model</t>
  </si>
  <si>
    <t>Qnty</t>
  </si>
  <si>
    <t>Led Tv</t>
  </si>
  <si>
    <t>Sony</t>
  </si>
  <si>
    <t>55 Inch</t>
  </si>
  <si>
    <t>200 PC</t>
  </si>
  <si>
    <t>CGST@14%</t>
  </si>
  <si>
    <t>SGST@14%</t>
  </si>
  <si>
    <t>MACHINE MODEL NAME</t>
  </si>
  <si>
    <t>PARTICULAR</t>
  </si>
  <si>
    <t>VOLVO PENTA GENSET</t>
  </si>
  <si>
    <t>MACHINE TYPE: 400 KVA</t>
  </si>
  <si>
    <t>TCS 0.1%</t>
  </si>
  <si>
    <t>SILENT DIESEL GENRATING SET &amp; ITS GENERAL WORK</t>
  </si>
  <si>
    <r>
      <rPr>
        <b/>
        <sz val="8.5"/>
        <rFont val="Cambria"/>
        <family val="1"/>
      </rPr>
      <t>A.</t>
    </r>
  </si>
  <si>
    <r>
      <rPr>
        <b/>
        <sz val="9"/>
        <rFont val="Cambria"/>
        <family val="1"/>
      </rPr>
      <t>ELECTRICAL</t>
    </r>
    <r>
      <rPr>
        <sz val="9"/>
        <rFont val="Times New Roman"/>
        <family val="1"/>
      </rPr>
      <t xml:space="preserve"> </t>
    </r>
    <r>
      <rPr>
        <b/>
        <sz val="9"/>
        <rFont val="Cambria"/>
        <family val="1"/>
      </rPr>
      <t>WORK</t>
    </r>
  </si>
  <si>
    <t>750 KVA at 0.8 pf 415V 50Hz 3-ø</t>
  </si>
  <si>
    <r>
      <rPr>
        <b/>
        <sz val="8"/>
        <rFont val="Cambria"/>
        <family val="1"/>
      </rPr>
      <t>LIGHT</t>
    </r>
    <r>
      <rPr>
        <sz val="8"/>
        <rFont val="Times New Roman"/>
        <family val="1"/>
      </rPr>
      <t xml:space="preserve"> </t>
    </r>
    <r>
      <rPr>
        <b/>
        <sz val="8"/>
        <rFont val="Cambria"/>
        <family val="1"/>
      </rPr>
      <t>POINT</t>
    </r>
    <r>
      <rPr>
        <sz val="8"/>
        <rFont val="Times New Roman"/>
        <family val="1"/>
      </rPr>
      <t xml:space="preserve"> </t>
    </r>
    <r>
      <rPr>
        <sz val="8"/>
        <rFont val="Cambria"/>
        <family val="1"/>
      </rPr>
      <t>WIRING</t>
    </r>
    <r>
      <rPr>
        <sz val="8"/>
        <rFont val="Times New Roman"/>
        <family val="1"/>
      </rPr>
      <t xml:space="preserve"> </t>
    </r>
    <r>
      <rPr>
        <sz val="8"/>
        <rFont val="Cambria"/>
        <family val="1"/>
      </rPr>
      <t>including</t>
    </r>
    <r>
      <rPr>
        <sz val="8"/>
        <rFont val="Times New Roman"/>
        <family val="1"/>
      </rPr>
      <t xml:space="preserve"> </t>
    </r>
    <r>
      <rPr>
        <sz val="8"/>
        <rFont val="Cambria"/>
        <family val="1"/>
      </rPr>
      <t>1.5</t>
    </r>
    <r>
      <rPr>
        <sz val="8"/>
        <rFont val="Times New Roman"/>
        <family val="1"/>
      </rPr>
      <t xml:space="preserve"> </t>
    </r>
    <r>
      <rPr>
        <sz val="8"/>
        <rFont val="Cambria"/>
        <family val="1"/>
      </rPr>
      <t>sq.</t>
    </r>
    <r>
      <rPr>
        <sz val="8"/>
        <rFont val="Times New Roman"/>
        <family val="1"/>
      </rPr>
      <t xml:space="preserve"> </t>
    </r>
    <r>
      <rPr>
        <sz val="8"/>
        <rFont val="Cambria"/>
        <family val="1"/>
      </rPr>
      <t>mm</t>
    </r>
    <r>
      <rPr>
        <sz val="8"/>
        <rFont val="Times New Roman"/>
        <family val="1"/>
      </rPr>
      <t xml:space="preserve"> </t>
    </r>
    <r>
      <rPr>
        <sz val="8"/>
        <rFont val="Cambria"/>
        <family val="1"/>
      </rPr>
      <t>PVC</t>
    </r>
    <r>
      <rPr>
        <sz val="8"/>
        <rFont val="Times New Roman"/>
        <family val="1"/>
      </rPr>
      <t xml:space="preserve"> </t>
    </r>
    <r>
      <rPr>
        <sz val="8"/>
        <rFont val="Cambria"/>
        <family val="1"/>
      </rPr>
      <t>FR</t>
    </r>
    <r>
      <rPr>
        <sz val="8"/>
        <rFont val="Times New Roman"/>
        <family val="1"/>
      </rPr>
      <t xml:space="preserve"> </t>
    </r>
    <r>
      <rPr>
        <sz val="8"/>
        <rFont val="Cambria"/>
        <family val="1"/>
      </rPr>
      <t>wires</t>
    </r>
    <r>
      <rPr>
        <sz val="8"/>
        <rFont val="Times New Roman"/>
        <family val="1"/>
      </rPr>
      <t xml:space="preserve"> </t>
    </r>
    <r>
      <rPr>
        <sz val="8"/>
        <rFont val="Cambria"/>
        <family val="1"/>
      </rPr>
      <t>in</t>
    </r>
    <r>
      <rPr>
        <sz val="8"/>
        <rFont val="Times New Roman"/>
        <family val="1"/>
      </rPr>
      <t xml:space="preserve"> </t>
    </r>
    <r>
      <rPr>
        <sz val="8"/>
        <rFont val="Cambria"/>
        <family val="1"/>
      </rPr>
      <t>RIGID</t>
    </r>
    <r>
      <rPr>
        <sz val="8"/>
        <rFont val="Times New Roman"/>
        <family val="1"/>
      </rPr>
      <t xml:space="preserve"> </t>
    </r>
    <r>
      <rPr>
        <sz val="8"/>
        <rFont val="Cambria"/>
        <family val="1"/>
      </rPr>
      <t>PVC</t>
    </r>
    <r>
      <rPr>
        <sz val="8"/>
        <rFont val="Times New Roman"/>
        <family val="1"/>
      </rPr>
      <t xml:space="preserve"> </t>
    </r>
    <r>
      <rPr>
        <sz val="8"/>
        <rFont val="Cambria"/>
        <family val="1"/>
      </rPr>
      <t>conduits</t>
    </r>
    <r>
      <rPr>
        <sz val="8"/>
        <rFont val="Times New Roman"/>
        <family val="1"/>
      </rPr>
      <t xml:space="preserve"> </t>
    </r>
    <r>
      <rPr>
        <sz val="8"/>
        <rFont val="Cambria"/>
        <family val="1"/>
      </rPr>
      <t>2</t>
    </r>
    <r>
      <rPr>
        <sz val="8"/>
        <rFont val="Times New Roman"/>
        <family val="1"/>
      </rPr>
      <t xml:space="preserve"> </t>
    </r>
    <r>
      <rPr>
        <sz val="8"/>
        <rFont val="Cambria"/>
        <family val="1"/>
      </rPr>
      <t>mm</t>
    </r>
    <r>
      <rPr>
        <sz val="8"/>
        <rFont val="Times New Roman"/>
        <family val="1"/>
      </rPr>
      <t xml:space="preserve"> </t>
    </r>
    <r>
      <rPr>
        <sz val="8"/>
        <rFont val="Cambria"/>
        <family val="1"/>
      </rPr>
      <t>thick</t>
    </r>
    <r>
      <rPr>
        <sz val="8"/>
        <rFont val="Times New Roman"/>
        <family val="1"/>
      </rPr>
      <t xml:space="preserve"> </t>
    </r>
    <r>
      <rPr>
        <sz val="8"/>
        <rFont val="Cambria"/>
        <family val="1"/>
      </rPr>
      <t>with</t>
    </r>
    <r>
      <rPr>
        <sz val="8"/>
        <rFont val="Times New Roman"/>
        <family val="1"/>
      </rPr>
      <t xml:space="preserve"> </t>
    </r>
    <r>
      <rPr>
        <sz val="8"/>
        <rFont val="Cambria"/>
        <family val="1"/>
      </rPr>
      <t>providing</t>
    </r>
    <r>
      <rPr>
        <sz val="8"/>
        <rFont val="Times New Roman"/>
        <family val="1"/>
      </rPr>
      <t xml:space="preserve"> </t>
    </r>
    <r>
      <rPr>
        <sz val="8"/>
        <rFont val="Cambria"/>
        <family val="1"/>
      </rPr>
      <t>6</t>
    </r>
    <r>
      <rPr>
        <sz val="8"/>
        <rFont val="Times New Roman"/>
        <family val="1"/>
      </rPr>
      <t xml:space="preserve"> </t>
    </r>
    <r>
      <rPr>
        <sz val="8"/>
        <rFont val="Cambria"/>
        <family val="1"/>
      </rPr>
      <t>amp</t>
    </r>
    <r>
      <rPr>
        <sz val="8"/>
        <rFont val="Times New Roman"/>
        <family val="1"/>
      </rPr>
      <t xml:space="preserve"> </t>
    </r>
    <r>
      <rPr>
        <sz val="8"/>
        <rFont val="Cambria"/>
        <family val="1"/>
      </rPr>
      <t>flush</t>
    </r>
    <r>
      <rPr>
        <sz val="8"/>
        <rFont val="Times New Roman"/>
        <family val="1"/>
      </rPr>
      <t xml:space="preserve"> </t>
    </r>
    <r>
      <rPr>
        <sz val="8"/>
        <rFont val="Cambria"/>
        <family val="1"/>
      </rPr>
      <t>type</t>
    </r>
    <r>
      <rPr>
        <sz val="8"/>
        <rFont val="Times New Roman"/>
        <family val="1"/>
      </rPr>
      <t xml:space="preserve"> </t>
    </r>
    <r>
      <rPr>
        <sz val="8"/>
        <rFont val="Cambria"/>
        <family val="1"/>
      </rPr>
      <t>modular</t>
    </r>
    <r>
      <rPr>
        <sz val="8"/>
        <rFont val="Times New Roman"/>
        <family val="1"/>
      </rPr>
      <t xml:space="preserve"> </t>
    </r>
    <r>
      <rPr>
        <sz val="8"/>
        <rFont val="Cambria"/>
        <family val="1"/>
      </rPr>
      <t>switches</t>
    </r>
    <r>
      <rPr>
        <sz val="8"/>
        <rFont val="Times New Roman"/>
        <family val="1"/>
      </rPr>
      <t xml:space="preserve"> </t>
    </r>
    <r>
      <rPr>
        <sz val="8"/>
        <rFont val="Cambria"/>
        <family val="1"/>
      </rPr>
      <t>&amp;</t>
    </r>
    <r>
      <rPr>
        <sz val="8"/>
        <rFont val="Times New Roman"/>
        <family val="1"/>
      </rPr>
      <t xml:space="preserve"> </t>
    </r>
    <r>
      <rPr>
        <sz val="8"/>
        <rFont val="Cambria"/>
        <family val="1"/>
      </rPr>
      <t>MS</t>
    </r>
    <r>
      <rPr>
        <sz val="8"/>
        <rFont val="Times New Roman"/>
        <family val="1"/>
      </rPr>
      <t xml:space="preserve"> </t>
    </r>
    <r>
      <rPr>
        <sz val="8"/>
        <rFont val="Cambria"/>
        <family val="1"/>
      </rPr>
      <t>Anodised</t>
    </r>
    <r>
      <rPr>
        <sz val="8"/>
        <rFont val="Times New Roman"/>
        <family val="1"/>
      </rPr>
      <t xml:space="preserve"> </t>
    </r>
    <r>
      <rPr>
        <sz val="8"/>
        <rFont val="Cambria"/>
        <family val="1"/>
      </rPr>
      <t>16</t>
    </r>
    <r>
      <rPr>
        <sz val="8"/>
        <rFont val="Times New Roman"/>
        <family val="1"/>
      </rPr>
      <t xml:space="preserve"> </t>
    </r>
    <r>
      <rPr>
        <sz val="8"/>
        <rFont val="Cambria"/>
        <family val="1"/>
      </rPr>
      <t>SWG</t>
    </r>
    <r>
      <rPr>
        <sz val="8"/>
        <rFont val="Times New Roman"/>
        <family val="1"/>
      </rPr>
      <t xml:space="preserve"> </t>
    </r>
    <r>
      <rPr>
        <sz val="8"/>
        <rFont val="Cambria"/>
        <family val="1"/>
      </rPr>
      <t>switch</t>
    </r>
    <r>
      <rPr>
        <sz val="8"/>
        <rFont val="Times New Roman"/>
        <family val="1"/>
      </rPr>
      <t xml:space="preserve">  </t>
    </r>
    <r>
      <rPr>
        <sz val="8"/>
        <rFont val="Cambria"/>
        <family val="1"/>
      </rPr>
      <t>boxes,</t>
    </r>
    <r>
      <rPr>
        <sz val="8"/>
        <rFont val="Times New Roman"/>
        <family val="1"/>
      </rPr>
      <t xml:space="preserve">  </t>
    </r>
    <r>
      <rPr>
        <sz val="8"/>
        <rFont val="Cambria"/>
        <family val="1"/>
      </rPr>
      <t>cover</t>
    </r>
    <r>
      <rPr>
        <sz val="8"/>
        <rFont val="Times New Roman"/>
        <family val="1"/>
      </rPr>
      <t xml:space="preserve">  </t>
    </r>
    <r>
      <rPr>
        <sz val="8"/>
        <rFont val="Cambria"/>
        <family val="1"/>
      </rPr>
      <t>plate</t>
    </r>
    <r>
      <rPr>
        <sz val="8"/>
        <rFont val="Times New Roman"/>
        <family val="1"/>
      </rPr>
      <t xml:space="preserve">  </t>
    </r>
    <r>
      <rPr>
        <sz val="8"/>
        <rFont val="Cambria"/>
        <family val="1"/>
      </rPr>
      <t>and</t>
    </r>
    <r>
      <rPr>
        <sz val="8"/>
        <rFont val="Times New Roman"/>
        <family val="1"/>
      </rPr>
      <t xml:space="preserve">  </t>
    </r>
    <r>
      <rPr>
        <sz val="8"/>
        <rFont val="Cambria"/>
        <family val="1"/>
      </rPr>
      <t>earthing</t>
    </r>
    <r>
      <rPr>
        <sz val="8"/>
        <rFont val="Times New Roman"/>
        <family val="1"/>
      </rPr>
      <t xml:space="preserve">  </t>
    </r>
    <r>
      <rPr>
        <sz val="8"/>
        <rFont val="Cambria"/>
        <family val="1"/>
      </rPr>
      <t>with</t>
    </r>
    <r>
      <rPr>
        <sz val="8"/>
        <rFont val="Times New Roman"/>
        <family val="1"/>
      </rPr>
      <t xml:space="preserve">  </t>
    </r>
    <r>
      <rPr>
        <sz val="8"/>
        <rFont val="Cambria"/>
        <family val="1"/>
      </rPr>
      <t>1.5</t>
    </r>
    <r>
      <rPr>
        <sz val="8"/>
        <rFont val="Times New Roman"/>
        <family val="1"/>
      </rPr>
      <t xml:space="preserve">  </t>
    </r>
    <r>
      <rPr>
        <sz val="8"/>
        <rFont val="Cambria"/>
        <family val="1"/>
      </rPr>
      <t>sq.</t>
    </r>
    <r>
      <rPr>
        <sz val="8"/>
        <rFont val="Times New Roman"/>
        <family val="1"/>
      </rPr>
      <t xml:space="preserve">  </t>
    </r>
    <r>
      <rPr>
        <sz val="8"/>
        <rFont val="Cambria"/>
        <family val="1"/>
      </rPr>
      <t>mm</t>
    </r>
    <r>
      <rPr>
        <sz val="8"/>
        <rFont val="Times New Roman"/>
        <family val="1"/>
      </rPr>
      <t xml:space="preserve">  </t>
    </r>
    <r>
      <rPr>
        <sz val="8"/>
        <rFont val="Cambria"/>
        <family val="1"/>
      </rPr>
      <t>PVC</t>
    </r>
    <r>
      <rPr>
        <sz val="8"/>
        <rFont val="Times New Roman"/>
        <family val="1"/>
      </rPr>
      <t xml:space="preserve">  </t>
    </r>
    <r>
      <rPr>
        <sz val="8"/>
        <rFont val="Cambria"/>
        <family val="1"/>
      </rPr>
      <t>insulated</t>
    </r>
    <r>
      <rPr>
        <sz val="8"/>
        <rFont val="Times New Roman"/>
        <family val="1"/>
      </rPr>
      <t xml:space="preserve">  </t>
    </r>
    <r>
      <rPr>
        <sz val="8"/>
        <rFont val="Cambria"/>
        <family val="1"/>
      </rPr>
      <t xml:space="preserve">copper
</t>
    </r>
    <r>
      <rPr>
        <sz val="8"/>
        <rFont val="Cambria"/>
        <family val="1"/>
      </rPr>
      <t>conductor</t>
    </r>
    <r>
      <rPr>
        <sz val="8"/>
        <rFont val="Times New Roman"/>
        <family val="1"/>
      </rPr>
      <t xml:space="preserve"> </t>
    </r>
    <r>
      <rPr>
        <sz val="8"/>
        <rFont val="Cambria"/>
        <family val="1"/>
      </rPr>
      <t>earth</t>
    </r>
    <r>
      <rPr>
        <sz val="8"/>
        <rFont val="Times New Roman"/>
        <family val="1"/>
      </rPr>
      <t xml:space="preserve"> </t>
    </r>
    <r>
      <rPr>
        <sz val="8"/>
        <rFont val="Cambria"/>
        <family val="1"/>
      </rPr>
      <t>wire.</t>
    </r>
  </si>
  <si>
    <r>
      <rPr>
        <sz val="8"/>
        <rFont val="Cambria"/>
        <family val="1"/>
      </rPr>
      <t>PER</t>
    </r>
    <r>
      <rPr>
        <sz val="8"/>
        <rFont val="Times New Roman"/>
        <family val="1"/>
      </rPr>
      <t xml:space="preserve"> </t>
    </r>
    <r>
      <rPr>
        <sz val="8"/>
        <rFont val="Cambria"/>
        <family val="1"/>
      </rPr>
      <t>POINT</t>
    </r>
  </si>
  <si>
    <r>
      <rPr>
        <b/>
        <sz val="8"/>
        <rFont val="Cambria"/>
        <family val="1"/>
      </rPr>
      <t>POWER</t>
    </r>
    <r>
      <rPr>
        <sz val="8"/>
        <rFont val="Times New Roman"/>
        <family val="1"/>
      </rPr>
      <t xml:space="preserve"> </t>
    </r>
    <r>
      <rPr>
        <b/>
        <sz val="8"/>
        <rFont val="Cambria"/>
        <family val="1"/>
      </rPr>
      <t>POINT</t>
    </r>
    <r>
      <rPr>
        <sz val="8"/>
        <rFont val="Times New Roman"/>
        <family val="1"/>
      </rPr>
      <t xml:space="preserve"> </t>
    </r>
    <r>
      <rPr>
        <sz val="8"/>
        <rFont val="Cambria"/>
        <family val="1"/>
      </rPr>
      <t>WIRING</t>
    </r>
    <r>
      <rPr>
        <sz val="8"/>
        <rFont val="Times New Roman"/>
        <family val="1"/>
      </rPr>
      <t xml:space="preserve"> </t>
    </r>
    <r>
      <rPr>
        <sz val="8"/>
        <rFont val="Cambria"/>
        <family val="1"/>
      </rPr>
      <t>including</t>
    </r>
    <r>
      <rPr>
        <sz val="8"/>
        <rFont val="Times New Roman"/>
        <family val="1"/>
      </rPr>
      <t xml:space="preserve"> </t>
    </r>
    <r>
      <rPr>
        <sz val="8"/>
        <rFont val="Cambria"/>
        <family val="1"/>
      </rPr>
      <t>2.5/4.0</t>
    </r>
    <r>
      <rPr>
        <sz val="8"/>
        <rFont val="Times New Roman"/>
        <family val="1"/>
      </rPr>
      <t xml:space="preserve"> </t>
    </r>
    <r>
      <rPr>
        <sz val="8"/>
        <rFont val="Cambria"/>
        <family val="1"/>
      </rPr>
      <t>sq.</t>
    </r>
    <r>
      <rPr>
        <sz val="8"/>
        <rFont val="Times New Roman"/>
        <family val="1"/>
      </rPr>
      <t xml:space="preserve"> </t>
    </r>
    <r>
      <rPr>
        <sz val="8"/>
        <rFont val="Cambria"/>
        <family val="1"/>
      </rPr>
      <t>mm</t>
    </r>
    <r>
      <rPr>
        <sz val="8"/>
        <rFont val="Times New Roman"/>
        <family val="1"/>
      </rPr>
      <t xml:space="preserve"> </t>
    </r>
    <r>
      <rPr>
        <sz val="8"/>
        <rFont val="Cambria"/>
        <family val="1"/>
      </rPr>
      <t>PVC</t>
    </r>
    <r>
      <rPr>
        <sz val="8"/>
        <rFont val="Times New Roman"/>
        <family val="1"/>
      </rPr>
      <t xml:space="preserve"> </t>
    </r>
    <r>
      <rPr>
        <sz val="8"/>
        <rFont val="Cambria"/>
        <family val="1"/>
      </rPr>
      <t>FR</t>
    </r>
    <r>
      <rPr>
        <sz val="8"/>
        <rFont val="Times New Roman"/>
        <family val="1"/>
      </rPr>
      <t xml:space="preserve"> </t>
    </r>
    <r>
      <rPr>
        <sz val="8"/>
        <rFont val="Cambria"/>
        <family val="1"/>
      </rPr>
      <t>wires</t>
    </r>
    <r>
      <rPr>
        <sz val="8"/>
        <rFont val="Times New Roman"/>
        <family val="1"/>
      </rPr>
      <t xml:space="preserve"> </t>
    </r>
    <r>
      <rPr>
        <sz val="8"/>
        <rFont val="Cambria"/>
        <family val="1"/>
      </rPr>
      <t>in</t>
    </r>
    <r>
      <rPr>
        <sz val="8"/>
        <rFont val="Times New Roman"/>
        <family val="1"/>
      </rPr>
      <t xml:space="preserve"> </t>
    </r>
    <r>
      <rPr>
        <sz val="8"/>
        <rFont val="Cambria"/>
        <family val="1"/>
      </rPr>
      <t>RIGID</t>
    </r>
    <r>
      <rPr>
        <sz val="8"/>
        <rFont val="Times New Roman"/>
        <family val="1"/>
      </rPr>
      <t xml:space="preserve"> </t>
    </r>
    <r>
      <rPr>
        <sz val="8"/>
        <rFont val="Cambria"/>
        <family val="1"/>
      </rPr>
      <t>PVC</t>
    </r>
    <r>
      <rPr>
        <sz val="8"/>
        <rFont val="Times New Roman"/>
        <family val="1"/>
      </rPr>
      <t xml:space="preserve"> </t>
    </r>
    <r>
      <rPr>
        <sz val="8"/>
        <rFont val="Cambria"/>
        <family val="1"/>
      </rPr>
      <t>conduits</t>
    </r>
    <r>
      <rPr>
        <sz val="8"/>
        <rFont val="Times New Roman"/>
        <family val="1"/>
      </rPr>
      <t xml:space="preserve"> </t>
    </r>
    <r>
      <rPr>
        <sz val="8"/>
        <rFont val="Cambria"/>
        <family val="1"/>
      </rPr>
      <t>2mm</t>
    </r>
    <r>
      <rPr>
        <sz val="8"/>
        <rFont val="Times New Roman"/>
        <family val="1"/>
      </rPr>
      <t xml:space="preserve">  </t>
    </r>
    <r>
      <rPr>
        <sz val="8"/>
        <rFont val="Cambria"/>
        <family val="1"/>
      </rPr>
      <t>thick</t>
    </r>
    <r>
      <rPr>
        <sz val="8"/>
        <rFont val="Times New Roman"/>
        <family val="1"/>
      </rPr>
      <t xml:space="preserve">  </t>
    </r>
    <r>
      <rPr>
        <sz val="8"/>
        <rFont val="Cambria"/>
        <family val="1"/>
      </rPr>
      <t>with</t>
    </r>
    <r>
      <rPr>
        <sz val="8"/>
        <rFont val="Times New Roman"/>
        <family val="1"/>
      </rPr>
      <t xml:space="preserve">  </t>
    </r>
    <r>
      <rPr>
        <sz val="8"/>
        <rFont val="Cambria"/>
        <family val="1"/>
      </rPr>
      <t>providing</t>
    </r>
    <r>
      <rPr>
        <sz val="8"/>
        <rFont val="Times New Roman"/>
        <family val="1"/>
      </rPr>
      <t xml:space="preserve">  </t>
    </r>
    <r>
      <rPr>
        <sz val="8"/>
        <rFont val="Cambria"/>
        <family val="1"/>
      </rPr>
      <t>16</t>
    </r>
    <r>
      <rPr>
        <sz val="8"/>
        <rFont val="Times New Roman"/>
        <family val="1"/>
      </rPr>
      <t xml:space="preserve">  </t>
    </r>
    <r>
      <rPr>
        <sz val="8"/>
        <rFont val="Cambria"/>
        <family val="1"/>
      </rPr>
      <t>amp</t>
    </r>
    <r>
      <rPr>
        <sz val="8"/>
        <rFont val="Times New Roman"/>
        <family val="1"/>
      </rPr>
      <t xml:space="preserve">  </t>
    </r>
    <r>
      <rPr>
        <sz val="8"/>
        <rFont val="Cambria"/>
        <family val="1"/>
      </rPr>
      <t>flush</t>
    </r>
    <r>
      <rPr>
        <sz val="8"/>
        <rFont val="Times New Roman"/>
        <family val="1"/>
      </rPr>
      <t xml:space="preserve">  </t>
    </r>
    <r>
      <rPr>
        <sz val="8"/>
        <rFont val="Cambria"/>
        <family val="1"/>
      </rPr>
      <t>type</t>
    </r>
    <r>
      <rPr>
        <sz val="8"/>
        <rFont val="Times New Roman"/>
        <family val="1"/>
      </rPr>
      <t xml:space="preserve">  </t>
    </r>
    <r>
      <rPr>
        <sz val="8"/>
        <rFont val="Cambria"/>
        <family val="1"/>
      </rPr>
      <t>modular</t>
    </r>
    <r>
      <rPr>
        <sz val="8"/>
        <rFont val="Times New Roman"/>
        <family val="1"/>
      </rPr>
      <t xml:space="preserve">  </t>
    </r>
    <r>
      <rPr>
        <sz val="8"/>
        <rFont val="Cambria"/>
        <family val="1"/>
      </rPr>
      <t>switches</t>
    </r>
    <r>
      <rPr>
        <sz val="8"/>
        <rFont val="Times New Roman"/>
        <family val="1"/>
      </rPr>
      <t xml:space="preserve">  </t>
    </r>
    <r>
      <rPr>
        <sz val="8"/>
        <rFont val="Cambria"/>
        <family val="1"/>
      </rPr>
      <t>and</t>
    </r>
    <r>
      <rPr>
        <sz val="8"/>
        <rFont val="Times New Roman"/>
        <family val="1"/>
      </rPr>
      <t xml:space="preserve">  </t>
    </r>
    <r>
      <rPr>
        <sz val="8"/>
        <rFont val="Cambria"/>
        <family val="1"/>
      </rPr>
      <t>sockets</t>
    </r>
    <r>
      <rPr>
        <sz val="8"/>
        <rFont val="Times New Roman"/>
        <family val="1"/>
      </rPr>
      <t xml:space="preserve">  </t>
    </r>
    <r>
      <rPr>
        <sz val="8"/>
        <rFont val="Cambria"/>
        <family val="1"/>
      </rPr>
      <t>&amp;</t>
    </r>
    <r>
      <rPr>
        <sz val="8"/>
        <rFont val="Times New Roman"/>
        <family val="1"/>
      </rPr>
      <t xml:space="preserve">  </t>
    </r>
    <r>
      <rPr>
        <sz val="8"/>
        <rFont val="Cambria"/>
        <family val="1"/>
      </rPr>
      <t>MS</t>
    </r>
    <r>
      <rPr>
        <sz val="8"/>
        <rFont val="Times New Roman"/>
        <family val="1"/>
      </rPr>
      <t xml:space="preserve"> </t>
    </r>
    <r>
      <rPr>
        <sz val="8"/>
        <rFont val="Cambria"/>
        <family val="1"/>
      </rPr>
      <t>Anodised</t>
    </r>
    <r>
      <rPr>
        <sz val="8"/>
        <rFont val="Times New Roman"/>
        <family val="1"/>
      </rPr>
      <t xml:space="preserve">  </t>
    </r>
    <r>
      <rPr>
        <sz val="8"/>
        <rFont val="Cambria"/>
        <family val="1"/>
      </rPr>
      <t>16</t>
    </r>
    <r>
      <rPr>
        <sz val="8"/>
        <rFont val="Times New Roman"/>
        <family val="1"/>
      </rPr>
      <t xml:space="preserve">  </t>
    </r>
    <r>
      <rPr>
        <sz val="8"/>
        <rFont val="Cambria"/>
        <family val="1"/>
      </rPr>
      <t>SWG</t>
    </r>
    <r>
      <rPr>
        <sz val="8"/>
        <rFont val="Times New Roman"/>
        <family val="1"/>
      </rPr>
      <t xml:space="preserve">  </t>
    </r>
    <r>
      <rPr>
        <sz val="8"/>
        <rFont val="Cambria"/>
        <family val="1"/>
      </rPr>
      <t>switch</t>
    </r>
    <r>
      <rPr>
        <sz val="8"/>
        <rFont val="Times New Roman"/>
        <family val="1"/>
      </rPr>
      <t xml:space="preserve"> </t>
    </r>
    <r>
      <rPr>
        <sz val="8"/>
        <rFont val="Cambria"/>
        <family val="1"/>
      </rPr>
      <t>boxes,</t>
    </r>
    <r>
      <rPr>
        <sz val="8"/>
        <rFont val="Times New Roman"/>
        <family val="1"/>
      </rPr>
      <t xml:space="preserve"> </t>
    </r>
    <r>
      <rPr>
        <sz val="8"/>
        <rFont val="Cambria"/>
        <family val="1"/>
      </rPr>
      <t>cover</t>
    </r>
    <r>
      <rPr>
        <sz val="8"/>
        <rFont val="Times New Roman"/>
        <family val="1"/>
      </rPr>
      <t xml:space="preserve"> </t>
    </r>
    <r>
      <rPr>
        <sz val="8"/>
        <rFont val="Cambria"/>
        <family val="1"/>
      </rPr>
      <t>plate</t>
    </r>
    <r>
      <rPr>
        <sz val="8"/>
        <rFont val="Times New Roman"/>
        <family val="1"/>
      </rPr>
      <t xml:space="preserve"> </t>
    </r>
    <r>
      <rPr>
        <sz val="8"/>
        <rFont val="Cambria"/>
        <family val="1"/>
      </rPr>
      <t>and</t>
    </r>
    <r>
      <rPr>
        <sz val="8"/>
        <rFont val="Times New Roman"/>
        <family val="1"/>
      </rPr>
      <t xml:space="preserve">  </t>
    </r>
    <r>
      <rPr>
        <sz val="8"/>
        <rFont val="Cambria"/>
        <family val="1"/>
      </rPr>
      <t>earthing</t>
    </r>
    <r>
      <rPr>
        <sz val="8"/>
        <rFont val="Times New Roman"/>
        <family val="1"/>
      </rPr>
      <t xml:space="preserve"> </t>
    </r>
    <r>
      <rPr>
        <sz val="8"/>
        <rFont val="Cambria"/>
        <family val="1"/>
      </rPr>
      <t>with</t>
    </r>
    <r>
      <rPr>
        <sz val="8"/>
        <rFont val="Times New Roman"/>
        <family val="1"/>
      </rPr>
      <t xml:space="preserve"> </t>
    </r>
    <r>
      <rPr>
        <sz val="8"/>
        <rFont val="Cambria"/>
        <family val="1"/>
      </rPr>
      <t>1.5/2.5</t>
    </r>
    <r>
      <rPr>
        <sz val="8"/>
        <rFont val="Times New Roman"/>
        <family val="1"/>
      </rPr>
      <t xml:space="preserve">  </t>
    </r>
    <r>
      <rPr>
        <sz val="8"/>
        <rFont val="Cambria"/>
        <family val="1"/>
      </rPr>
      <t>sq.</t>
    </r>
    <r>
      <rPr>
        <sz val="8"/>
        <rFont val="Times New Roman"/>
        <family val="1"/>
      </rPr>
      <t xml:space="preserve">  </t>
    </r>
    <r>
      <rPr>
        <sz val="8"/>
        <rFont val="Cambria"/>
        <family val="1"/>
      </rPr>
      <t>mm</t>
    </r>
    <r>
      <rPr>
        <sz val="8"/>
        <rFont val="Times New Roman"/>
        <family val="1"/>
      </rPr>
      <t xml:space="preserve">  </t>
    </r>
    <r>
      <rPr>
        <sz val="8"/>
        <rFont val="Cambria"/>
        <family val="1"/>
      </rPr>
      <t xml:space="preserve">PVC
</t>
    </r>
    <r>
      <rPr>
        <sz val="8"/>
        <rFont val="Cambria"/>
        <family val="1"/>
      </rPr>
      <t>insulated</t>
    </r>
    <r>
      <rPr>
        <sz val="8"/>
        <rFont val="Times New Roman"/>
        <family val="1"/>
      </rPr>
      <t xml:space="preserve"> </t>
    </r>
    <r>
      <rPr>
        <sz val="8"/>
        <rFont val="Cambria"/>
        <family val="1"/>
      </rPr>
      <t>copper</t>
    </r>
    <r>
      <rPr>
        <sz val="8"/>
        <rFont val="Times New Roman"/>
        <family val="1"/>
      </rPr>
      <t xml:space="preserve"> </t>
    </r>
    <r>
      <rPr>
        <sz val="8"/>
        <rFont val="Cambria"/>
        <family val="1"/>
      </rPr>
      <t>conductor</t>
    </r>
    <r>
      <rPr>
        <sz val="8"/>
        <rFont val="Times New Roman"/>
        <family val="1"/>
      </rPr>
      <t xml:space="preserve"> </t>
    </r>
    <r>
      <rPr>
        <sz val="8"/>
        <rFont val="Cambria"/>
        <family val="1"/>
      </rPr>
      <t>earth</t>
    </r>
    <r>
      <rPr>
        <sz val="8"/>
        <rFont val="Times New Roman"/>
        <family val="1"/>
      </rPr>
      <t xml:space="preserve"> </t>
    </r>
    <r>
      <rPr>
        <sz val="8"/>
        <rFont val="Cambria"/>
        <family val="1"/>
      </rPr>
      <t>wire.</t>
    </r>
  </si>
  <si>
    <r>
      <rPr>
        <b/>
        <sz val="8"/>
        <rFont val="Cambria"/>
        <family val="1"/>
      </rPr>
      <t>UPS</t>
    </r>
    <r>
      <rPr>
        <sz val="8"/>
        <rFont val="Times New Roman"/>
        <family val="1"/>
      </rPr>
      <t xml:space="preserve">  </t>
    </r>
    <r>
      <rPr>
        <sz val="8"/>
        <rFont val="Cambria"/>
        <family val="1"/>
      </rPr>
      <t>Wiring</t>
    </r>
    <r>
      <rPr>
        <sz val="8"/>
        <rFont val="Times New Roman"/>
        <family val="1"/>
      </rPr>
      <t xml:space="preserve"> </t>
    </r>
    <r>
      <rPr>
        <sz val="8"/>
        <rFont val="Cambria"/>
        <family val="1"/>
      </rPr>
      <t>including</t>
    </r>
    <r>
      <rPr>
        <sz val="8"/>
        <rFont val="Times New Roman"/>
        <family val="1"/>
      </rPr>
      <t xml:space="preserve"> </t>
    </r>
    <r>
      <rPr>
        <sz val="8"/>
        <rFont val="Cambria"/>
        <family val="1"/>
      </rPr>
      <t>2.5sq.</t>
    </r>
    <r>
      <rPr>
        <sz val="8"/>
        <rFont val="Times New Roman"/>
        <family val="1"/>
      </rPr>
      <t xml:space="preserve"> </t>
    </r>
    <r>
      <rPr>
        <sz val="8"/>
        <rFont val="Cambria"/>
        <family val="1"/>
      </rPr>
      <t>mm</t>
    </r>
    <r>
      <rPr>
        <sz val="8"/>
        <rFont val="Times New Roman"/>
        <family val="1"/>
      </rPr>
      <t xml:space="preserve"> </t>
    </r>
    <r>
      <rPr>
        <sz val="8"/>
        <rFont val="Cambria"/>
        <family val="1"/>
      </rPr>
      <t>PVC</t>
    </r>
    <r>
      <rPr>
        <sz val="8"/>
        <rFont val="Times New Roman"/>
        <family val="1"/>
      </rPr>
      <t xml:space="preserve"> </t>
    </r>
    <r>
      <rPr>
        <sz val="8"/>
        <rFont val="Cambria"/>
        <family val="1"/>
      </rPr>
      <t>FR</t>
    </r>
    <r>
      <rPr>
        <sz val="8"/>
        <rFont val="Times New Roman"/>
        <family val="1"/>
      </rPr>
      <t xml:space="preserve"> </t>
    </r>
    <r>
      <rPr>
        <sz val="8"/>
        <rFont val="Cambria"/>
        <family val="1"/>
      </rPr>
      <t>wires</t>
    </r>
    <r>
      <rPr>
        <sz val="8"/>
        <rFont val="Times New Roman"/>
        <family val="1"/>
      </rPr>
      <t xml:space="preserve"> </t>
    </r>
    <r>
      <rPr>
        <sz val="8"/>
        <rFont val="Cambria"/>
        <family val="1"/>
      </rPr>
      <t>in</t>
    </r>
    <r>
      <rPr>
        <sz val="8"/>
        <rFont val="Times New Roman"/>
        <family val="1"/>
      </rPr>
      <t xml:space="preserve"> </t>
    </r>
    <r>
      <rPr>
        <sz val="8"/>
        <rFont val="Cambria"/>
        <family val="1"/>
      </rPr>
      <t>RIGID</t>
    </r>
    <r>
      <rPr>
        <sz val="8"/>
        <rFont val="Times New Roman"/>
        <family val="1"/>
      </rPr>
      <t xml:space="preserve"> </t>
    </r>
    <r>
      <rPr>
        <sz val="8"/>
        <rFont val="Cambria"/>
        <family val="1"/>
      </rPr>
      <t>PVC</t>
    </r>
    <r>
      <rPr>
        <sz val="8"/>
        <rFont val="Times New Roman"/>
        <family val="1"/>
      </rPr>
      <t xml:space="preserve"> </t>
    </r>
    <r>
      <rPr>
        <sz val="8"/>
        <rFont val="Cambria"/>
        <family val="1"/>
      </rPr>
      <t>conduits</t>
    </r>
    <r>
      <rPr>
        <sz val="8"/>
        <rFont val="Times New Roman"/>
        <family val="1"/>
      </rPr>
      <t xml:space="preserve"> </t>
    </r>
    <r>
      <rPr>
        <sz val="8"/>
        <rFont val="Cambria"/>
        <family val="1"/>
      </rPr>
      <t>2mm</t>
    </r>
    <r>
      <rPr>
        <sz val="8"/>
        <rFont val="Times New Roman"/>
        <family val="1"/>
      </rPr>
      <t xml:space="preserve"> </t>
    </r>
    <r>
      <rPr>
        <sz val="8"/>
        <rFont val="Cambria"/>
        <family val="1"/>
      </rPr>
      <t>thick</t>
    </r>
    <r>
      <rPr>
        <sz val="8"/>
        <rFont val="Times New Roman"/>
        <family val="1"/>
      </rPr>
      <t xml:space="preserve"> </t>
    </r>
    <r>
      <rPr>
        <sz val="8"/>
        <rFont val="Cambria"/>
        <family val="1"/>
      </rPr>
      <t>with</t>
    </r>
    <r>
      <rPr>
        <sz val="8"/>
        <rFont val="Times New Roman"/>
        <family val="1"/>
      </rPr>
      <t xml:space="preserve"> </t>
    </r>
    <r>
      <rPr>
        <sz val="8"/>
        <rFont val="Cambria"/>
        <family val="1"/>
      </rPr>
      <t>providing</t>
    </r>
    <r>
      <rPr>
        <sz val="8"/>
        <rFont val="Times New Roman"/>
        <family val="1"/>
      </rPr>
      <t xml:space="preserve"> </t>
    </r>
    <r>
      <rPr>
        <sz val="8"/>
        <rFont val="Cambria"/>
        <family val="1"/>
      </rPr>
      <t>25</t>
    </r>
    <r>
      <rPr>
        <sz val="8"/>
        <rFont val="Times New Roman"/>
        <family val="1"/>
      </rPr>
      <t xml:space="preserve"> </t>
    </r>
    <r>
      <rPr>
        <sz val="8"/>
        <rFont val="Cambria"/>
        <family val="1"/>
      </rPr>
      <t>amp</t>
    </r>
    <r>
      <rPr>
        <sz val="8"/>
        <rFont val="Times New Roman"/>
        <family val="1"/>
      </rPr>
      <t xml:space="preserve"> </t>
    </r>
    <r>
      <rPr>
        <sz val="8"/>
        <rFont val="Cambria"/>
        <family val="1"/>
      </rPr>
      <t>flush</t>
    </r>
    <r>
      <rPr>
        <sz val="8"/>
        <rFont val="Times New Roman"/>
        <family val="1"/>
      </rPr>
      <t xml:space="preserve"> </t>
    </r>
    <r>
      <rPr>
        <sz val="8"/>
        <rFont val="Cambria"/>
        <family val="1"/>
      </rPr>
      <t>type</t>
    </r>
    <r>
      <rPr>
        <sz val="8"/>
        <rFont val="Times New Roman"/>
        <family val="1"/>
      </rPr>
      <t xml:space="preserve"> </t>
    </r>
    <r>
      <rPr>
        <sz val="8"/>
        <rFont val="Cambria"/>
        <family val="1"/>
      </rPr>
      <t>modular</t>
    </r>
    <r>
      <rPr>
        <sz val="8"/>
        <rFont val="Times New Roman"/>
        <family val="1"/>
      </rPr>
      <t xml:space="preserve"> </t>
    </r>
    <r>
      <rPr>
        <sz val="8"/>
        <rFont val="Cambria"/>
        <family val="1"/>
      </rPr>
      <t>switches</t>
    </r>
    <r>
      <rPr>
        <sz val="8"/>
        <rFont val="Times New Roman"/>
        <family val="1"/>
      </rPr>
      <t xml:space="preserve"> </t>
    </r>
    <r>
      <rPr>
        <sz val="8"/>
        <rFont val="Cambria"/>
        <family val="1"/>
      </rPr>
      <t>and</t>
    </r>
    <r>
      <rPr>
        <sz val="8"/>
        <rFont val="Times New Roman"/>
        <family val="1"/>
      </rPr>
      <t xml:space="preserve"> </t>
    </r>
    <r>
      <rPr>
        <sz val="8"/>
        <rFont val="Cambria"/>
        <family val="1"/>
      </rPr>
      <t>sockets</t>
    </r>
    <r>
      <rPr>
        <sz val="8"/>
        <rFont val="Times New Roman"/>
        <family val="1"/>
      </rPr>
      <t xml:space="preserve"> </t>
    </r>
    <r>
      <rPr>
        <sz val="8"/>
        <rFont val="Cambria"/>
        <family val="1"/>
      </rPr>
      <t>&amp;</t>
    </r>
    <r>
      <rPr>
        <sz val="8"/>
        <rFont val="Times New Roman"/>
        <family val="1"/>
      </rPr>
      <t xml:space="preserve"> </t>
    </r>
    <r>
      <rPr>
        <sz val="8"/>
        <rFont val="Cambria"/>
        <family val="1"/>
      </rPr>
      <t>MS</t>
    </r>
    <r>
      <rPr>
        <sz val="8"/>
        <rFont val="Times New Roman"/>
        <family val="1"/>
      </rPr>
      <t xml:space="preserve"> </t>
    </r>
    <r>
      <rPr>
        <sz val="8"/>
        <rFont val="Cambria"/>
        <family val="1"/>
      </rPr>
      <t>Anodised</t>
    </r>
    <r>
      <rPr>
        <sz val="8"/>
        <rFont val="Times New Roman"/>
        <family val="1"/>
      </rPr>
      <t xml:space="preserve"> </t>
    </r>
    <r>
      <rPr>
        <sz val="8"/>
        <rFont val="Cambria"/>
        <family val="1"/>
      </rPr>
      <t>16</t>
    </r>
    <r>
      <rPr>
        <sz val="8"/>
        <rFont val="Times New Roman"/>
        <family val="1"/>
      </rPr>
      <t xml:space="preserve"> </t>
    </r>
    <r>
      <rPr>
        <sz val="8"/>
        <rFont val="Cambria"/>
        <family val="1"/>
      </rPr>
      <t>SWG</t>
    </r>
    <r>
      <rPr>
        <sz val="8"/>
        <rFont val="Times New Roman"/>
        <family val="1"/>
      </rPr>
      <t xml:space="preserve"> </t>
    </r>
    <r>
      <rPr>
        <sz val="8"/>
        <rFont val="Cambria"/>
        <family val="1"/>
      </rPr>
      <t>switch</t>
    </r>
    <r>
      <rPr>
        <sz val="8"/>
        <rFont val="Times New Roman"/>
        <family val="1"/>
      </rPr>
      <t xml:space="preserve">  </t>
    </r>
    <r>
      <rPr>
        <sz val="8"/>
        <rFont val="Cambria"/>
        <family val="1"/>
      </rPr>
      <t>boxes,</t>
    </r>
    <r>
      <rPr>
        <sz val="8"/>
        <rFont val="Times New Roman"/>
        <family val="1"/>
      </rPr>
      <t xml:space="preserve">  </t>
    </r>
    <r>
      <rPr>
        <sz val="8"/>
        <rFont val="Cambria"/>
        <family val="1"/>
      </rPr>
      <t>cover</t>
    </r>
    <r>
      <rPr>
        <sz val="8"/>
        <rFont val="Times New Roman"/>
        <family val="1"/>
      </rPr>
      <t xml:space="preserve">  </t>
    </r>
    <r>
      <rPr>
        <sz val="8"/>
        <rFont val="Cambria"/>
        <family val="1"/>
      </rPr>
      <t>plate</t>
    </r>
    <r>
      <rPr>
        <sz val="8"/>
        <rFont val="Times New Roman"/>
        <family val="1"/>
      </rPr>
      <t xml:space="preserve">  </t>
    </r>
    <r>
      <rPr>
        <sz val="8"/>
        <rFont val="Cambria"/>
        <family val="1"/>
      </rPr>
      <t>and</t>
    </r>
    <r>
      <rPr>
        <sz val="8"/>
        <rFont val="Times New Roman"/>
        <family val="1"/>
      </rPr>
      <t xml:space="preserve">  </t>
    </r>
    <r>
      <rPr>
        <sz val="8"/>
        <rFont val="Cambria"/>
        <family val="1"/>
      </rPr>
      <t>earthing</t>
    </r>
    <r>
      <rPr>
        <sz val="8"/>
        <rFont val="Times New Roman"/>
        <family val="1"/>
      </rPr>
      <t xml:space="preserve">  </t>
    </r>
    <r>
      <rPr>
        <sz val="8"/>
        <rFont val="Cambria"/>
        <family val="1"/>
      </rPr>
      <t>with</t>
    </r>
    <r>
      <rPr>
        <sz val="8"/>
        <rFont val="Times New Roman"/>
        <family val="1"/>
      </rPr>
      <t xml:space="preserve">  </t>
    </r>
    <r>
      <rPr>
        <sz val="8"/>
        <rFont val="Cambria"/>
        <family val="1"/>
      </rPr>
      <t>1.5</t>
    </r>
    <r>
      <rPr>
        <sz val="8"/>
        <rFont val="Times New Roman"/>
        <family val="1"/>
      </rPr>
      <t xml:space="preserve">  </t>
    </r>
    <r>
      <rPr>
        <sz val="8"/>
        <rFont val="Cambria"/>
        <family val="1"/>
      </rPr>
      <t>sq.</t>
    </r>
    <r>
      <rPr>
        <sz val="8"/>
        <rFont val="Times New Roman"/>
        <family val="1"/>
      </rPr>
      <t xml:space="preserve">  </t>
    </r>
    <r>
      <rPr>
        <sz val="8"/>
        <rFont val="Cambria"/>
        <family val="1"/>
      </rPr>
      <t>mm</t>
    </r>
    <r>
      <rPr>
        <sz val="8"/>
        <rFont val="Times New Roman"/>
        <family val="1"/>
      </rPr>
      <t xml:space="preserve">  </t>
    </r>
    <r>
      <rPr>
        <sz val="8"/>
        <rFont val="Cambria"/>
        <family val="1"/>
      </rPr>
      <t>PVC</t>
    </r>
    <r>
      <rPr>
        <sz val="8"/>
        <rFont val="Times New Roman"/>
        <family val="1"/>
      </rPr>
      <t xml:space="preserve">  </t>
    </r>
    <r>
      <rPr>
        <sz val="8"/>
        <rFont val="Cambria"/>
        <family val="1"/>
      </rPr>
      <t>insulated</t>
    </r>
    <r>
      <rPr>
        <sz val="8"/>
        <rFont val="Times New Roman"/>
        <family val="1"/>
      </rPr>
      <t xml:space="preserve">  </t>
    </r>
    <r>
      <rPr>
        <sz val="8"/>
        <rFont val="Cambria"/>
        <family val="1"/>
      </rPr>
      <t>copper</t>
    </r>
    <r>
      <rPr>
        <sz val="8"/>
        <rFont val="Times New Roman"/>
        <family val="1"/>
      </rPr>
      <t xml:space="preserve"> </t>
    </r>
    <r>
      <rPr>
        <sz val="8"/>
        <rFont val="Cambria"/>
        <family val="1"/>
      </rPr>
      <t>conductor</t>
    </r>
    <r>
      <rPr>
        <sz val="8"/>
        <rFont val="Times New Roman"/>
        <family val="1"/>
      </rPr>
      <t xml:space="preserve"> </t>
    </r>
    <r>
      <rPr>
        <sz val="8"/>
        <rFont val="Cambria"/>
        <family val="1"/>
      </rPr>
      <t>earth</t>
    </r>
    <r>
      <rPr>
        <sz val="8"/>
        <rFont val="Times New Roman"/>
        <family val="1"/>
      </rPr>
      <t xml:space="preserve"> </t>
    </r>
    <r>
      <rPr>
        <sz val="8"/>
        <rFont val="Cambria"/>
        <family val="1"/>
      </rPr>
      <t>wire.(</t>
    </r>
    <r>
      <rPr>
        <sz val="8"/>
        <rFont val="Times New Roman"/>
        <family val="1"/>
      </rPr>
      <t xml:space="preserve"> </t>
    </r>
    <r>
      <rPr>
        <sz val="8"/>
        <rFont val="Cambria"/>
        <family val="1"/>
      </rPr>
      <t>3</t>
    </r>
    <r>
      <rPr>
        <sz val="8"/>
        <rFont val="Times New Roman"/>
        <family val="1"/>
      </rPr>
      <t xml:space="preserve"> </t>
    </r>
    <r>
      <rPr>
        <sz val="8"/>
        <rFont val="Cambria"/>
        <family val="1"/>
      </rPr>
      <t>no.</t>
    </r>
    <r>
      <rPr>
        <sz val="8"/>
        <rFont val="Times New Roman"/>
        <family val="1"/>
      </rPr>
      <t xml:space="preserve"> </t>
    </r>
    <r>
      <rPr>
        <sz val="8"/>
        <rFont val="Cambria"/>
        <family val="1"/>
      </rPr>
      <t>LP</t>
    </r>
    <r>
      <rPr>
        <sz val="8"/>
        <rFont val="Times New Roman"/>
        <family val="1"/>
      </rPr>
      <t xml:space="preserve"> </t>
    </r>
    <r>
      <rPr>
        <sz val="8"/>
        <rFont val="Cambria"/>
        <family val="1"/>
      </rPr>
      <t>Point</t>
    </r>
    <r>
      <rPr>
        <sz val="8"/>
        <rFont val="Times New Roman"/>
        <family val="1"/>
      </rPr>
      <t xml:space="preserve"> </t>
    </r>
    <r>
      <rPr>
        <sz val="8"/>
        <rFont val="Cambria"/>
        <family val="1"/>
      </rPr>
      <t>Control</t>
    </r>
    <r>
      <rPr>
        <sz val="8"/>
        <rFont val="Times New Roman"/>
        <family val="1"/>
      </rPr>
      <t xml:space="preserve"> </t>
    </r>
    <r>
      <rPr>
        <sz val="8"/>
        <rFont val="Cambria"/>
        <family val="1"/>
      </rPr>
      <t>by</t>
    </r>
    <r>
      <rPr>
        <sz val="8"/>
        <rFont val="Times New Roman"/>
        <family val="1"/>
      </rPr>
      <t xml:space="preserve"> </t>
    </r>
    <r>
      <rPr>
        <sz val="8"/>
        <rFont val="Cambria"/>
        <family val="1"/>
      </rPr>
      <t>1</t>
    </r>
    <r>
      <rPr>
        <sz val="8"/>
        <rFont val="Times New Roman"/>
        <family val="1"/>
      </rPr>
      <t xml:space="preserve"> </t>
    </r>
    <r>
      <rPr>
        <sz val="8"/>
        <rFont val="Cambria"/>
        <family val="1"/>
      </rPr>
      <t>no.16A</t>
    </r>
    <r>
      <rPr>
        <sz val="8"/>
        <rFont val="Times New Roman"/>
        <family val="1"/>
      </rPr>
      <t xml:space="preserve"> </t>
    </r>
    <r>
      <rPr>
        <sz val="8"/>
        <rFont val="Cambria"/>
        <family val="1"/>
      </rPr>
      <t>Switch</t>
    </r>
  </si>
  <si>
    <r>
      <rPr>
        <sz val="8"/>
        <rFont val="Cambria"/>
        <family val="1"/>
      </rPr>
      <t>SITC</t>
    </r>
    <r>
      <rPr>
        <sz val="8"/>
        <rFont val="Times New Roman"/>
        <family val="1"/>
      </rPr>
      <t xml:space="preserve"> </t>
    </r>
    <r>
      <rPr>
        <sz val="8"/>
        <rFont val="Cambria"/>
        <family val="1"/>
      </rPr>
      <t>of</t>
    </r>
    <r>
      <rPr>
        <sz val="8"/>
        <rFont val="Times New Roman"/>
        <family val="1"/>
      </rPr>
      <t xml:space="preserve">  </t>
    </r>
    <r>
      <rPr>
        <sz val="8"/>
        <rFont val="Cambria"/>
        <family val="1"/>
      </rPr>
      <t>Server</t>
    </r>
    <r>
      <rPr>
        <sz val="8"/>
        <rFont val="Times New Roman"/>
        <family val="1"/>
      </rPr>
      <t xml:space="preserve"> </t>
    </r>
    <r>
      <rPr>
        <sz val="8"/>
        <rFont val="Cambria"/>
        <family val="1"/>
      </rPr>
      <t>Room</t>
    </r>
    <r>
      <rPr>
        <sz val="8"/>
        <rFont val="Times New Roman"/>
        <family val="1"/>
      </rPr>
      <t xml:space="preserve"> </t>
    </r>
    <r>
      <rPr>
        <sz val="8"/>
        <rFont val="Cambria"/>
        <family val="1"/>
      </rPr>
      <t>Equipmment</t>
    </r>
    <r>
      <rPr>
        <sz val="8"/>
        <rFont val="Times New Roman"/>
        <family val="1"/>
      </rPr>
      <t xml:space="preserve"> </t>
    </r>
    <r>
      <rPr>
        <sz val="8"/>
        <rFont val="Cambria"/>
        <family val="1"/>
      </rPr>
      <t>as</t>
    </r>
    <r>
      <rPr>
        <sz val="8"/>
        <rFont val="Times New Roman"/>
        <family val="1"/>
      </rPr>
      <t xml:space="preserve"> </t>
    </r>
    <r>
      <rPr>
        <sz val="8"/>
        <rFont val="Cambria"/>
        <family val="1"/>
      </rPr>
      <t>per</t>
    </r>
    <r>
      <rPr>
        <sz val="8"/>
        <rFont val="Times New Roman"/>
        <family val="1"/>
      </rPr>
      <t xml:space="preserve"> </t>
    </r>
    <r>
      <rPr>
        <sz val="8"/>
        <rFont val="Cambria"/>
        <family val="1"/>
      </rPr>
      <t>requirment</t>
    </r>
    <r>
      <rPr>
        <sz val="8"/>
        <rFont val="Times New Roman"/>
        <family val="1"/>
      </rPr>
      <t xml:space="preserve"> </t>
    </r>
    <r>
      <rPr>
        <sz val="8"/>
        <rFont val="Cambria"/>
        <family val="1"/>
      </rPr>
      <t>including</t>
    </r>
    <r>
      <rPr>
        <sz val="8"/>
        <rFont val="Times New Roman"/>
        <family val="1"/>
      </rPr>
      <t xml:space="preserve"> </t>
    </r>
    <r>
      <rPr>
        <sz val="8"/>
        <rFont val="Cambria"/>
        <family val="1"/>
      </rPr>
      <t>all</t>
    </r>
    <r>
      <rPr>
        <sz val="8"/>
        <rFont val="Times New Roman"/>
        <family val="1"/>
      </rPr>
      <t xml:space="preserve"> </t>
    </r>
    <r>
      <rPr>
        <sz val="8"/>
        <rFont val="Cambria"/>
        <family val="1"/>
      </rPr>
      <t>accessories.</t>
    </r>
  </si>
  <si>
    <r>
      <rPr>
        <sz val="8"/>
        <rFont val="Cambria"/>
        <family val="1"/>
      </rPr>
      <t>L</t>
    </r>
    <r>
      <rPr>
        <sz val="8"/>
        <rFont val="Times New Roman"/>
        <family val="1"/>
      </rPr>
      <t xml:space="preserve"> </t>
    </r>
    <r>
      <rPr>
        <sz val="8"/>
        <rFont val="Cambria"/>
        <family val="1"/>
      </rPr>
      <t>S</t>
    </r>
  </si>
  <si>
    <r>
      <rPr>
        <sz val="8"/>
        <rFont val="Cambria"/>
        <family val="1"/>
      </rPr>
      <t>Supply</t>
    </r>
    <r>
      <rPr>
        <sz val="8"/>
        <rFont val="Times New Roman"/>
        <family val="1"/>
      </rPr>
      <t xml:space="preserve">  </t>
    </r>
    <r>
      <rPr>
        <sz val="8"/>
        <rFont val="Cambria"/>
        <family val="1"/>
      </rPr>
      <t>&amp;</t>
    </r>
    <r>
      <rPr>
        <sz val="8"/>
        <rFont val="Times New Roman"/>
        <family val="1"/>
      </rPr>
      <t xml:space="preserve">  </t>
    </r>
    <r>
      <rPr>
        <sz val="8"/>
        <rFont val="Cambria"/>
        <family val="1"/>
      </rPr>
      <t>fixing</t>
    </r>
    <r>
      <rPr>
        <sz val="8"/>
        <rFont val="Times New Roman"/>
        <family val="1"/>
      </rPr>
      <t xml:space="preserve">  </t>
    </r>
    <r>
      <rPr>
        <sz val="8"/>
        <rFont val="Cambria"/>
        <family val="1"/>
      </rPr>
      <t>of</t>
    </r>
    <r>
      <rPr>
        <sz val="8"/>
        <rFont val="Times New Roman"/>
        <family val="1"/>
      </rPr>
      <t xml:space="preserve">  </t>
    </r>
    <r>
      <rPr>
        <sz val="8"/>
        <rFont val="Cambria"/>
        <family val="1"/>
      </rPr>
      <t>32</t>
    </r>
    <r>
      <rPr>
        <sz val="8"/>
        <rFont val="Times New Roman"/>
        <family val="1"/>
      </rPr>
      <t xml:space="preserve">  </t>
    </r>
    <r>
      <rPr>
        <sz val="8"/>
        <rFont val="Cambria"/>
        <family val="1"/>
      </rPr>
      <t>amp</t>
    </r>
    <r>
      <rPr>
        <sz val="8"/>
        <rFont val="Times New Roman"/>
        <family val="1"/>
      </rPr>
      <t xml:space="preserve">  </t>
    </r>
    <r>
      <rPr>
        <sz val="8"/>
        <rFont val="Cambria"/>
        <family val="1"/>
      </rPr>
      <t>3-pin</t>
    </r>
    <r>
      <rPr>
        <sz val="8"/>
        <rFont val="Times New Roman"/>
        <family val="1"/>
      </rPr>
      <t xml:space="preserve">   </t>
    </r>
    <r>
      <rPr>
        <sz val="8"/>
        <rFont val="Cambria"/>
        <family val="1"/>
      </rPr>
      <t>single</t>
    </r>
    <r>
      <rPr>
        <sz val="8"/>
        <rFont val="Times New Roman"/>
        <family val="1"/>
      </rPr>
      <t xml:space="preserve">  </t>
    </r>
    <r>
      <rPr>
        <sz val="8"/>
        <rFont val="Cambria"/>
        <family val="1"/>
      </rPr>
      <t>phase</t>
    </r>
    <r>
      <rPr>
        <sz val="8"/>
        <rFont val="Times New Roman"/>
        <family val="1"/>
      </rPr>
      <t xml:space="preserve">  </t>
    </r>
    <r>
      <rPr>
        <b/>
        <sz val="8"/>
        <rFont val="Cambria"/>
        <family val="1"/>
      </rPr>
      <t>Tempra</t>
    </r>
    <r>
      <rPr>
        <sz val="8"/>
        <rFont val="Times New Roman"/>
        <family val="1"/>
      </rPr>
      <t xml:space="preserve">  </t>
    </r>
    <r>
      <rPr>
        <b/>
        <sz val="8"/>
        <rFont val="Cambria"/>
        <family val="1"/>
      </rPr>
      <t>Plug</t>
    </r>
    <r>
      <rPr>
        <sz val="8"/>
        <rFont val="Times New Roman"/>
        <family val="1"/>
      </rPr>
      <t xml:space="preserve">  </t>
    </r>
    <r>
      <rPr>
        <b/>
        <sz val="8"/>
        <rFont val="Cambria"/>
        <family val="1"/>
      </rPr>
      <t>&amp;</t>
    </r>
    <r>
      <rPr>
        <sz val="8"/>
        <rFont val="Times New Roman"/>
        <family val="1"/>
      </rPr>
      <t xml:space="preserve">  </t>
    </r>
    <r>
      <rPr>
        <b/>
        <sz val="8"/>
        <rFont val="Cambria"/>
        <family val="1"/>
      </rPr>
      <t>socket</t>
    </r>
    <r>
      <rPr>
        <sz val="8"/>
        <rFont val="Times New Roman"/>
        <family val="1"/>
      </rPr>
      <t xml:space="preserve">  </t>
    </r>
    <r>
      <rPr>
        <sz val="8"/>
        <rFont val="Cambria"/>
        <family val="1"/>
      </rPr>
      <t>including</t>
    </r>
    <r>
      <rPr>
        <sz val="8"/>
        <rFont val="Times New Roman"/>
        <family val="1"/>
      </rPr>
      <t xml:space="preserve"> </t>
    </r>
    <r>
      <rPr>
        <sz val="8"/>
        <rFont val="Cambria"/>
        <family val="1"/>
      </rPr>
      <t>supplying</t>
    </r>
    <r>
      <rPr>
        <sz val="8"/>
        <rFont val="Times New Roman"/>
        <family val="1"/>
      </rPr>
      <t xml:space="preserve">  </t>
    </r>
    <r>
      <rPr>
        <sz val="8"/>
        <rFont val="Cambria"/>
        <family val="1"/>
      </rPr>
      <t>and</t>
    </r>
    <r>
      <rPr>
        <sz val="8"/>
        <rFont val="Times New Roman"/>
        <family val="1"/>
      </rPr>
      <t xml:space="preserve">  </t>
    </r>
    <r>
      <rPr>
        <sz val="8"/>
        <rFont val="Cambria"/>
        <family val="1"/>
      </rPr>
      <t>fixing</t>
    </r>
    <r>
      <rPr>
        <sz val="8"/>
        <rFont val="Times New Roman"/>
        <family val="1"/>
      </rPr>
      <t xml:space="preserve">  </t>
    </r>
    <r>
      <rPr>
        <sz val="8"/>
        <rFont val="Cambria"/>
        <family val="1"/>
      </rPr>
      <t>16</t>
    </r>
    <r>
      <rPr>
        <sz val="8"/>
        <rFont val="Times New Roman"/>
        <family val="1"/>
      </rPr>
      <t xml:space="preserve">  </t>
    </r>
    <r>
      <rPr>
        <sz val="8"/>
        <rFont val="Cambria"/>
        <family val="1"/>
      </rPr>
      <t>gauge</t>
    </r>
    <r>
      <rPr>
        <sz val="8"/>
        <rFont val="Times New Roman"/>
        <family val="1"/>
      </rPr>
      <t xml:space="preserve">  </t>
    </r>
    <r>
      <rPr>
        <sz val="8"/>
        <rFont val="Cambria"/>
        <family val="1"/>
      </rPr>
      <t>MS</t>
    </r>
    <r>
      <rPr>
        <sz val="8"/>
        <rFont val="Times New Roman"/>
        <family val="1"/>
      </rPr>
      <t xml:space="preserve">  </t>
    </r>
    <r>
      <rPr>
        <sz val="8"/>
        <rFont val="Cambria"/>
        <family val="1"/>
      </rPr>
      <t>outlet</t>
    </r>
    <r>
      <rPr>
        <sz val="8"/>
        <rFont val="Times New Roman"/>
        <family val="1"/>
      </rPr>
      <t xml:space="preserve">  </t>
    </r>
    <r>
      <rPr>
        <sz val="8"/>
        <rFont val="Cambria"/>
        <family val="1"/>
      </rPr>
      <t>boxes</t>
    </r>
    <r>
      <rPr>
        <sz val="8"/>
        <rFont val="Times New Roman"/>
        <family val="1"/>
      </rPr>
      <t xml:space="preserve">  </t>
    </r>
    <r>
      <rPr>
        <sz val="8"/>
        <rFont val="Cambria"/>
        <family val="1"/>
      </rPr>
      <t>of</t>
    </r>
    <r>
      <rPr>
        <sz val="8"/>
        <rFont val="Times New Roman"/>
        <family val="1"/>
      </rPr>
      <t xml:space="preserve">  </t>
    </r>
    <r>
      <rPr>
        <sz val="8"/>
        <rFont val="Cambria"/>
        <family val="1"/>
      </rPr>
      <t>suitable</t>
    </r>
    <r>
      <rPr>
        <sz val="8"/>
        <rFont val="Times New Roman"/>
        <family val="1"/>
      </rPr>
      <t xml:space="preserve">  </t>
    </r>
    <r>
      <rPr>
        <sz val="8"/>
        <rFont val="Cambria"/>
        <family val="1"/>
      </rPr>
      <t>size</t>
    </r>
    <r>
      <rPr>
        <sz val="8"/>
        <rFont val="Times New Roman"/>
        <family val="1"/>
      </rPr>
      <t xml:space="preserve">  </t>
    </r>
    <r>
      <rPr>
        <sz val="8"/>
        <rFont val="Cambria"/>
        <family val="1"/>
      </rPr>
      <t>with</t>
    </r>
    <r>
      <rPr>
        <sz val="8"/>
        <rFont val="Times New Roman"/>
        <family val="1"/>
      </rPr>
      <t xml:space="preserve">  </t>
    </r>
    <r>
      <rPr>
        <sz val="8"/>
        <rFont val="Cambria"/>
        <family val="1"/>
      </rPr>
      <t>DIN</t>
    </r>
    <r>
      <rPr>
        <sz val="8"/>
        <rFont val="Times New Roman"/>
        <family val="1"/>
      </rPr>
      <t xml:space="preserve">  </t>
    </r>
    <r>
      <rPr>
        <sz val="8"/>
        <rFont val="Cambria"/>
        <family val="1"/>
      </rPr>
      <t>rail</t>
    </r>
    <r>
      <rPr>
        <sz val="8"/>
        <rFont val="Times New Roman"/>
        <family val="1"/>
      </rPr>
      <t xml:space="preserve">  </t>
    </r>
    <r>
      <rPr>
        <sz val="8"/>
        <rFont val="Cambria"/>
        <family val="1"/>
      </rPr>
      <t>for</t>
    </r>
    <r>
      <rPr>
        <sz val="8"/>
        <rFont val="Times New Roman"/>
        <family val="1"/>
      </rPr>
      <t xml:space="preserve">  </t>
    </r>
    <r>
      <rPr>
        <b/>
        <sz val="8"/>
        <rFont val="Cambria"/>
        <family val="1"/>
      </rPr>
      <t>4</t>
    </r>
    <r>
      <rPr>
        <sz val="8"/>
        <rFont val="Times New Roman"/>
        <family val="1"/>
      </rPr>
      <t xml:space="preserve"> </t>
    </r>
    <r>
      <rPr>
        <b/>
        <sz val="8"/>
        <rFont val="Cambria"/>
        <family val="1"/>
      </rPr>
      <t>module</t>
    </r>
    <r>
      <rPr>
        <sz val="8"/>
        <rFont val="Times New Roman"/>
        <family val="1"/>
      </rPr>
      <t xml:space="preserve"> </t>
    </r>
    <r>
      <rPr>
        <b/>
        <sz val="8"/>
        <rFont val="Cambria"/>
        <family val="1"/>
      </rPr>
      <t>protection,</t>
    </r>
    <r>
      <rPr>
        <sz val="8"/>
        <rFont val="Times New Roman"/>
        <family val="1"/>
      </rPr>
      <t xml:space="preserve"> </t>
    </r>
    <r>
      <rPr>
        <b/>
        <sz val="8"/>
        <rFont val="Cambria"/>
        <family val="1"/>
      </rPr>
      <t>32</t>
    </r>
    <r>
      <rPr>
        <sz val="8"/>
        <rFont val="Times New Roman"/>
        <family val="1"/>
      </rPr>
      <t xml:space="preserve"> </t>
    </r>
    <r>
      <rPr>
        <b/>
        <sz val="8"/>
        <rFont val="Cambria"/>
        <family val="1"/>
      </rPr>
      <t>amp</t>
    </r>
    <r>
      <rPr>
        <sz val="8"/>
        <rFont val="Times New Roman"/>
        <family val="1"/>
      </rPr>
      <t xml:space="preserve"> </t>
    </r>
    <r>
      <rPr>
        <b/>
        <sz val="8"/>
        <rFont val="Cambria"/>
        <family val="1"/>
      </rPr>
      <t>DP</t>
    </r>
    <r>
      <rPr>
        <sz val="8"/>
        <rFont val="Times New Roman"/>
        <family val="1"/>
      </rPr>
      <t xml:space="preserve"> </t>
    </r>
    <r>
      <rPr>
        <b/>
        <sz val="8"/>
        <rFont val="Cambria"/>
        <family val="1"/>
      </rPr>
      <t>RCBO</t>
    </r>
    <r>
      <rPr>
        <sz val="8"/>
        <rFont val="Times New Roman"/>
        <family val="1"/>
      </rPr>
      <t xml:space="preserve"> </t>
    </r>
    <r>
      <rPr>
        <b/>
        <sz val="8"/>
        <rFont val="Cambria"/>
        <family val="1"/>
      </rPr>
      <t>100mA</t>
    </r>
    <r>
      <rPr>
        <sz val="8"/>
        <rFont val="Cambria"/>
        <family val="1"/>
      </rPr>
      <t>,</t>
    </r>
    <r>
      <rPr>
        <sz val="8"/>
        <rFont val="Times New Roman"/>
        <family val="1"/>
      </rPr>
      <t xml:space="preserve"> </t>
    </r>
    <r>
      <rPr>
        <sz val="8"/>
        <rFont val="Cambria"/>
        <family val="1"/>
      </rPr>
      <t>and</t>
    </r>
    <r>
      <rPr>
        <sz val="8"/>
        <rFont val="Times New Roman"/>
        <family val="1"/>
      </rPr>
      <t xml:space="preserve"> </t>
    </r>
    <r>
      <rPr>
        <sz val="8"/>
        <rFont val="Cambria"/>
        <family val="1"/>
      </rPr>
      <t>a</t>
    </r>
    <r>
      <rPr>
        <sz val="8"/>
        <rFont val="Times New Roman"/>
        <family val="1"/>
      </rPr>
      <t xml:space="preserve"> </t>
    </r>
    <r>
      <rPr>
        <sz val="8"/>
        <rFont val="Cambria"/>
        <family val="1"/>
      </rPr>
      <t>plug</t>
    </r>
    <r>
      <rPr>
        <sz val="8"/>
        <rFont val="Times New Roman"/>
        <family val="1"/>
      </rPr>
      <t xml:space="preserve"> </t>
    </r>
    <r>
      <rPr>
        <sz val="8"/>
        <rFont val="Cambria"/>
        <family val="1"/>
      </rPr>
      <t>top,</t>
    </r>
    <r>
      <rPr>
        <sz val="8"/>
        <rFont val="Times New Roman"/>
        <family val="1"/>
      </rPr>
      <t xml:space="preserve"> </t>
    </r>
    <r>
      <rPr>
        <sz val="8"/>
        <rFont val="Cambria"/>
        <family val="1"/>
      </rPr>
      <t>complete</t>
    </r>
    <r>
      <rPr>
        <sz val="8"/>
        <rFont val="Times New Roman"/>
        <family val="1"/>
      </rPr>
      <t xml:space="preserve"> </t>
    </r>
    <r>
      <rPr>
        <sz val="8"/>
        <rFont val="Cambria"/>
        <family val="1"/>
      </rPr>
      <t>as</t>
    </r>
    <r>
      <rPr>
        <sz val="8"/>
        <rFont val="Times New Roman"/>
        <family val="1"/>
      </rPr>
      <t xml:space="preserve"> </t>
    </r>
    <r>
      <rPr>
        <sz val="8"/>
        <rFont val="Cambria"/>
        <family val="1"/>
      </rPr>
      <t xml:space="preserve">required
</t>
    </r>
    <r>
      <rPr>
        <sz val="8"/>
        <rFont val="Cambria"/>
        <family val="1"/>
      </rPr>
      <t>and</t>
    </r>
    <r>
      <rPr>
        <sz val="8"/>
        <rFont val="Times New Roman"/>
        <family val="1"/>
      </rPr>
      <t xml:space="preserve"> </t>
    </r>
    <r>
      <rPr>
        <sz val="8"/>
        <rFont val="Cambria"/>
        <family val="1"/>
      </rPr>
      <t>as</t>
    </r>
    <r>
      <rPr>
        <sz val="8"/>
        <rFont val="Times New Roman"/>
        <family val="1"/>
      </rPr>
      <t xml:space="preserve"> </t>
    </r>
    <r>
      <rPr>
        <sz val="8"/>
        <rFont val="Cambria"/>
        <family val="1"/>
      </rPr>
      <t>per</t>
    </r>
    <r>
      <rPr>
        <sz val="8"/>
        <rFont val="Times New Roman"/>
        <family val="1"/>
      </rPr>
      <t xml:space="preserve"> </t>
    </r>
    <r>
      <rPr>
        <sz val="8"/>
        <rFont val="Cambria"/>
        <family val="1"/>
      </rPr>
      <t>specifications.</t>
    </r>
  </si>
  <si>
    <r>
      <rPr>
        <b/>
        <sz val="8"/>
        <rFont val="Cambria"/>
        <family val="1"/>
      </rPr>
      <t>DISTRIBUTION</t>
    </r>
    <r>
      <rPr>
        <sz val="8"/>
        <rFont val="Times New Roman"/>
        <family val="1"/>
      </rPr>
      <t xml:space="preserve">  </t>
    </r>
    <r>
      <rPr>
        <b/>
        <sz val="8"/>
        <rFont val="Cambria"/>
        <family val="1"/>
      </rPr>
      <t>BOARDS</t>
    </r>
    <r>
      <rPr>
        <sz val="8"/>
        <rFont val="Times New Roman"/>
        <family val="1"/>
      </rPr>
      <t xml:space="preserve">  </t>
    </r>
    <r>
      <rPr>
        <sz val="8"/>
        <rFont val="Cambria"/>
        <family val="1"/>
      </rPr>
      <t>including</t>
    </r>
    <r>
      <rPr>
        <sz val="8"/>
        <rFont val="Times New Roman"/>
        <family val="1"/>
      </rPr>
      <t xml:space="preserve">  </t>
    </r>
    <r>
      <rPr>
        <b/>
        <sz val="8"/>
        <rFont val="Cambria"/>
        <family val="1"/>
      </rPr>
      <t>TPN</t>
    </r>
    <r>
      <rPr>
        <sz val="8"/>
        <rFont val="Times New Roman"/>
        <family val="1"/>
      </rPr>
      <t xml:space="preserve">  </t>
    </r>
    <r>
      <rPr>
        <sz val="8"/>
        <rFont val="Cambria"/>
        <family val="1"/>
      </rPr>
      <t>double</t>
    </r>
    <r>
      <rPr>
        <sz val="8"/>
        <rFont val="Times New Roman"/>
        <family val="1"/>
      </rPr>
      <t xml:space="preserve">  </t>
    </r>
    <r>
      <rPr>
        <sz val="8"/>
        <rFont val="Cambria"/>
        <family val="1"/>
      </rPr>
      <t>door</t>
    </r>
    <r>
      <rPr>
        <sz val="8"/>
        <rFont val="Times New Roman"/>
        <family val="1"/>
      </rPr>
      <t xml:space="preserve">  </t>
    </r>
    <r>
      <rPr>
        <sz val="8"/>
        <rFont val="Cambria"/>
        <family val="1"/>
      </rPr>
      <t>sheet</t>
    </r>
    <r>
      <rPr>
        <sz val="8"/>
        <rFont val="Times New Roman"/>
        <family val="1"/>
      </rPr>
      <t xml:space="preserve">  </t>
    </r>
    <r>
      <rPr>
        <sz val="8"/>
        <rFont val="Cambria"/>
        <family val="1"/>
      </rPr>
      <t>steel</t>
    </r>
    <r>
      <rPr>
        <sz val="8"/>
        <rFont val="Times New Roman"/>
        <family val="1"/>
      </rPr>
      <t xml:space="preserve">  </t>
    </r>
    <r>
      <rPr>
        <sz val="8"/>
        <rFont val="Cambria"/>
        <family val="1"/>
      </rPr>
      <t>(of</t>
    </r>
    <r>
      <rPr>
        <sz val="8"/>
        <rFont val="Times New Roman"/>
        <family val="1"/>
      </rPr>
      <t xml:space="preserve">  </t>
    </r>
    <r>
      <rPr>
        <sz val="8"/>
        <rFont val="Cambria"/>
        <family val="1"/>
      </rPr>
      <t>14</t>
    </r>
    <r>
      <rPr>
        <sz val="8"/>
        <rFont val="Times New Roman"/>
        <family val="1"/>
      </rPr>
      <t xml:space="preserve">  </t>
    </r>
    <r>
      <rPr>
        <sz val="8"/>
        <rFont val="Cambria"/>
        <family val="1"/>
      </rPr>
      <t>/</t>
    </r>
    <r>
      <rPr>
        <sz val="8"/>
        <rFont val="Times New Roman"/>
        <family val="1"/>
      </rPr>
      <t xml:space="preserve">  </t>
    </r>
    <r>
      <rPr>
        <sz val="8"/>
        <rFont val="Cambria"/>
        <family val="1"/>
      </rPr>
      <t>16</t>
    </r>
    <r>
      <rPr>
        <sz val="8"/>
        <rFont val="Times New Roman"/>
        <family val="1"/>
      </rPr>
      <t xml:space="preserve">  </t>
    </r>
    <r>
      <rPr>
        <sz val="8"/>
        <rFont val="Cambria"/>
        <family val="1"/>
      </rPr>
      <t>SWG</t>
    </r>
    <r>
      <rPr>
        <sz val="8"/>
        <rFont val="Times New Roman"/>
        <family val="1"/>
      </rPr>
      <t xml:space="preserve"> </t>
    </r>
    <r>
      <rPr>
        <sz val="8"/>
        <rFont val="Cambria"/>
        <family val="1"/>
      </rPr>
      <t>painted)</t>
    </r>
    <r>
      <rPr>
        <sz val="8"/>
        <rFont val="Times New Roman"/>
        <family val="1"/>
      </rPr>
      <t xml:space="preserve">    </t>
    </r>
    <r>
      <rPr>
        <sz val="8"/>
        <rFont val="Cambria"/>
        <family val="1"/>
      </rPr>
      <t>MCB</t>
    </r>
    <r>
      <rPr>
        <sz val="8"/>
        <rFont val="Times New Roman"/>
        <family val="1"/>
      </rPr>
      <t xml:space="preserve">    </t>
    </r>
    <r>
      <rPr>
        <sz val="8"/>
        <rFont val="Cambria"/>
        <family val="1"/>
      </rPr>
      <t>distribution</t>
    </r>
    <r>
      <rPr>
        <sz val="8"/>
        <rFont val="Times New Roman"/>
        <family val="1"/>
      </rPr>
      <t xml:space="preserve">   </t>
    </r>
    <r>
      <rPr>
        <sz val="8"/>
        <rFont val="Cambria"/>
        <family val="1"/>
      </rPr>
      <t>boards,</t>
    </r>
    <r>
      <rPr>
        <sz val="8"/>
        <rFont val="Times New Roman"/>
        <family val="1"/>
      </rPr>
      <t xml:space="preserve">    </t>
    </r>
    <r>
      <rPr>
        <sz val="8"/>
        <rFont val="Cambria"/>
        <family val="1"/>
      </rPr>
      <t>having</t>
    </r>
    <r>
      <rPr>
        <sz val="8"/>
        <rFont val="Times New Roman"/>
        <family val="1"/>
      </rPr>
      <t xml:space="preserve">    </t>
    </r>
    <r>
      <rPr>
        <sz val="8"/>
        <rFont val="Cambria"/>
        <family val="1"/>
      </rPr>
      <t>IP</t>
    </r>
    <r>
      <rPr>
        <sz val="8"/>
        <rFont val="Times New Roman"/>
        <family val="1"/>
      </rPr>
      <t xml:space="preserve">   </t>
    </r>
    <r>
      <rPr>
        <sz val="8"/>
        <rFont val="Cambria"/>
        <family val="1"/>
      </rPr>
      <t>42</t>
    </r>
    <r>
      <rPr>
        <sz val="8"/>
        <rFont val="Times New Roman"/>
        <family val="1"/>
      </rPr>
      <t xml:space="preserve">    </t>
    </r>
    <r>
      <rPr>
        <sz val="8"/>
        <rFont val="Cambria"/>
        <family val="1"/>
      </rPr>
      <t>degree</t>
    </r>
    <r>
      <rPr>
        <sz val="8"/>
        <rFont val="Times New Roman"/>
        <family val="1"/>
      </rPr>
      <t xml:space="preserve">   </t>
    </r>
    <r>
      <rPr>
        <sz val="8"/>
        <rFont val="Cambria"/>
        <family val="1"/>
      </rPr>
      <t>of</t>
    </r>
    <r>
      <rPr>
        <sz val="8"/>
        <rFont val="Times New Roman"/>
        <family val="1"/>
      </rPr>
      <t xml:space="preserve">    </t>
    </r>
    <r>
      <rPr>
        <sz val="8"/>
        <rFont val="Cambria"/>
        <family val="1"/>
      </rPr>
      <t>protection</t>
    </r>
    <r>
      <rPr>
        <sz val="8"/>
        <rFont val="Times New Roman"/>
        <family val="1"/>
      </rPr>
      <t xml:space="preserve">   </t>
    </r>
    <r>
      <rPr>
        <sz val="8"/>
        <rFont val="Cambria"/>
        <family val="1"/>
      </rPr>
      <t>on</t>
    </r>
    <r>
      <rPr>
        <sz val="8"/>
        <rFont val="Times New Roman"/>
        <family val="1"/>
      </rPr>
      <t xml:space="preserve"> </t>
    </r>
    <r>
      <rPr>
        <sz val="8"/>
        <rFont val="Cambria"/>
        <family val="1"/>
      </rPr>
      <t>surface/recess,</t>
    </r>
    <r>
      <rPr>
        <sz val="8"/>
        <rFont val="Times New Roman"/>
        <family val="1"/>
      </rPr>
      <t xml:space="preserve">  </t>
    </r>
    <r>
      <rPr>
        <sz val="8"/>
        <rFont val="Cambria"/>
        <family val="1"/>
      </rPr>
      <t>with</t>
    </r>
    <r>
      <rPr>
        <sz val="8"/>
        <rFont val="Times New Roman"/>
        <family val="1"/>
      </rPr>
      <t xml:space="preserve">  </t>
    </r>
    <r>
      <rPr>
        <sz val="8"/>
        <rFont val="Cambria"/>
        <family val="1"/>
      </rPr>
      <t>tinned</t>
    </r>
    <r>
      <rPr>
        <sz val="8"/>
        <rFont val="Times New Roman"/>
        <family val="1"/>
      </rPr>
      <t xml:space="preserve">   </t>
    </r>
    <r>
      <rPr>
        <sz val="8"/>
        <rFont val="Cambria"/>
        <family val="1"/>
      </rPr>
      <t>copper</t>
    </r>
    <r>
      <rPr>
        <sz val="8"/>
        <rFont val="Times New Roman"/>
        <family val="1"/>
      </rPr>
      <t xml:space="preserve">   </t>
    </r>
    <r>
      <rPr>
        <sz val="8"/>
        <rFont val="Cambria"/>
        <family val="1"/>
      </rPr>
      <t>busbar,</t>
    </r>
    <r>
      <rPr>
        <sz val="8"/>
        <rFont val="Times New Roman"/>
        <family val="1"/>
      </rPr>
      <t xml:space="preserve">  </t>
    </r>
    <r>
      <rPr>
        <sz val="8"/>
        <rFont val="Cambria"/>
        <family val="1"/>
      </rPr>
      <t>neutral</t>
    </r>
    <r>
      <rPr>
        <sz val="8"/>
        <rFont val="Times New Roman"/>
        <family val="1"/>
      </rPr>
      <t xml:space="preserve">  </t>
    </r>
    <r>
      <rPr>
        <sz val="8"/>
        <rFont val="Cambria"/>
        <family val="1"/>
      </rPr>
      <t>busbar,</t>
    </r>
    <r>
      <rPr>
        <sz val="8"/>
        <rFont val="Times New Roman"/>
        <family val="1"/>
      </rPr>
      <t xml:space="preserve">   </t>
    </r>
    <r>
      <rPr>
        <sz val="8"/>
        <rFont val="Cambria"/>
        <family val="1"/>
      </rPr>
      <t>earth</t>
    </r>
    <r>
      <rPr>
        <sz val="8"/>
        <rFont val="Times New Roman"/>
        <family val="1"/>
      </rPr>
      <t xml:space="preserve">  </t>
    </r>
    <r>
      <rPr>
        <sz val="8"/>
        <rFont val="Cambria"/>
        <family val="1"/>
      </rPr>
      <t>bar,</t>
    </r>
    <r>
      <rPr>
        <sz val="8"/>
        <rFont val="Times New Roman"/>
        <family val="1"/>
      </rPr>
      <t xml:space="preserve">   </t>
    </r>
    <r>
      <rPr>
        <sz val="8"/>
        <rFont val="Cambria"/>
        <family val="1"/>
      </rPr>
      <t>din</t>
    </r>
    <r>
      <rPr>
        <sz val="8"/>
        <rFont val="Times New Roman"/>
        <family val="1"/>
      </rPr>
      <t xml:space="preserve">   </t>
    </r>
    <r>
      <rPr>
        <sz val="8"/>
        <rFont val="Cambria"/>
        <family val="1"/>
      </rPr>
      <t>bar,</t>
    </r>
    <r>
      <rPr>
        <sz val="8"/>
        <rFont val="Times New Roman"/>
        <family val="1"/>
      </rPr>
      <t xml:space="preserve"> </t>
    </r>
    <r>
      <rPr>
        <sz val="8"/>
        <rFont val="Cambria"/>
        <family val="1"/>
      </rPr>
      <t>interconnections,</t>
    </r>
    <r>
      <rPr>
        <sz val="8"/>
        <rFont val="Times New Roman"/>
        <family val="1"/>
      </rPr>
      <t xml:space="preserve">  </t>
    </r>
    <r>
      <rPr>
        <sz val="8"/>
        <rFont val="Cambria"/>
        <family val="1"/>
      </rPr>
      <t>finished</t>
    </r>
    <r>
      <rPr>
        <sz val="8"/>
        <rFont val="Times New Roman"/>
        <family val="1"/>
      </rPr>
      <t xml:space="preserve">  </t>
    </r>
    <r>
      <rPr>
        <sz val="8"/>
        <rFont val="Cambria"/>
        <family val="1"/>
      </rPr>
      <t>with</t>
    </r>
    <r>
      <rPr>
        <sz val="8"/>
        <rFont val="Times New Roman"/>
        <family val="1"/>
      </rPr>
      <t xml:space="preserve">  </t>
    </r>
    <r>
      <rPr>
        <sz val="8"/>
        <rFont val="Cambria"/>
        <family val="1"/>
      </rPr>
      <t>powder</t>
    </r>
    <r>
      <rPr>
        <sz val="8"/>
        <rFont val="Times New Roman"/>
        <family val="1"/>
      </rPr>
      <t xml:space="preserve">  </t>
    </r>
    <r>
      <rPr>
        <sz val="8"/>
        <rFont val="Cambria"/>
        <family val="1"/>
      </rPr>
      <t>coating</t>
    </r>
    <r>
      <rPr>
        <sz val="8"/>
        <rFont val="Times New Roman"/>
        <family val="1"/>
      </rPr>
      <t xml:space="preserve">  </t>
    </r>
    <r>
      <rPr>
        <sz val="8"/>
        <rFont val="Cambria"/>
        <family val="1"/>
      </rPr>
      <t>including</t>
    </r>
    <r>
      <rPr>
        <sz val="8"/>
        <rFont val="Times New Roman"/>
        <family val="1"/>
      </rPr>
      <t xml:space="preserve">  </t>
    </r>
    <r>
      <rPr>
        <sz val="8"/>
        <rFont val="Cambria"/>
        <family val="1"/>
      </rPr>
      <t>Cost</t>
    </r>
    <r>
      <rPr>
        <sz val="8"/>
        <rFont val="Times New Roman"/>
        <family val="1"/>
      </rPr>
      <t xml:space="preserve">  </t>
    </r>
    <r>
      <rPr>
        <sz val="8"/>
        <rFont val="Cambria"/>
        <family val="1"/>
      </rPr>
      <t>of</t>
    </r>
    <r>
      <rPr>
        <sz val="8"/>
        <rFont val="Times New Roman"/>
        <family val="1"/>
      </rPr>
      <t xml:space="preserve">  </t>
    </r>
    <r>
      <rPr>
        <sz val="8"/>
        <rFont val="Cambria"/>
        <family val="1"/>
      </rPr>
      <t>MCBs,</t>
    </r>
    <r>
      <rPr>
        <sz val="8"/>
        <rFont val="Times New Roman"/>
        <family val="1"/>
      </rPr>
      <t xml:space="preserve">  </t>
    </r>
    <r>
      <rPr>
        <sz val="8"/>
        <rFont val="Cambria"/>
        <family val="1"/>
      </rPr>
      <t xml:space="preserve">Isolators
</t>
    </r>
    <r>
      <rPr>
        <sz val="8"/>
        <rFont val="Cambria"/>
        <family val="1"/>
      </rPr>
      <t>ELCBs</t>
    </r>
    <r>
      <rPr>
        <sz val="8"/>
        <rFont val="Times New Roman"/>
        <family val="1"/>
      </rPr>
      <t xml:space="preserve"> </t>
    </r>
    <r>
      <rPr>
        <sz val="8"/>
        <rFont val="Cambria"/>
        <family val="1"/>
      </rPr>
      <t>etc</t>
    </r>
    <r>
      <rPr>
        <sz val="8"/>
        <rFont val="Times New Roman"/>
        <family val="1"/>
      </rPr>
      <t xml:space="preserve"> </t>
    </r>
    <r>
      <rPr>
        <sz val="8"/>
        <rFont val="Cambria"/>
        <family val="1"/>
      </rPr>
      <t>as</t>
    </r>
    <r>
      <rPr>
        <sz val="8"/>
        <rFont val="Times New Roman"/>
        <family val="1"/>
      </rPr>
      <t xml:space="preserve"> </t>
    </r>
    <r>
      <rPr>
        <sz val="8"/>
        <rFont val="Cambria"/>
        <family val="1"/>
      </rPr>
      <t>required</t>
    </r>
  </si>
  <si>
    <r>
      <rPr>
        <sz val="8"/>
        <rFont val="Cambria"/>
        <family val="1"/>
      </rPr>
      <t>EACH</t>
    </r>
  </si>
  <si>
    <r>
      <rPr>
        <b/>
        <sz val="8"/>
        <rFont val="Cambria"/>
        <family val="1"/>
      </rPr>
      <t>DISTRIBUTION</t>
    </r>
    <r>
      <rPr>
        <sz val="8"/>
        <rFont val="Times New Roman"/>
        <family val="1"/>
      </rPr>
      <t xml:space="preserve">  </t>
    </r>
    <r>
      <rPr>
        <b/>
        <sz val="8"/>
        <rFont val="Cambria"/>
        <family val="1"/>
      </rPr>
      <t>BOARDS</t>
    </r>
    <r>
      <rPr>
        <sz val="8"/>
        <rFont val="Times New Roman"/>
        <family val="1"/>
      </rPr>
      <t xml:space="preserve">  </t>
    </r>
    <r>
      <rPr>
        <sz val="8"/>
        <rFont val="Cambria"/>
        <family val="1"/>
      </rPr>
      <t>including</t>
    </r>
    <r>
      <rPr>
        <sz val="8"/>
        <rFont val="Times New Roman"/>
        <family val="1"/>
      </rPr>
      <t xml:space="preserve">  </t>
    </r>
    <r>
      <rPr>
        <b/>
        <sz val="8"/>
        <rFont val="Cambria"/>
        <family val="1"/>
      </rPr>
      <t>SPN</t>
    </r>
    <r>
      <rPr>
        <sz val="8"/>
        <rFont val="Times New Roman"/>
        <family val="1"/>
      </rPr>
      <t xml:space="preserve">  </t>
    </r>
    <r>
      <rPr>
        <sz val="8"/>
        <rFont val="Cambria"/>
        <family val="1"/>
      </rPr>
      <t>double</t>
    </r>
    <r>
      <rPr>
        <sz val="8"/>
        <rFont val="Times New Roman"/>
        <family val="1"/>
      </rPr>
      <t xml:space="preserve">  </t>
    </r>
    <r>
      <rPr>
        <sz val="8"/>
        <rFont val="Cambria"/>
        <family val="1"/>
      </rPr>
      <t>door</t>
    </r>
    <r>
      <rPr>
        <sz val="8"/>
        <rFont val="Times New Roman"/>
        <family val="1"/>
      </rPr>
      <t xml:space="preserve">  </t>
    </r>
    <r>
      <rPr>
        <sz val="8"/>
        <rFont val="Cambria"/>
        <family val="1"/>
      </rPr>
      <t>sheet</t>
    </r>
    <r>
      <rPr>
        <sz val="8"/>
        <rFont val="Times New Roman"/>
        <family val="1"/>
      </rPr>
      <t xml:space="preserve">  </t>
    </r>
    <r>
      <rPr>
        <sz val="8"/>
        <rFont val="Cambria"/>
        <family val="1"/>
      </rPr>
      <t>steel</t>
    </r>
    <r>
      <rPr>
        <sz val="8"/>
        <rFont val="Times New Roman"/>
        <family val="1"/>
      </rPr>
      <t xml:space="preserve">  </t>
    </r>
    <r>
      <rPr>
        <sz val="8"/>
        <rFont val="Cambria"/>
        <family val="1"/>
      </rPr>
      <t>(of</t>
    </r>
    <r>
      <rPr>
        <sz val="8"/>
        <rFont val="Times New Roman"/>
        <family val="1"/>
      </rPr>
      <t xml:space="preserve">  </t>
    </r>
    <r>
      <rPr>
        <sz val="8"/>
        <rFont val="Cambria"/>
        <family val="1"/>
      </rPr>
      <t>14</t>
    </r>
    <r>
      <rPr>
        <sz val="8"/>
        <rFont val="Times New Roman"/>
        <family val="1"/>
      </rPr>
      <t xml:space="preserve">  </t>
    </r>
    <r>
      <rPr>
        <sz val="8"/>
        <rFont val="Cambria"/>
        <family val="1"/>
      </rPr>
      <t>/</t>
    </r>
    <r>
      <rPr>
        <sz val="8"/>
        <rFont val="Times New Roman"/>
        <family val="1"/>
      </rPr>
      <t xml:space="preserve">  </t>
    </r>
    <r>
      <rPr>
        <sz val="8"/>
        <rFont val="Cambria"/>
        <family val="1"/>
      </rPr>
      <t>16</t>
    </r>
    <r>
      <rPr>
        <sz val="8"/>
        <rFont val="Times New Roman"/>
        <family val="1"/>
      </rPr>
      <t xml:space="preserve">  </t>
    </r>
    <r>
      <rPr>
        <sz val="8"/>
        <rFont val="Cambria"/>
        <family val="1"/>
      </rPr>
      <t>SWG</t>
    </r>
    <r>
      <rPr>
        <sz val="8"/>
        <rFont val="Times New Roman"/>
        <family val="1"/>
      </rPr>
      <t xml:space="preserve"> </t>
    </r>
    <r>
      <rPr>
        <sz val="8"/>
        <rFont val="Cambria"/>
        <family val="1"/>
      </rPr>
      <t>painted)</t>
    </r>
    <r>
      <rPr>
        <sz val="8"/>
        <rFont val="Times New Roman"/>
        <family val="1"/>
      </rPr>
      <t xml:space="preserve">    </t>
    </r>
    <r>
      <rPr>
        <sz val="8"/>
        <rFont val="Cambria"/>
        <family val="1"/>
      </rPr>
      <t>MCB</t>
    </r>
    <r>
      <rPr>
        <sz val="8"/>
        <rFont val="Times New Roman"/>
        <family val="1"/>
      </rPr>
      <t xml:space="preserve">    </t>
    </r>
    <r>
      <rPr>
        <sz val="8"/>
        <rFont val="Cambria"/>
        <family val="1"/>
      </rPr>
      <t>distribution</t>
    </r>
    <r>
      <rPr>
        <sz val="8"/>
        <rFont val="Times New Roman"/>
        <family val="1"/>
      </rPr>
      <t xml:space="preserve">   </t>
    </r>
    <r>
      <rPr>
        <sz val="8"/>
        <rFont val="Cambria"/>
        <family val="1"/>
      </rPr>
      <t>boards,</t>
    </r>
    <r>
      <rPr>
        <sz val="8"/>
        <rFont val="Times New Roman"/>
        <family val="1"/>
      </rPr>
      <t xml:space="preserve">    </t>
    </r>
    <r>
      <rPr>
        <sz val="8"/>
        <rFont val="Cambria"/>
        <family val="1"/>
      </rPr>
      <t>having</t>
    </r>
    <r>
      <rPr>
        <sz val="8"/>
        <rFont val="Times New Roman"/>
        <family val="1"/>
      </rPr>
      <t xml:space="preserve">    </t>
    </r>
    <r>
      <rPr>
        <sz val="8"/>
        <rFont val="Cambria"/>
        <family val="1"/>
      </rPr>
      <t>IP</t>
    </r>
    <r>
      <rPr>
        <sz val="8"/>
        <rFont val="Times New Roman"/>
        <family val="1"/>
      </rPr>
      <t xml:space="preserve">   </t>
    </r>
    <r>
      <rPr>
        <sz val="8"/>
        <rFont val="Cambria"/>
        <family val="1"/>
      </rPr>
      <t>42</t>
    </r>
    <r>
      <rPr>
        <sz val="8"/>
        <rFont val="Times New Roman"/>
        <family val="1"/>
      </rPr>
      <t xml:space="preserve">    </t>
    </r>
    <r>
      <rPr>
        <sz val="8"/>
        <rFont val="Cambria"/>
        <family val="1"/>
      </rPr>
      <t>degree</t>
    </r>
    <r>
      <rPr>
        <sz val="8"/>
        <rFont val="Times New Roman"/>
        <family val="1"/>
      </rPr>
      <t xml:space="preserve">   </t>
    </r>
    <r>
      <rPr>
        <sz val="8"/>
        <rFont val="Cambria"/>
        <family val="1"/>
      </rPr>
      <t>of</t>
    </r>
    <r>
      <rPr>
        <sz val="8"/>
        <rFont val="Times New Roman"/>
        <family val="1"/>
      </rPr>
      <t xml:space="preserve">    </t>
    </r>
    <r>
      <rPr>
        <sz val="8"/>
        <rFont val="Cambria"/>
        <family val="1"/>
      </rPr>
      <t>protection</t>
    </r>
    <r>
      <rPr>
        <sz val="8"/>
        <rFont val="Times New Roman"/>
        <family val="1"/>
      </rPr>
      <t xml:space="preserve">   </t>
    </r>
    <r>
      <rPr>
        <sz val="8"/>
        <rFont val="Cambria"/>
        <family val="1"/>
      </rPr>
      <t>on</t>
    </r>
    <r>
      <rPr>
        <sz val="8"/>
        <rFont val="Times New Roman"/>
        <family val="1"/>
      </rPr>
      <t xml:space="preserve"> </t>
    </r>
    <r>
      <rPr>
        <sz val="8"/>
        <rFont val="Cambria"/>
        <family val="1"/>
      </rPr>
      <t>surface/recess,</t>
    </r>
    <r>
      <rPr>
        <sz val="8"/>
        <rFont val="Times New Roman"/>
        <family val="1"/>
      </rPr>
      <t xml:space="preserve">  </t>
    </r>
    <r>
      <rPr>
        <sz val="8"/>
        <rFont val="Cambria"/>
        <family val="1"/>
      </rPr>
      <t>with</t>
    </r>
    <r>
      <rPr>
        <sz val="8"/>
        <rFont val="Times New Roman"/>
        <family val="1"/>
      </rPr>
      <t xml:space="preserve">  </t>
    </r>
    <r>
      <rPr>
        <sz val="8"/>
        <rFont val="Cambria"/>
        <family val="1"/>
      </rPr>
      <t>tinned</t>
    </r>
    <r>
      <rPr>
        <sz val="8"/>
        <rFont val="Times New Roman"/>
        <family val="1"/>
      </rPr>
      <t xml:space="preserve">   </t>
    </r>
    <r>
      <rPr>
        <sz val="8"/>
        <rFont val="Cambria"/>
        <family val="1"/>
      </rPr>
      <t>copper</t>
    </r>
    <r>
      <rPr>
        <sz val="8"/>
        <rFont val="Times New Roman"/>
        <family val="1"/>
      </rPr>
      <t xml:space="preserve">   </t>
    </r>
    <r>
      <rPr>
        <sz val="8"/>
        <rFont val="Cambria"/>
        <family val="1"/>
      </rPr>
      <t>busbar,</t>
    </r>
    <r>
      <rPr>
        <sz val="8"/>
        <rFont val="Times New Roman"/>
        <family val="1"/>
      </rPr>
      <t xml:space="preserve">  </t>
    </r>
    <r>
      <rPr>
        <sz val="8"/>
        <rFont val="Cambria"/>
        <family val="1"/>
      </rPr>
      <t>neutral</t>
    </r>
    <r>
      <rPr>
        <sz val="8"/>
        <rFont val="Times New Roman"/>
        <family val="1"/>
      </rPr>
      <t xml:space="preserve">  </t>
    </r>
    <r>
      <rPr>
        <sz val="8"/>
        <rFont val="Cambria"/>
        <family val="1"/>
      </rPr>
      <t>busbar,</t>
    </r>
    <r>
      <rPr>
        <sz val="8"/>
        <rFont val="Times New Roman"/>
        <family val="1"/>
      </rPr>
      <t xml:space="preserve">   </t>
    </r>
    <r>
      <rPr>
        <sz val="8"/>
        <rFont val="Cambria"/>
        <family val="1"/>
      </rPr>
      <t>earth</t>
    </r>
    <r>
      <rPr>
        <sz val="8"/>
        <rFont val="Times New Roman"/>
        <family val="1"/>
      </rPr>
      <t xml:space="preserve">  </t>
    </r>
    <r>
      <rPr>
        <sz val="8"/>
        <rFont val="Cambria"/>
        <family val="1"/>
      </rPr>
      <t>bar,</t>
    </r>
    <r>
      <rPr>
        <sz val="8"/>
        <rFont val="Times New Roman"/>
        <family val="1"/>
      </rPr>
      <t xml:space="preserve">   </t>
    </r>
    <r>
      <rPr>
        <sz val="8"/>
        <rFont val="Cambria"/>
        <family val="1"/>
      </rPr>
      <t>din</t>
    </r>
    <r>
      <rPr>
        <sz val="8"/>
        <rFont val="Times New Roman"/>
        <family val="1"/>
      </rPr>
      <t xml:space="preserve">   </t>
    </r>
    <r>
      <rPr>
        <sz val="8"/>
        <rFont val="Cambria"/>
        <family val="1"/>
      </rPr>
      <t>bar,</t>
    </r>
    <r>
      <rPr>
        <sz val="8"/>
        <rFont val="Times New Roman"/>
        <family val="1"/>
      </rPr>
      <t xml:space="preserve"> </t>
    </r>
    <r>
      <rPr>
        <sz val="8"/>
        <rFont val="Cambria"/>
        <family val="1"/>
      </rPr>
      <t>interconnections,</t>
    </r>
    <r>
      <rPr>
        <sz val="8"/>
        <rFont val="Times New Roman"/>
        <family val="1"/>
      </rPr>
      <t xml:space="preserve">  </t>
    </r>
    <r>
      <rPr>
        <sz val="8"/>
        <rFont val="Cambria"/>
        <family val="1"/>
      </rPr>
      <t>finished</t>
    </r>
    <r>
      <rPr>
        <sz val="8"/>
        <rFont val="Times New Roman"/>
        <family val="1"/>
      </rPr>
      <t xml:space="preserve">  </t>
    </r>
    <r>
      <rPr>
        <sz val="8"/>
        <rFont val="Cambria"/>
        <family val="1"/>
      </rPr>
      <t>with</t>
    </r>
    <r>
      <rPr>
        <sz val="8"/>
        <rFont val="Times New Roman"/>
        <family val="1"/>
      </rPr>
      <t xml:space="preserve">  </t>
    </r>
    <r>
      <rPr>
        <sz val="8"/>
        <rFont val="Cambria"/>
        <family val="1"/>
      </rPr>
      <t>powder</t>
    </r>
    <r>
      <rPr>
        <sz val="8"/>
        <rFont val="Times New Roman"/>
        <family val="1"/>
      </rPr>
      <t xml:space="preserve">  </t>
    </r>
    <r>
      <rPr>
        <sz val="8"/>
        <rFont val="Cambria"/>
        <family val="1"/>
      </rPr>
      <t>coating</t>
    </r>
    <r>
      <rPr>
        <sz val="8"/>
        <rFont val="Times New Roman"/>
        <family val="1"/>
      </rPr>
      <t xml:space="preserve">  </t>
    </r>
    <r>
      <rPr>
        <sz val="8"/>
        <rFont val="Cambria"/>
        <family val="1"/>
      </rPr>
      <t>including</t>
    </r>
    <r>
      <rPr>
        <sz val="8"/>
        <rFont val="Times New Roman"/>
        <family val="1"/>
      </rPr>
      <t xml:space="preserve">  </t>
    </r>
    <r>
      <rPr>
        <sz val="8"/>
        <rFont val="Cambria"/>
        <family val="1"/>
      </rPr>
      <t>Cost</t>
    </r>
    <r>
      <rPr>
        <sz val="8"/>
        <rFont val="Times New Roman"/>
        <family val="1"/>
      </rPr>
      <t xml:space="preserve">  </t>
    </r>
    <r>
      <rPr>
        <sz val="8"/>
        <rFont val="Cambria"/>
        <family val="1"/>
      </rPr>
      <t>of</t>
    </r>
    <r>
      <rPr>
        <sz val="8"/>
        <rFont val="Times New Roman"/>
        <family val="1"/>
      </rPr>
      <t xml:space="preserve">  </t>
    </r>
    <r>
      <rPr>
        <sz val="8"/>
        <rFont val="Cambria"/>
        <family val="1"/>
      </rPr>
      <t>MCBs,</t>
    </r>
    <r>
      <rPr>
        <sz val="8"/>
        <rFont val="Times New Roman"/>
        <family val="1"/>
      </rPr>
      <t xml:space="preserve">  </t>
    </r>
    <r>
      <rPr>
        <sz val="8"/>
        <rFont val="Cambria"/>
        <family val="1"/>
      </rPr>
      <t xml:space="preserve">Isolators
</t>
    </r>
    <r>
      <rPr>
        <sz val="8"/>
        <rFont val="Cambria"/>
        <family val="1"/>
      </rPr>
      <t>ELCBs</t>
    </r>
    <r>
      <rPr>
        <sz val="8"/>
        <rFont val="Times New Roman"/>
        <family val="1"/>
      </rPr>
      <t xml:space="preserve"> </t>
    </r>
    <r>
      <rPr>
        <sz val="8"/>
        <rFont val="Cambria"/>
        <family val="1"/>
      </rPr>
      <t>etc</t>
    </r>
    <r>
      <rPr>
        <sz val="8"/>
        <rFont val="Times New Roman"/>
        <family val="1"/>
      </rPr>
      <t xml:space="preserve"> </t>
    </r>
    <r>
      <rPr>
        <sz val="8"/>
        <rFont val="Cambria"/>
        <family val="1"/>
      </rPr>
      <t>as</t>
    </r>
    <r>
      <rPr>
        <sz val="8"/>
        <rFont val="Times New Roman"/>
        <family val="1"/>
      </rPr>
      <t xml:space="preserve"> </t>
    </r>
    <r>
      <rPr>
        <sz val="8"/>
        <rFont val="Cambria"/>
        <family val="1"/>
      </rPr>
      <t>required</t>
    </r>
  </si>
  <si>
    <r>
      <rPr>
        <b/>
        <sz val="8"/>
        <rFont val="Cambria"/>
        <family val="1"/>
      </rPr>
      <t>T</t>
    </r>
    <r>
      <rPr>
        <sz val="8"/>
        <rFont val="Times New Roman"/>
        <family val="1"/>
      </rPr>
      <t xml:space="preserve">  </t>
    </r>
    <r>
      <rPr>
        <b/>
        <sz val="8"/>
        <rFont val="Cambria"/>
        <family val="1"/>
      </rPr>
      <t>V</t>
    </r>
    <r>
      <rPr>
        <sz val="8"/>
        <rFont val="Times New Roman"/>
        <family val="1"/>
      </rPr>
      <t xml:space="preserve">  </t>
    </r>
    <r>
      <rPr>
        <sz val="8"/>
        <rFont val="Cambria"/>
        <family val="1"/>
      </rPr>
      <t>WIRING</t>
    </r>
    <r>
      <rPr>
        <sz val="8"/>
        <rFont val="Times New Roman"/>
        <family val="1"/>
      </rPr>
      <t xml:space="preserve">  </t>
    </r>
    <r>
      <rPr>
        <sz val="8"/>
        <rFont val="Cambria"/>
        <family val="1"/>
      </rPr>
      <t>including</t>
    </r>
    <r>
      <rPr>
        <sz val="8"/>
        <rFont val="Times New Roman"/>
        <family val="1"/>
      </rPr>
      <t xml:space="preserve">  </t>
    </r>
    <r>
      <rPr>
        <sz val="8"/>
        <rFont val="Cambria"/>
        <family val="1"/>
      </rPr>
      <t>RG-6/</t>
    </r>
    <r>
      <rPr>
        <sz val="8"/>
        <rFont val="Times New Roman"/>
        <family val="1"/>
      </rPr>
      <t xml:space="preserve">  </t>
    </r>
    <r>
      <rPr>
        <sz val="8"/>
        <rFont val="Cambria"/>
        <family val="1"/>
      </rPr>
      <t>RG-11</t>
    </r>
    <r>
      <rPr>
        <sz val="8"/>
        <rFont val="Times New Roman"/>
        <family val="1"/>
      </rPr>
      <t xml:space="preserve">  </t>
    </r>
    <r>
      <rPr>
        <sz val="8"/>
        <rFont val="Cambria"/>
        <family val="1"/>
      </rPr>
      <t>cable</t>
    </r>
    <r>
      <rPr>
        <sz val="8"/>
        <rFont val="Times New Roman"/>
        <family val="1"/>
      </rPr>
      <t xml:space="preserve">  </t>
    </r>
    <r>
      <rPr>
        <sz val="8"/>
        <rFont val="Cambria"/>
        <family val="1"/>
      </rPr>
      <t>in</t>
    </r>
    <r>
      <rPr>
        <sz val="8"/>
        <rFont val="Times New Roman"/>
        <family val="1"/>
      </rPr>
      <t xml:space="preserve">  </t>
    </r>
    <r>
      <rPr>
        <sz val="8"/>
        <rFont val="Cambria"/>
        <family val="1"/>
      </rPr>
      <t>2mm</t>
    </r>
    <r>
      <rPr>
        <sz val="8"/>
        <rFont val="Times New Roman"/>
        <family val="1"/>
      </rPr>
      <t xml:space="preserve">  </t>
    </r>
    <r>
      <rPr>
        <sz val="8"/>
        <rFont val="Cambria"/>
        <family val="1"/>
      </rPr>
      <t>thick</t>
    </r>
    <r>
      <rPr>
        <sz val="8"/>
        <rFont val="Times New Roman"/>
        <family val="1"/>
      </rPr>
      <t xml:space="preserve">  </t>
    </r>
    <r>
      <rPr>
        <sz val="8"/>
        <rFont val="Cambria"/>
        <family val="1"/>
      </rPr>
      <t>RIGID</t>
    </r>
    <r>
      <rPr>
        <sz val="8"/>
        <rFont val="Times New Roman"/>
        <family val="1"/>
      </rPr>
      <t xml:space="preserve">  </t>
    </r>
    <r>
      <rPr>
        <sz val="8"/>
        <rFont val="Cambria"/>
        <family val="1"/>
      </rPr>
      <t>PVC</t>
    </r>
    <r>
      <rPr>
        <sz val="8"/>
        <rFont val="Times New Roman"/>
        <family val="1"/>
      </rPr>
      <t xml:space="preserve">  </t>
    </r>
    <r>
      <rPr>
        <sz val="8"/>
        <rFont val="Cambria"/>
        <family val="1"/>
      </rPr>
      <t>conduits</t>
    </r>
    <r>
      <rPr>
        <sz val="8"/>
        <rFont val="Times New Roman"/>
        <family val="1"/>
      </rPr>
      <t xml:space="preserve">  </t>
    </r>
    <r>
      <rPr>
        <sz val="8"/>
        <rFont val="Cambria"/>
        <family val="1"/>
      </rPr>
      <t>with</t>
    </r>
    <r>
      <rPr>
        <sz val="8"/>
        <rFont val="Times New Roman"/>
        <family val="1"/>
      </rPr>
      <t xml:space="preserve"> </t>
    </r>
    <r>
      <rPr>
        <sz val="8"/>
        <rFont val="Cambria"/>
        <family val="1"/>
      </rPr>
      <t>accessories</t>
    </r>
    <r>
      <rPr>
        <sz val="8"/>
        <rFont val="Times New Roman"/>
        <family val="1"/>
      </rPr>
      <t xml:space="preserve"> </t>
    </r>
    <r>
      <rPr>
        <sz val="8"/>
        <rFont val="Cambria"/>
        <family val="1"/>
      </rPr>
      <t>and</t>
    </r>
    <r>
      <rPr>
        <sz val="8"/>
        <rFont val="Times New Roman"/>
        <family val="1"/>
      </rPr>
      <t xml:space="preserve">  </t>
    </r>
    <r>
      <rPr>
        <sz val="8"/>
        <rFont val="Cambria"/>
        <family val="1"/>
      </rPr>
      <t>3/4</t>
    </r>
    <r>
      <rPr>
        <sz val="8"/>
        <rFont val="Times New Roman"/>
        <family val="1"/>
      </rPr>
      <t xml:space="preserve">  </t>
    </r>
    <r>
      <rPr>
        <sz val="8"/>
        <rFont val="Cambria"/>
        <family val="1"/>
      </rPr>
      <t>way</t>
    </r>
    <r>
      <rPr>
        <sz val="8"/>
        <rFont val="Times New Roman"/>
        <family val="1"/>
      </rPr>
      <t xml:space="preserve">  </t>
    </r>
    <r>
      <rPr>
        <sz val="8"/>
        <rFont val="Cambria"/>
        <family val="1"/>
      </rPr>
      <t>splitters</t>
    </r>
    <r>
      <rPr>
        <sz val="8"/>
        <rFont val="Times New Roman"/>
        <family val="1"/>
      </rPr>
      <t xml:space="preserve">  </t>
    </r>
    <r>
      <rPr>
        <sz val="8"/>
        <rFont val="Cambria"/>
        <family val="1"/>
      </rPr>
      <t>with</t>
    </r>
    <r>
      <rPr>
        <sz val="8"/>
        <rFont val="Times New Roman"/>
        <family val="1"/>
      </rPr>
      <t xml:space="preserve"> </t>
    </r>
    <r>
      <rPr>
        <sz val="8"/>
        <rFont val="Cambria"/>
        <family val="1"/>
      </rPr>
      <t>cable</t>
    </r>
    <r>
      <rPr>
        <sz val="8"/>
        <rFont val="Times New Roman"/>
        <family val="1"/>
      </rPr>
      <t xml:space="preserve">  </t>
    </r>
    <r>
      <rPr>
        <sz val="8"/>
        <rFont val="Cambria"/>
        <family val="1"/>
      </rPr>
      <t>sockets,</t>
    </r>
    <r>
      <rPr>
        <sz val="8"/>
        <rFont val="Times New Roman"/>
        <family val="1"/>
      </rPr>
      <t xml:space="preserve">  </t>
    </r>
    <r>
      <rPr>
        <sz val="8"/>
        <rFont val="Cambria"/>
        <family val="1"/>
      </rPr>
      <t>MS</t>
    </r>
    <r>
      <rPr>
        <sz val="8"/>
        <rFont val="Times New Roman"/>
        <family val="1"/>
      </rPr>
      <t xml:space="preserve">  </t>
    </r>
    <r>
      <rPr>
        <sz val="8"/>
        <rFont val="Cambria"/>
        <family val="1"/>
      </rPr>
      <t>backbox,</t>
    </r>
    <r>
      <rPr>
        <sz val="8"/>
        <rFont val="Times New Roman"/>
        <family val="1"/>
      </rPr>
      <t xml:space="preserve">  </t>
    </r>
    <r>
      <rPr>
        <sz val="8"/>
        <rFont val="Cambria"/>
        <family val="1"/>
      </rPr>
      <t>flush</t>
    </r>
    <r>
      <rPr>
        <sz val="8"/>
        <rFont val="Times New Roman"/>
        <family val="1"/>
      </rPr>
      <t xml:space="preserve">  </t>
    </r>
    <r>
      <rPr>
        <sz val="8"/>
        <rFont val="Cambria"/>
        <family val="1"/>
      </rPr>
      <t>plate</t>
    </r>
    <r>
      <rPr>
        <sz val="8"/>
        <rFont val="Times New Roman"/>
        <family val="1"/>
      </rPr>
      <t xml:space="preserve">  </t>
    </r>
    <r>
      <rPr>
        <sz val="8"/>
        <rFont val="Cambria"/>
        <family val="1"/>
      </rPr>
      <t xml:space="preserve">with
</t>
    </r>
    <r>
      <rPr>
        <sz val="8"/>
        <rFont val="Cambria"/>
        <family val="1"/>
      </rPr>
      <t>cover</t>
    </r>
    <r>
      <rPr>
        <sz val="8"/>
        <rFont val="Times New Roman"/>
        <family val="1"/>
      </rPr>
      <t xml:space="preserve"> </t>
    </r>
    <r>
      <rPr>
        <sz val="8"/>
        <rFont val="Cambria"/>
        <family val="1"/>
      </rPr>
      <t>etc.as</t>
    </r>
    <r>
      <rPr>
        <sz val="8"/>
        <rFont val="Times New Roman"/>
        <family val="1"/>
      </rPr>
      <t xml:space="preserve"> </t>
    </r>
    <r>
      <rPr>
        <sz val="8"/>
        <rFont val="Cambria"/>
        <family val="1"/>
      </rPr>
      <t>required.</t>
    </r>
  </si>
  <si>
    <r>
      <rPr>
        <b/>
        <sz val="8"/>
        <rFont val="Cambria"/>
        <family val="1"/>
      </rPr>
      <t>TELEPHONE</t>
    </r>
    <r>
      <rPr>
        <sz val="8"/>
        <rFont val="Times New Roman"/>
        <family val="1"/>
      </rPr>
      <t xml:space="preserve"> </t>
    </r>
    <r>
      <rPr>
        <sz val="8"/>
        <rFont val="Cambria"/>
        <family val="1"/>
      </rPr>
      <t>WIRING</t>
    </r>
    <r>
      <rPr>
        <sz val="8"/>
        <rFont val="Times New Roman"/>
        <family val="1"/>
      </rPr>
      <t xml:space="preserve"> </t>
    </r>
    <r>
      <rPr>
        <sz val="8"/>
        <rFont val="Cambria"/>
        <family val="1"/>
      </rPr>
      <t>including</t>
    </r>
    <r>
      <rPr>
        <sz val="8"/>
        <rFont val="Times New Roman"/>
        <family val="1"/>
      </rPr>
      <t xml:space="preserve"> </t>
    </r>
    <r>
      <rPr>
        <sz val="8"/>
        <rFont val="Cambria"/>
        <family val="1"/>
      </rPr>
      <t>PVC</t>
    </r>
    <r>
      <rPr>
        <sz val="8"/>
        <rFont val="Times New Roman"/>
        <family val="1"/>
      </rPr>
      <t xml:space="preserve"> </t>
    </r>
    <r>
      <rPr>
        <sz val="8"/>
        <rFont val="Cambria"/>
        <family val="1"/>
      </rPr>
      <t>insulated</t>
    </r>
    <r>
      <rPr>
        <sz val="8"/>
        <rFont val="Times New Roman"/>
        <family val="1"/>
      </rPr>
      <t xml:space="preserve"> </t>
    </r>
    <r>
      <rPr>
        <sz val="8"/>
        <rFont val="Cambria"/>
        <family val="1"/>
      </rPr>
      <t>unarmoured</t>
    </r>
    <r>
      <rPr>
        <sz val="8"/>
        <rFont val="Times New Roman"/>
        <family val="1"/>
      </rPr>
      <t xml:space="preserve"> </t>
    </r>
    <r>
      <rPr>
        <sz val="8"/>
        <rFont val="Cambria"/>
        <family val="1"/>
      </rPr>
      <t>telephone</t>
    </r>
    <r>
      <rPr>
        <sz val="8"/>
        <rFont val="Times New Roman"/>
        <family val="1"/>
      </rPr>
      <t xml:space="preserve"> </t>
    </r>
    <r>
      <rPr>
        <sz val="8"/>
        <rFont val="Cambria"/>
        <family val="1"/>
      </rPr>
      <t>cable</t>
    </r>
    <r>
      <rPr>
        <sz val="8"/>
        <rFont val="Times New Roman"/>
        <family val="1"/>
      </rPr>
      <t xml:space="preserve"> </t>
    </r>
    <r>
      <rPr>
        <sz val="8"/>
        <rFont val="Cambria"/>
        <family val="1"/>
      </rPr>
      <t>in</t>
    </r>
    <r>
      <rPr>
        <sz val="8"/>
        <rFont val="Times New Roman"/>
        <family val="1"/>
      </rPr>
      <t xml:space="preserve"> </t>
    </r>
    <r>
      <rPr>
        <sz val="8"/>
        <rFont val="Cambria"/>
        <family val="1"/>
      </rPr>
      <t>2mm</t>
    </r>
    <r>
      <rPr>
        <sz val="8"/>
        <rFont val="Times New Roman"/>
        <family val="1"/>
      </rPr>
      <t xml:space="preserve"> </t>
    </r>
    <r>
      <rPr>
        <sz val="8"/>
        <rFont val="Cambria"/>
        <family val="1"/>
      </rPr>
      <t>thick</t>
    </r>
    <r>
      <rPr>
        <sz val="8"/>
        <rFont val="Times New Roman"/>
        <family val="1"/>
      </rPr>
      <t xml:space="preserve"> </t>
    </r>
    <r>
      <rPr>
        <sz val="8"/>
        <rFont val="Cambria"/>
        <family val="1"/>
      </rPr>
      <t>RIGID</t>
    </r>
    <r>
      <rPr>
        <sz val="8"/>
        <rFont val="Times New Roman"/>
        <family val="1"/>
      </rPr>
      <t xml:space="preserve"> </t>
    </r>
    <r>
      <rPr>
        <sz val="8"/>
        <rFont val="Cambria"/>
        <family val="1"/>
      </rPr>
      <t>PVC</t>
    </r>
    <r>
      <rPr>
        <sz val="8"/>
        <rFont val="Times New Roman"/>
        <family val="1"/>
      </rPr>
      <t xml:space="preserve"> </t>
    </r>
    <r>
      <rPr>
        <sz val="8"/>
        <rFont val="Cambria"/>
        <family val="1"/>
      </rPr>
      <t>conduits</t>
    </r>
    <r>
      <rPr>
        <sz val="8"/>
        <rFont val="Times New Roman"/>
        <family val="1"/>
      </rPr>
      <t xml:space="preserve"> </t>
    </r>
    <r>
      <rPr>
        <sz val="8"/>
        <rFont val="Cambria"/>
        <family val="1"/>
      </rPr>
      <t>with</t>
    </r>
    <r>
      <rPr>
        <sz val="8"/>
        <rFont val="Times New Roman"/>
        <family val="1"/>
      </rPr>
      <t xml:space="preserve"> </t>
    </r>
    <r>
      <rPr>
        <sz val="8"/>
        <rFont val="Cambria"/>
        <family val="1"/>
      </rPr>
      <t>accessories</t>
    </r>
    <r>
      <rPr>
        <sz val="8"/>
        <rFont val="Times New Roman"/>
        <family val="1"/>
      </rPr>
      <t xml:space="preserve"> </t>
    </r>
    <r>
      <rPr>
        <sz val="8"/>
        <rFont val="Cambria"/>
        <family val="1"/>
      </rPr>
      <t>and</t>
    </r>
    <r>
      <rPr>
        <sz val="8"/>
        <rFont val="Times New Roman"/>
        <family val="1"/>
      </rPr>
      <t xml:space="preserve"> </t>
    </r>
    <r>
      <rPr>
        <sz val="8"/>
        <rFont val="Cambria"/>
        <family val="1"/>
      </rPr>
      <t>modular</t>
    </r>
    <r>
      <rPr>
        <sz val="8"/>
        <rFont val="Times New Roman"/>
        <family val="1"/>
      </rPr>
      <t xml:space="preserve"> </t>
    </r>
    <r>
      <rPr>
        <sz val="8"/>
        <rFont val="Cambria"/>
        <family val="1"/>
      </rPr>
      <t>RJ-11</t>
    </r>
    <r>
      <rPr>
        <sz val="8"/>
        <rFont val="Times New Roman"/>
        <family val="1"/>
      </rPr>
      <t xml:space="preserve"> </t>
    </r>
    <r>
      <rPr>
        <sz val="8"/>
        <rFont val="Cambria"/>
        <family val="1"/>
      </rPr>
      <t>Telephone</t>
    </r>
    <r>
      <rPr>
        <sz val="8"/>
        <rFont val="Times New Roman"/>
        <family val="1"/>
      </rPr>
      <t xml:space="preserve"> </t>
    </r>
    <r>
      <rPr>
        <sz val="8"/>
        <rFont val="Cambria"/>
        <family val="1"/>
      </rPr>
      <t>Outlet</t>
    </r>
    <r>
      <rPr>
        <sz val="8"/>
        <rFont val="Times New Roman"/>
        <family val="1"/>
      </rPr>
      <t xml:space="preserve"> </t>
    </r>
    <r>
      <rPr>
        <sz val="8"/>
        <rFont val="Cambria"/>
        <family val="1"/>
      </rPr>
      <t>with</t>
    </r>
    <r>
      <rPr>
        <sz val="8"/>
        <rFont val="Times New Roman"/>
        <family val="1"/>
      </rPr>
      <t xml:space="preserve"> </t>
    </r>
    <r>
      <rPr>
        <sz val="8"/>
        <rFont val="Cambria"/>
        <family val="1"/>
      </rPr>
      <t>MS</t>
    </r>
    <r>
      <rPr>
        <sz val="8"/>
        <rFont val="Times New Roman"/>
        <family val="1"/>
      </rPr>
      <t xml:space="preserve"> </t>
    </r>
    <r>
      <rPr>
        <sz val="8"/>
        <rFont val="Cambria"/>
        <family val="1"/>
      </rPr>
      <t>anodised</t>
    </r>
    <r>
      <rPr>
        <sz val="8"/>
        <rFont val="Times New Roman"/>
        <family val="1"/>
      </rPr>
      <t xml:space="preserve"> </t>
    </r>
    <r>
      <rPr>
        <sz val="8"/>
        <rFont val="Cambria"/>
        <family val="1"/>
      </rPr>
      <t>Backbox,</t>
    </r>
    <r>
      <rPr>
        <sz val="8"/>
        <rFont val="Times New Roman"/>
        <family val="1"/>
      </rPr>
      <t xml:space="preserve"> </t>
    </r>
    <r>
      <rPr>
        <sz val="8"/>
        <rFont val="Cambria"/>
        <family val="1"/>
      </rPr>
      <t>Tag</t>
    </r>
    <r>
      <rPr>
        <sz val="8"/>
        <rFont val="Times New Roman"/>
        <family val="1"/>
      </rPr>
      <t xml:space="preserve"> </t>
    </r>
    <r>
      <rPr>
        <sz val="8"/>
        <rFont val="Cambria"/>
        <family val="1"/>
      </rPr>
      <t>Boxes</t>
    </r>
    <r>
      <rPr>
        <sz val="8"/>
        <rFont val="Times New Roman"/>
        <family val="1"/>
      </rPr>
      <t xml:space="preserve"> </t>
    </r>
    <r>
      <rPr>
        <sz val="8"/>
        <rFont val="Cambria"/>
        <family val="1"/>
      </rPr>
      <t>of</t>
    </r>
    <r>
      <rPr>
        <sz val="8"/>
        <rFont val="Times New Roman"/>
        <family val="1"/>
      </rPr>
      <t xml:space="preserve"> </t>
    </r>
    <r>
      <rPr>
        <sz val="8"/>
        <rFont val="Cambria"/>
        <family val="1"/>
      </rPr>
      <t>MS</t>
    </r>
    <r>
      <rPr>
        <sz val="8"/>
        <rFont val="Times New Roman"/>
        <family val="1"/>
      </rPr>
      <t xml:space="preserve"> </t>
    </r>
    <r>
      <rPr>
        <sz val="8"/>
        <rFont val="Cambria"/>
        <family val="1"/>
      </rPr>
      <t>sheet</t>
    </r>
    <r>
      <rPr>
        <sz val="8"/>
        <rFont val="Times New Roman"/>
        <family val="1"/>
      </rPr>
      <t xml:space="preserve"> </t>
    </r>
    <r>
      <rPr>
        <sz val="8"/>
        <rFont val="Cambria"/>
        <family val="1"/>
      </rPr>
      <t>of</t>
    </r>
    <r>
      <rPr>
        <sz val="8"/>
        <rFont val="Times New Roman"/>
        <family val="1"/>
      </rPr>
      <t xml:space="preserve"> </t>
    </r>
    <r>
      <rPr>
        <sz val="8"/>
        <rFont val="Cambria"/>
        <family val="1"/>
      </rPr>
      <t>16</t>
    </r>
    <r>
      <rPr>
        <sz val="8"/>
        <rFont val="Times New Roman"/>
        <family val="1"/>
      </rPr>
      <t xml:space="preserve"> </t>
    </r>
    <r>
      <rPr>
        <sz val="8"/>
        <rFont val="Cambria"/>
        <family val="1"/>
      </rPr>
      <t>SWG</t>
    </r>
    <r>
      <rPr>
        <sz val="8"/>
        <rFont val="Times New Roman"/>
        <family val="1"/>
      </rPr>
      <t xml:space="preserve"> </t>
    </r>
    <r>
      <rPr>
        <sz val="8"/>
        <rFont val="Cambria"/>
        <family val="1"/>
      </rPr>
      <t>as</t>
    </r>
    <r>
      <rPr>
        <sz val="8"/>
        <rFont val="Times New Roman"/>
        <family val="1"/>
      </rPr>
      <t xml:space="preserve"> </t>
    </r>
    <r>
      <rPr>
        <sz val="8"/>
        <rFont val="Cambria"/>
        <family val="1"/>
      </rPr>
      <t>per</t>
    </r>
    <r>
      <rPr>
        <sz val="8"/>
        <rFont val="Times New Roman"/>
        <family val="1"/>
      </rPr>
      <t xml:space="preserve"> </t>
    </r>
    <r>
      <rPr>
        <sz val="8"/>
        <rFont val="Cambria"/>
        <family val="1"/>
      </rPr>
      <t>ITD</t>
    </r>
    <r>
      <rPr>
        <sz val="8"/>
        <rFont val="Times New Roman"/>
        <family val="1"/>
      </rPr>
      <t xml:space="preserve"> </t>
    </r>
    <r>
      <rPr>
        <sz val="8"/>
        <rFont val="Cambria"/>
        <family val="1"/>
      </rPr>
      <t>Specifications</t>
    </r>
    <r>
      <rPr>
        <sz val="8"/>
        <rFont val="Times New Roman"/>
        <family val="1"/>
      </rPr>
      <t xml:space="preserve"> </t>
    </r>
    <r>
      <rPr>
        <sz val="8"/>
        <rFont val="Cambria"/>
        <family val="1"/>
      </rPr>
      <t xml:space="preserve">with
</t>
    </r>
    <r>
      <rPr>
        <sz val="8"/>
        <rFont val="Cambria"/>
        <family val="1"/>
      </rPr>
      <t>Krone</t>
    </r>
    <r>
      <rPr>
        <sz val="8"/>
        <rFont val="Times New Roman"/>
        <family val="1"/>
      </rPr>
      <t xml:space="preserve"> </t>
    </r>
    <r>
      <rPr>
        <sz val="8"/>
        <rFont val="Cambria"/>
        <family val="1"/>
      </rPr>
      <t>tool</t>
    </r>
  </si>
  <si>
    <r>
      <rPr>
        <b/>
        <sz val="8"/>
        <rFont val="Cambria"/>
        <family val="1"/>
      </rPr>
      <t>FIRE</t>
    </r>
    <r>
      <rPr>
        <sz val="8"/>
        <rFont val="Times New Roman"/>
        <family val="1"/>
      </rPr>
      <t xml:space="preserve"> </t>
    </r>
    <r>
      <rPr>
        <b/>
        <sz val="8"/>
        <rFont val="Cambria"/>
        <family val="1"/>
      </rPr>
      <t>DETECTION</t>
    </r>
    <r>
      <rPr>
        <sz val="8"/>
        <rFont val="Times New Roman"/>
        <family val="1"/>
      </rPr>
      <t xml:space="preserve"> </t>
    </r>
    <r>
      <rPr>
        <sz val="8"/>
        <rFont val="Cambria"/>
        <family val="1"/>
      </rPr>
      <t>including</t>
    </r>
    <r>
      <rPr>
        <sz val="8"/>
        <rFont val="Times New Roman"/>
        <family val="1"/>
      </rPr>
      <t xml:space="preserve"> </t>
    </r>
    <r>
      <rPr>
        <sz val="8"/>
        <rFont val="Cambria"/>
        <family val="1"/>
      </rPr>
      <t>2</t>
    </r>
    <r>
      <rPr>
        <sz val="8"/>
        <rFont val="Times New Roman"/>
        <family val="1"/>
      </rPr>
      <t xml:space="preserve"> </t>
    </r>
    <r>
      <rPr>
        <sz val="8"/>
        <rFont val="Cambria"/>
        <family val="1"/>
      </rPr>
      <t>core,</t>
    </r>
    <r>
      <rPr>
        <sz val="8"/>
        <rFont val="Times New Roman"/>
        <family val="1"/>
      </rPr>
      <t xml:space="preserve"> </t>
    </r>
    <r>
      <rPr>
        <sz val="8"/>
        <rFont val="Cambria"/>
        <family val="1"/>
      </rPr>
      <t>1.5</t>
    </r>
    <r>
      <rPr>
        <sz val="8"/>
        <rFont val="Times New Roman"/>
        <family val="1"/>
      </rPr>
      <t xml:space="preserve"> </t>
    </r>
    <r>
      <rPr>
        <sz val="8"/>
        <rFont val="Cambria"/>
        <family val="1"/>
      </rPr>
      <t>sq.</t>
    </r>
    <r>
      <rPr>
        <sz val="8"/>
        <rFont val="Times New Roman"/>
        <family val="1"/>
      </rPr>
      <t xml:space="preserve"> </t>
    </r>
    <r>
      <rPr>
        <sz val="8"/>
        <rFont val="Cambria"/>
        <family val="1"/>
      </rPr>
      <t>mm.</t>
    </r>
    <r>
      <rPr>
        <sz val="8"/>
        <rFont val="Times New Roman"/>
        <family val="1"/>
      </rPr>
      <t xml:space="preserve"> </t>
    </r>
    <r>
      <rPr>
        <sz val="8"/>
        <rFont val="Cambria"/>
        <family val="1"/>
      </rPr>
      <t>PVC</t>
    </r>
    <r>
      <rPr>
        <sz val="8"/>
        <rFont val="Times New Roman"/>
        <family val="1"/>
      </rPr>
      <t xml:space="preserve"> </t>
    </r>
    <r>
      <rPr>
        <sz val="8"/>
        <rFont val="Cambria"/>
        <family val="1"/>
      </rPr>
      <t>FRLS</t>
    </r>
    <r>
      <rPr>
        <sz val="8"/>
        <rFont val="Times New Roman"/>
        <family val="1"/>
      </rPr>
      <t xml:space="preserve"> </t>
    </r>
    <r>
      <rPr>
        <sz val="8"/>
        <rFont val="Cambria"/>
        <family val="1"/>
      </rPr>
      <t>sheath</t>
    </r>
    <r>
      <rPr>
        <sz val="8"/>
        <rFont val="Times New Roman"/>
        <family val="1"/>
      </rPr>
      <t xml:space="preserve"> </t>
    </r>
    <r>
      <rPr>
        <sz val="8"/>
        <rFont val="Cambria"/>
        <family val="1"/>
      </rPr>
      <t>wire</t>
    </r>
    <r>
      <rPr>
        <sz val="8"/>
        <rFont val="Times New Roman"/>
        <family val="1"/>
      </rPr>
      <t xml:space="preserve"> </t>
    </r>
    <r>
      <rPr>
        <sz val="8"/>
        <rFont val="Cambria"/>
        <family val="1"/>
      </rPr>
      <t>in</t>
    </r>
    <r>
      <rPr>
        <sz val="8"/>
        <rFont val="Times New Roman"/>
        <family val="1"/>
      </rPr>
      <t xml:space="preserve"> </t>
    </r>
    <r>
      <rPr>
        <sz val="8"/>
        <rFont val="Cambria"/>
        <family val="1"/>
      </rPr>
      <t>MS</t>
    </r>
    <r>
      <rPr>
        <sz val="8"/>
        <rFont val="Times New Roman"/>
        <family val="1"/>
      </rPr>
      <t xml:space="preserve"> </t>
    </r>
    <r>
      <rPr>
        <sz val="8"/>
        <rFont val="Cambria"/>
        <family val="1"/>
      </rPr>
      <t>conduits</t>
    </r>
    <r>
      <rPr>
        <sz val="8"/>
        <rFont val="Times New Roman"/>
        <family val="1"/>
      </rPr>
      <t xml:space="preserve"> </t>
    </r>
    <r>
      <rPr>
        <sz val="8"/>
        <rFont val="Cambria"/>
        <family val="1"/>
      </rPr>
      <t>with</t>
    </r>
    <r>
      <rPr>
        <sz val="8"/>
        <rFont val="Times New Roman"/>
        <family val="1"/>
      </rPr>
      <t xml:space="preserve"> </t>
    </r>
    <r>
      <rPr>
        <sz val="8"/>
        <rFont val="Cambria"/>
        <family val="1"/>
      </rPr>
      <t>all</t>
    </r>
    <r>
      <rPr>
        <sz val="8"/>
        <rFont val="Times New Roman"/>
        <family val="1"/>
      </rPr>
      <t xml:space="preserve"> </t>
    </r>
    <r>
      <rPr>
        <sz val="8"/>
        <rFont val="Cambria"/>
        <family val="1"/>
      </rPr>
      <t>accessories</t>
    </r>
    <r>
      <rPr>
        <sz val="8"/>
        <rFont val="Times New Roman"/>
        <family val="1"/>
      </rPr>
      <t xml:space="preserve"> </t>
    </r>
    <r>
      <rPr>
        <sz val="8"/>
        <rFont val="Cambria"/>
        <family val="1"/>
      </rPr>
      <t>and</t>
    </r>
    <r>
      <rPr>
        <sz val="8"/>
        <rFont val="Times New Roman"/>
        <family val="1"/>
      </rPr>
      <t xml:space="preserve"> </t>
    </r>
    <r>
      <rPr>
        <sz val="8"/>
        <rFont val="Cambria"/>
        <family val="1"/>
      </rPr>
      <t>fire</t>
    </r>
    <r>
      <rPr>
        <sz val="8"/>
        <rFont val="Times New Roman"/>
        <family val="1"/>
      </rPr>
      <t xml:space="preserve"> </t>
    </r>
    <r>
      <rPr>
        <sz val="8"/>
        <rFont val="Cambria"/>
        <family val="1"/>
      </rPr>
      <t>alarm</t>
    </r>
    <r>
      <rPr>
        <sz val="8"/>
        <rFont val="Times New Roman"/>
        <family val="1"/>
      </rPr>
      <t xml:space="preserve"> </t>
    </r>
    <r>
      <rPr>
        <sz val="8"/>
        <rFont val="Cambria"/>
        <family val="1"/>
      </rPr>
      <t>equipment</t>
    </r>
    <r>
      <rPr>
        <sz val="8"/>
        <rFont val="Times New Roman"/>
        <family val="1"/>
      </rPr>
      <t xml:space="preserve"> </t>
    </r>
    <r>
      <rPr>
        <sz val="8"/>
        <rFont val="Cambria"/>
        <family val="1"/>
      </rPr>
      <t>like,</t>
    </r>
    <r>
      <rPr>
        <sz val="8"/>
        <rFont val="Times New Roman"/>
        <family val="1"/>
      </rPr>
      <t xml:space="preserve"> </t>
    </r>
    <r>
      <rPr>
        <sz val="8"/>
        <rFont val="Cambria"/>
        <family val="1"/>
      </rPr>
      <t>Addressable</t>
    </r>
    <r>
      <rPr>
        <sz val="8"/>
        <rFont val="Times New Roman"/>
        <family val="1"/>
      </rPr>
      <t xml:space="preserve"> </t>
    </r>
    <r>
      <rPr>
        <sz val="8"/>
        <rFont val="Cambria"/>
        <family val="1"/>
      </rPr>
      <t>smoke</t>
    </r>
    <r>
      <rPr>
        <sz val="8"/>
        <rFont val="Times New Roman"/>
        <family val="1"/>
      </rPr>
      <t xml:space="preserve"> </t>
    </r>
    <r>
      <rPr>
        <sz val="8"/>
        <rFont val="Cambria"/>
        <family val="1"/>
      </rPr>
      <t>detector,</t>
    </r>
    <r>
      <rPr>
        <sz val="8"/>
        <rFont val="Times New Roman"/>
        <family val="1"/>
      </rPr>
      <t xml:space="preserve"> </t>
    </r>
    <r>
      <rPr>
        <sz val="8"/>
        <rFont val="Cambria"/>
        <family val="1"/>
      </rPr>
      <t>heat</t>
    </r>
    <r>
      <rPr>
        <sz val="8"/>
        <rFont val="Times New Roman"/>
        <family val="1"/>
      </rPr>
      <t xml:space="preserve"> </t>
    </r>
    <r>
      <rPr>
        <sz val="8"/>
        <rFont val="Cambria"/>
        <family val="1"/>
      </rPr>
      <t>detector,</t>
    </r>
    <r>
      <rPr>
        <sz val="8"/>
        <rFont val="Times New Roman"/>
        <family val="1"/>
      </rPr>
      <t xml:space="preserve">  </t>
    </r>
    <r>
      <rPr>
        <sz val="8"/>
        <rFont val="Cambria"/>
        <family val="1"/>
      </rPr>
      <t>Beam</t>
    </r>
    <r>
      <rPr>
        <sz val="8"/>
        <rFont val="Times New Roman"/>
        <family val="1"/>
      </rPr>
      <t xml:space="preserve">  </t>
    </r>
    <r>
      <rPr>
        <sz val="8"/>
        <rFont val="Cambria"/>
        <family val="1"/>
      </rPr>
      <t>Detactor,</t>
    </r>
    <r>
      <rPr>
        <sz val="8"/>
        <rFont val="Times New Roman"/>
        <family val="1"/>
      </rPr>
      <t xml:space="preserve">   </t>
    </r>
    <r>
      <rPr>
        <sz val="8"/>
        <rFont val="Cambria"/>
        <family val="1"/>
      </rPr>
      <t>Manual</t>
    </r>
    <r>
      <rPr>
        <sz val="8"/>
        <rFont val="Times New Roman"/>
        <family val="1"/>
      </rPr>
      <t xml:space="preserve">  </t>
    </r>
    <r>
      <rPr>
        <sz val="8"/>
        <rFont val="Cambria"/>
        <family val="1"/>
      </rPr>
      <t>break</t>
    </r>
    <r>
      <rPr>
        <sz val="8"/>
        <rFont val="Times New Roman"/>
        <family val="1"/>
      </rPr>
      <t xml:space="preserve">  </t>
    </r>
    <r>
      <rPr>
        <sz val="8"/>
        <rFont val="Cambria"/>
        <family val="1"/>
      </rPr>
      <t>glass</t>
    </r>
    <r>
      <rPr>
        <sz val="8"/>
        <rFont val="Times New Roman"/>
        <family val="1"/>
      </rPr>
      <t xml:space="preserve">  </t>
    </r>
    <r>
      <rPr>
        <sz val="8"/>
        <rFont val="Cambria"/>
        <family val="1"/>
      </rPr>
      <t>call</t>
    </r>
    <r>
      <rPr>
        <sz val="8"/>
        <rFont val="Times New Roman"/>
        <family val="1"/>
      </rPr>
      <t xml:space="preserve">  </t>
    </r>
    <r>
      <rPr>
        <sz val="8"/>
        <rFont val="Cambria"/>
        <family val="1"/>
      </rPr>
      <t>point,</t>
    </r>
    <r>
      <rPr>
        <sz val="8"/>
        <rFont val="Times New Roman"/>
        <family val="1"/>
      </rPr>
      <t xml:space="preserve">  </t>
    </r>
    <r>
      <rPr>
        <sz val="8"/>
        <rFont val="Cambria"/>
        <family val="1"/>
      </rPr>
      <t>hooters,</t>
    </r>
    <r>
      <rPr>
        <sz val="8"/>
        <rFont val="Times New Roman"/>
        <family val="1"/>
      </rPr>
      <t xml:space="preserve">  </t>
    </r>
    <r>
      <rPr>
        <sz val="8"/>
        <rFont val="Cambria"/>
        <family val="1"/>
      </rPr>
      <t>Addressable</t>
    </r>
    <r>
      <rPr>
        <sz val="8"/>
        <rFont val="Times New Roman"/>
        <family val="1"/>
      </rPr>
      <t xml:space="preserve">  </t>
    </r>
    <r>
      <rPr>
        <sz val="8"/>
        <rFont val="Cambria"/>
        <family val="1"/>
      </rPr>
      <t>type</t>
    </r>
    <r>
      <rPr>
        <sz val="8"/>
        <rFont val="Times New Roman"/>
        <family val="1"/>
      </rPr>
      <t xml:space="preserve"> </t>
    </r>
    <r>
      <rPr>
        <sz val="8"/>
        <rFont val="Cambria"/>
        <family val="1"/>
      </rPr>
      <t>fault</t>
    </r>
    <r>
      <rPr>
        <sz val="8"/>
        <rFont val="Times New Roman"/>
        <family val="1"/>
      </rPr>
      <t xml:space="preserve"> </t>
    </r>
    <r>
      <rPr>
        <sz val="8"/>
        <rFont val="Cambria"/>
        <family val="1"/>
      </rPr>
      <t>isolators</t>
    </r>
    <r>
      <rPr>
        <sz val="8"/>
        <rFont val="Times New Roman"/>
        <family val="1"/>
      </rPr>
      <t xml:space="preserve"> </t>
    </r>
    <r>
      <rPr>
        <sz val="8"/>
        <rFont val="Cambria"/>
        <family val="1"/>
      </rPr>
      <t>and</t>
    </r>
    <r>
      <rPr>
        <sz val="8"/>
        <rFont val="Times New Roman"/>
        <family val="1"/>
      </rPr>
      <t xml:space="preserve"> </t>
    </r>
    <r>
      <rPr>
        <sz val="8"/>
        <rFont val="Cambria"/>
        <family val="1"/>
      </rPr>
      <t>Addressable</t>
    </r>
    <r>
      <rPr>
        <sz val="8"/>
        <rFont val="Times New Roman"/>
        <family val="1"/>
      </rPr>
      <t xml:space="preserve"> </t>
    </r>
    <r>
      <rPr>
        <sz val="8"/>
        <rFont val="Cambria"/>
        <family val="1"/>
      </rPr>
      <t>control</t>
    </r>
    <r>
      <rPr>
        <sz val="8"/>
        <rFont val="Times New Roman"/>
        <family val="1"/>
      </rPr>
      <t xml:space="preserve"> </t>
    </r>
    <r>
      <rPr>
        <sz val="8"/>
        <rFont val="Cambria"/>
        <family val="1"/>
      </rPr>
      <t>module,</t>
    </r>
    <r>
      <rPr>
        <sz val="8"/>
        <rFont val="Times New Roman"/>
        <family val="1"/>
      </rPr>
      <t xml:space="preserve"> </t>
    </r>
    <r>
      <rPr>
        <sz val="8"/>
        <rFont val="Cambria"/>
        <family val="1"/>
      </rPr>
      <t>Fire</t>
    </r>
    <r>
      <rPr>
        <sz val="8"/>
        <rFont val="Times New Roman"/>
        <family val="1"/>
      </rPr>
      <t xml:space="preserve"> </t>
    </r>
    <r>
      <rPr>
        <sz val="8"/>
        <rFont val="Cambria"/>
        <family val="1"/>
      </rPr>
      <t>Alrm</t>
    </r>
    <r>
      <rPr>
        <sz val="8"/>
        <rFont val="Times New Roman"/>
        <family val="1"/>
      </rPr>
      <t xml:space="preserve"> </t>
    </r>
    <r>
      <rPr>
        <sz val="8"/>
        <rFont val="Cambria"/>
        <family val="1"/>
      </rPr>
      <t>Panel</t>
    </r>
    <r>
      <rPr>
        <sz val="8"/>
        <rFont val="Times New Roman"/>
        <family val="1"/>
      </rPr>
      <t xml:space="preserve"> </t>
    </r>
    <r>
      <rPr>
        <sz val="8"/>
        <rFont val="Cambria"/>
        <family val="1"/>
      </rPr>
      <t>complete</t>
    </r>
    <r>
      <rPr>
        <sz val="8"/>
        <rFont val="Times New Roman"/>
        <family val="1"/>
      </rPr>
      <t xml:space="preserve"> </t>
    </r>
    <r>
      <rPr>
        <sz val="8"/>
        <rFont val="Cambria"/>
        <family val="1"/>
      </rPr>
      <t>as</t>
    </r>
    <r>
      <rPr>
        <sz val="8"/>
        <rFont val="Times New Roman"/>
        <family val="1"/>
      </rPr>
      <t xml:space="preserve"> </t>
    </r>
    <r>
      <rPr>
        <sz val="8"/>
        <rFont val="Cambria"/>
        <family val="1"/>
      </rPr>
      <t xml:space="preserve">required
</t>
    </r>
    <r>
      <rPr>
        <sz val="8"/>
        <rFont val="Cambria"/>
        <family val="1"/>
      </rPr>
      <t>etc.</t>
    </r>
  </si>
  <si>
    <r>
      <rPr>
        <b/>
        <sz val="8"/>
        <rFont val="Cambria"/>
        <family val="1"/>
      </rPr>
      <t>DATA/</t>
    </r>
    <r>
      <rPr>
        <sz val="8"/>
        <rFont val="Times New Roman"/>
        <family val="1"/>
      </rPr>
      <t xml:space="preserve">  </t>
    </r>
    <r>
      <rPr>
        <b/>
        <sz val="8"/>
        <rFont val="Cambria"/>
        <family val="1"/>
      </rPr>
      <t>WI-FI</t>
    </r>
    <r>
      <rPr>
        <sz val="8"/>
        <rFont val="Times New Roman"/>
        <family val="1"/>
      </rPr>
      <t xml:space="preserve"> </t>
    </r>
    <r>
      <rPr>
        <sz val="8"/>
        <rFont val="Cambria"/>
        <family val="1"/>
      </rPr>
      <t>WIRING</t>
    </r>
    <r>
      <rPr>
        <sz val="8"/>
        <rFont val="Times New Roman"/>
        <family val="1"/>
      </rPr>
      <t xml:space="preserve">  </t>
    </r>
    <r>
      <rPr>
        <sz val="8"/>
        <rFont val="Cambria"/>
        <family val="1"/>
      </rPr>
      <t>including</t>
    </r>
    <r>
      <rPr>
        <sz val="8"/>
        <rFont val="Times New Roman"/>
        <family val="1"/>
      </rPr>
      <t xml:space="preserve">  </t>
    </r>
    <r>
      <rPr>
        <sz val="8"/>
        <rFont val="Cambria"/>
        <family val="1"/>
      </rPr>
      <t>4</t>
    </r>
    <r>
      <rPr>
        <sz val="8"/>
        <rFont val="Times New Roman"/>
        <family val="1"/>
      </rPr>
      <t xml:space="preserve">  </t>
    </r>
    <r>
      <rPr>
        <sz val="8"/>
        <rFont val="Cambria"/>
        <family val="1"/>
      </rPr>
      <t>pair</t>
    </r>
    <r>
      <rPr>
        <sz val="8"/>
        <rFont val="Times New Roman"/>
        <family val="1"/>
      </rPr>
      <t xml:space="preserve">  </t>
    </r>
    <r>
      <rPr>
        <sz val="8"/>
        <rFont val="Cambria"/>
        <family val="1"/>
      </rPr>
      <t>,100</t>
    </r>
    <r>
      <rPr>
        <sz val="8"/>
        <rFont val="Times New Roman"/>
        <family val="1"/>
      </rPr>
      <t xml:space="preserve">  </t>
    </r>
    <r>
      <rPr>
        <sz val="8"/>
        <rFont val="Cambria"/>
        <family val="1"/>
      </rPr>
      <t>Ohm,</t>
    </r>
    <r>
      <rPr>
        <sz val="8"/>
        <rFont val="Times New Roman"/>
        <family val="1"/>
      </rPr>
      <t xml:space="preserve">  </t>
    </r>
    <r>
      <rPr>
        <sz val="8"/>
        <rFont val="Cambria"/>
        <family val="1"/>
      </rPr>
      <t>24</t>
    </r>
    <r>
      <rPr>
        <sz val="8"/>
        <rFont val="Times New Roman"/>
        <family val="1"/>
      </rPr>
      <t xml:space="preserve">  </t>
    </r>
    <r>
      <rPr>
        <sz val="8"/>
        <rFont val="Cambria"/>
        <family val="1"/>
      </rPr>
      <t>AWG</t>
    </r>
    <r>
      <rPr>
        <sz val="8"/>
        <rFont val="Times New Roman"/>
        <family val="1"/>
      </rPr>
      <t xml:space="preserve">  </t>
    </r>
    <r>
      <rPr>
        <sz val="8"/>
        <rFont val="Cambria"/>
        <family val="1"/>
      </rPr>
      <t>UTP</t>
    </r>
    <r>
      <rPr>
        <sz val="8"/>
        <rFont val="Times New Roman"/>
        <family val="1"/>
      </rPr>
      <t xml:space="preserve"> </t>
    </r>
    <r>
      <rPr>
        <sz val="8"/>
        <rFont val="Cambria"/>
        <family val="1"/>
      </rPr>
      <t>Cat</t>
    </r>
    <r>
      <rPr>
        <sz val="8"/>
        <rFont val="Times New Roman"/>
        <family val="1"/>
      </rPr>
      <t xml:space="preserve">  </t>
    </r>
    <r>
      <rPr>
        <sz val="8"/>
        <rFont val="Cambria"/>
        <family val="1"/>
      </rPr>
      <t>6</t>
    </r>
    <r>
      <rPr>
        <sz val="8"/>
        <rFont val="Times New Roman"/>
        <family val="1"/>
      </rPr>
      <t xml:space="preserve">  </t>
    </r>
    <r>
      <rPr>
        <sz val="8"/>
        <rFont val="Cambria"/>
        <family val="1"/>
      </rPr>
      <t>Cable</t>
    </r>
    <r>
      <rPr>
        <sz val="8"/>
        <rFont val="Times New Roman"/>
        <family val="1"/>
      </rPr>
      <t xml:space="preserve">  </t>
    </r>
    <r>
      <rPr>
        <sz val="8"/>
        <rFont val="Cambria"/>
        <family val="1"/>
      </rPr>
      <t>in</t>
    </r>
    <r>
      <rPr>
        <sz val="8"/>
        <rFont val="Times New Roman"/>
        <family val="1"/>
      </rPr>
      <t xml:space="preserve"> </t>
    </r>
    <r>
      <rPr>
        <sz val="8"/>
        <rFont val="Cambria"/>
        <family val="1"/>
      </rPr>
      <t xml:space="preserve">MS
</t>
    </r>
    <r>
      <rPr>
        <sz val="8"/>
        <rFont val="Cambria"/>
        <family val="1"/>
      </rPr>
      <t>/PVC</t>
    </r>
    <r>
      <rPr>
        <sz val="8"/>
        <rFont val="Times New Roman"/>
        <family val="1"/>
      </rPr>
      <t xml:space="preserve"> </t>
    </r>
    <r>
      <rPr>
        <sz val="8"/>
        <rFont val="Cambria"/>
        <family val="1"/>
      </rPr>
      <t>conduits</t>
    </r>
    <r>
      <rPr>
        <sz val="8"/>
        <rFont val="Times New Roman"/>
        <family val="1"/>
      </rPr>
      <t xml:space="preserve"> </t>
    </r>
    <r>
      <rPr>
        <sz val="8"/>
        <rFont val="Cambria"/>
        <family val="1"/>
      </rPr>
      <t>and</t>
    </r>
    <r>
      <rPr>
        <sz val="8"/>
        <rFont val="Times New Roman"/>
        <family val="1"/>
      </rPr>
      <t xml:space="preserve"> </t>
    </r>
    <r>
      <rPr>
        <sz val="8"/>
        <rFont val="Cambria"/>
        <family val="1"/>
      </rPr>
      <t>Rack</t>
    </r>
    <r>
      <rPr>
        <sz val="8"/>
        <rFont val="Times New Roman"/>
        <family val="1"/>
      </rPr>
      <t xml:space="preserve"> </t>
    </r>
    <r>
      <rPr>
        <sz val="8"/>
        <rFont val="Cambria"/>
        <family val="1"/>
      </rPr>
      <t>mounted</t>
    </r>
    <r>
      <rPr>
        <sz val="8"/>
        <rFont val="Times New Roman"/>
        <family val="1"/>
      </rPr>
      <t xml:space="preserve"> </t>
    </r>
    <r>
      <rPr>
        <sz val="8"/>
        <rFont val="Cambria"/>
        <family val="1"/>
      </rPr>
      <t>19",</t>
    </r>
    <r>
      <rPr>
        <sz val="8"/>
        <rFont val="Times New Roman"/>
        <family val="1"/>
      </rPr>
      <t xml:space="preserve"> </t>
    </r>
    <r>
      <rPr>
        <sz val="8"/>
        <rFont val="Cambria"/>
        <family val="1"/>
      </rPr>
      <t>Cat</t>
    </r>
    <r>
      <rPr>
        <sz val="8"/>
        <rFont val="Times New Roman"/>
        <family val="1"/>
      </rPr>
      <t xml:space="preserve"> </t>
    </r>
    <r>
      <rPr>
        <sz val="8"/>
        <rFont val="Cambria"/>
        <family val="1"/>
      </rPr>
      <t>5</t>
    </r>
    <r>
      <rPr>
        <sz val="8"/>
        <rFont val="Times New Roman"/>
        <family val="1"/>
      </rPr>
      <t xml:space="preserve"> </t>
    </r>
    <r>
      <rPr>
        <sz val="8"/>
        <rFont val="Cambria"/>
        <family val="1"/>
      </rPr>
      <t>UTP,1.6</t>
    </r>
    <r>
      <rPr>
        <sz val="8"/>
        <rFont val="Times New Roman"/>
        <family val="1"/>
      </rPr>
      <t xml:space="preserve"> </t>
    </r>
    <r>
      <rPr>
        <sz val="8"/>
        <rFont val="Cambria"/>
        <family val="1"/>
      </rPr>
      <t>MM</t>
    </r>
    <r>
      <rPr>
        <sz val="8"/>
        <rFont val="Times New Roman"/>
        <family val="1"/>
      </rPr>
      <t xml:space="preserve"> </t>
    </r>
    <r>
      <rPr>
        <sz val="8"/>
        <rFont val="Cambria"/>
        <family val="1"/>
      </rPr>
      <t>mild</t>
    </r>
    <r>
      <rPr>
        <sz val="8"/>
        <rFont val="Times New Roman"/>
        <family val="1"/>
      </rPr>
      <t xml:space="preserve"> </t>
    </r>
    <r>
      <rPr>
        <sz val="8"/>
        <rFont val="Cambria"/>
        <family val="1"/>
      </rPr>
      <t>steel</t>
    </r>
    <r>
      <rPr>
        <sz val="8"/>
        <rFont val="Times New Roman"/>
        <family val="1"/>
      </rPr>
      <t xml:space="preserve"> </t>
    </r>
    <r>
      <rPr>
        <sz val="8"/>
        <rFont val="Cambria"/>
        <family val="1"/>
      </rPr>
      <t>Patch</t>
    </r>
    <r>
      <rPr>
        <sz val="8"/>
        <rFont val="Times New Roman"/>
        <family val="1"/>
      </rPr>
      <t xml:space="preserve"> </t>
    </r>
    <r>
      <rPr>
        <sz val="8"/>
        <rFont val="Cambria"/>
        <family val="1"/>
      </rPr>
      <t>Panels</t>
    </r>
    <r>
      <rPr>
        <sz val="8"/>
        <rFont val="Times New Roman"/>
        <family val="1"/>
      </rPr>
      <t xml:space="preserve"> </t>
    </r>
    <r>
      <rPr>
        <sz val="8"/>
        <rFont val="Cambria"/>
        <family val="1"/>
      </rPr>
      <t>with</t>
    </r>
    <r>
      <rPr>
        <sz val="8"/>
        <rFont val="Times New Roman"/>
        <family val="1"/>
      </rPr>
      <t xml:space="preserve"> </t>
    </r>
    <r>
      <rPr>
        <sz val="8"/>
        <rFont val="Cambria"/>
        <family val="1"/>
      </rPr>
      <t>necessary</t>
    </r>
    <r>
      <rPr>
        <sz val="8"/>
        <rFont val="Times New Roman"/>
        <family val="1"/>
      </rPr>
      <t xml:space="preserve"> </t>
    </r>
    <r>
      <rPr>
        <sz val="8"/>
        <rFont val="Cambria"/>
        <family val="1"/>
      </rPr>
      <t>tools,</t>
    </r>
    <r>
      <rPr>
        <sz val="8"/>
        <rFont val="Times New Roman"/>
        <family val="1"/>
      </rPr>
      <t xml:space="preserve"> </t>
    </r>
    <r>
      <rPr>
        <sz val="8"/>
        <rFont val="Cambria"/>
        <family val="1"/>
      </rPr>
      <t>Information</t>
    </r>
    <r>
      <rPr>
        <sz val="8"/>
        <rFont val="Times New Roman"/>
        <family val="1"/>
      </rPr>
      <t xml:space="preserve"> </t>
    </r>
    <r>
      <rPr>
        <sz val="8"/>
        <rFont val="Cambria"/>
        <family val="1"/>
      </rPr>
      <t>outlets</t>
    </r>
    <r>
      <rPr>
        <sz val="8"/>
        <rFont val="Times New Roman"/>
        <family val="1"/>
      </rPr>
      <t xml:space="preserve"> </t>
    </r>
    <r>
      <rPr>
        <sz val="8"/>
        <rFont val="Cambria"/>
        <family val="1"/>
      </rPr>
      <t>with</t>
    </r>
    <r>
      <rPr>
        <sz val="8"/>
        <rFont val="Times New Roman"/>
        <family val="1"/>
      </rPr>
      <t xml:space="preserve"> </t>
    </r>
    <r>
      <rPr>
        <sz val="8"/>
        <rFont val="Cambria"/>
        <family val="1"/>
      </rPr>
      <t>Face</t>
    </r>
    <r>
      <rPr>
        <sz val="8"/>
        <rFont val="Times New Roman"/>
        <family val="1"/>
      </rPr>
      <t xml:space="preserve"> </t>
    </r>
    <r>
      <rPr>
        <sz val="8"/>
        <rFont val="Cambria"/>
        <family val="1"/>
      </rPr>
      <t>Plate</t>
    </r>
    <r>
      <rPr>
        <sz val="8"/>
        <rFont val="Times New Roman"/>
        <family val="1"/>
      </rPr>
      <t xml:space="preserve"> </t>
    </r>
    <r>
      <rPr>
        <sz val="8"/>
        <rFont val="Cambria"/>
        <family val="1"/>
      </rPr>
      <t>for</t>
    </r>
    <r>
      <rPr>
        <sz val="8"/>
        <rFont val="Times New Roman"/>
        <family val="1"/>
      </rPr>
      <t xml:space="preserve"> </t>
    </r>
    <r>
      <rPr>
        <sz val="8"/>
        <rFont val="Cambria"/>
        <family val="1"/>
      </rPr>
      <t>Flush</t>
    </r>
    <r>
      <rPr>
        <sz val="8"/>
        <rFont val="Times New Roman"/>
        <family val="1"/>
      </rPr>
      <t xml:space="preserve"> </t>
    </r>
    <r>
      <rPr>
        <sz val="8"/>
        <rFont val="Cambria"/>
        <family val="1"/>
      </rPr>
      <t>Mount</t>
    </r>
    <r>
      <rPr>
        <sz val="8"/>
        <rFont val="Times New Roman"/>
        <family val="1"/>
      </rPr>
      <t xml:space="preserve"> </t>
    </r>
    <r>
      <rPr>
        <sz val="8"/>
        <rFont val="Cambria"/>
        <family val="1"/>
      </rPr>
      <t>on</t>
    </r>
    <r>
      <rPr>
        <sz val="8"/>
        <rFont val="Times New Roman"/>
        <family val="1"/>
      </rPr>
      <t xml:space="preserve"> </t>
    </r>
    <r>
      <rPr>
        <sz val="8"/>
        <rFont val="Cambria"/>
        <family val="1"/>
      </rPr>
      <t>2</t>
    </r>
    <r>
      <rPr>
        <sz val="8"/>
        <rFont val="Times New Roman"/>
        <family val="1"/>
      </rPr>
      <t xml:space="preserve"> </t>
    </r>
    <r>
      <rPr>
        <sz val="8"/>
        <rFont val="Cambria"/>
        <family val="1"/>
      </rPr>
      <t>Module</t>
    </r>
    <r>
      <rPr>
        <sz val="8"/>
        <rFont val="Times New Roman"/>
        <family val="1"/>
      </rPr>
      <t xml:space="preserve"> </t>
    </r>
    <r>
      <rPr>
        <sz val="8"/>
        <rFont val="Cambria"/>
        <family val="1"/>
      </rPr>
      <t>box</t>
    </r>
    <r>
      <rPr>
        <sz val="8"/>
        <rFont val="Times New Roman"/>
        <family val="1"/>
      </rPr>
      <t xml:space="preserve"> </t>
    </r>
    <r>
      <rPr>
        <sz val="8"/>
        <rFont val="Cambria"/>
        <family val="1"/>
      </rPr>
      <t>of</t>
    </r>
    <r>
      <rPr>
        <sz val="8"/>
        <rFont val="Times New Roman"/>
        <family val="1"/>
      </rPr>
      <t xml:space="preserve"> </t>
    </r>
    <r>
      <rPr>
        <sz val="8"/>
        <rFont val="Cambria"/>
        <family val="1"/>
      </rPr>
      <t>ABS</t>
    </r>
    <r>
      <rPr>
        <sz val="8"/>
        <rFont val="Times New Roman"/>
        <family val="1"/>
      </rPr>
      <t xml:space="preserve"> </t>
    </r>
    <r>
      <rPr>
        <sz val="8"/>
        <rFont val="Cambria"/>
        <family val="1"/>
      </rPr>
      <t>FR</t>
    </r>
    <r>
      <rPr>
        <sz val="8"/>
        <rFont val="Times New Roman"/>
        <family val="1"/>
      </rPr>
      <t xml:space="preserve"> </t>
    </r>
    <r>
      <rPr>
        <sz val="8"/>
        <rFont val="Cambria"/>
        <family val="1"/>
      </rPr>
      <t>grade</t>
    </r>
    <r>
      <rPr>
        <sz val="8"/>
        <rFont val="Times New Roman"/>
        <family val="1"/>
      </rPr>
      <t xml:space="preserve"> </t>
    </r>
    <r>
      <rPr>
        <sz val="8"/>
        <rFont val="Cambria"/>
        <family val="1"/>
      </rPr>
      <t>for</t>
    </r>
    <r>
      <rPr>
        <sz val="8"/>
        <rFont val="Times New Roman"/>
        <family val="1"/>
      </rPr>
      <t xml:space="preserve"> </t>
    </r>
    <r>
      <rPr>
        <sz val="8"/>
        <rFont val="Cambria"/>
        <family val="1"/>
      </rPr>
      <t>Cat</t>
    </r>
    <r>
      <rPr>
        <sz val="8"/>
        <rFont val="Times New Roman"/>
        <family val="1"/>
      </rPr>
      <t xml:space="preserve"> </t>
    </r>
    <r>
      <rPr>
        <sz val="8"/>
        <rFont val="Cambria"/>
        <family val="1"/>
      </rPr>
      <t>5</t>
    </r>
    <r>
      <rPr>
        <sz val="8"/>
        <rFont val="Times New Roman"/>
        <family val="1"/>
      </rPr>
      <t xml:space="preserve"> </t>
    </r>
    <r>
      <rPr>
        <sz val="8"/>
        <rFont val="Cambria"/>
        <family val="1"/>
      </rPr>
      <t>application</t>
    </r>
    <r>
      <rPr>
        <sz val="8"/>
        <rFont val="Times New Roman"/>
        <family val="1"/>
      </rPr>
      <t xml:space="preserve"> </t>
    </r>
    <r>
      <rPr>
        <sz val="8"/>
        <rFont val="Cambria"/>
        <family val="1"/>
      </rPr>
      <t>outlet,</t>
    </r>
    <r>
      <rPr>
        <sz val="8"/>
        <rFont val="Times New Roman"/>
        <family val="1"/>
      </rPr>
      <t xml:space="preserve"> </t>
    </r>
    <r>
      <rPr>
        <sz val="8"/>
        <rFont val="Cambria"/>
        <family val="1"/>
      </rPr>
      <t>Anodized</t>
    </r>
    <r>
      <rPr>
        <sz val="8"/>
        <rFont val="Times New Roman"/>
        <family val="1"/>
      </rPr>
      <t xml:space="preserve"> </t>
    </r>
    <r>
      <rPr>
        <sz val="8"/>
        <rFont val="Cambria"/>
        <family val="1"/>
      </rPr>
      <t>Zinc</t>
    </r>
    <r>
      <rPr>
        <sz val="8"/>
        <rFont val="Times New Roman"/>
        <family val="1"/>
      </rPr>
      <t xml:space="preserve"> </t>
    </r>
    <r>
      <rPr>
        <sz val="8"/>
        <rFont val="Cambria"/>
        <family val="1"/>
      </rPr>
      <t>Plated</t>
    </r>
    <r>
      <rPr>
        <sz val="8"/>
        <rFont val="Times New Roman"/>
        <family val="1"/>
      </rPr>
      <t xml:space="preserve"> </t>
    </r>
    <r>
      <rPr>
        <sz val="8"/>
        <rFont val="Cambria"/>
        <family val="1"/>
      </rPr>
      <t>MS</t>
    </r>
    <r>
      <rPr>
        <sz val="8"/>
        <rFont val="Times New Roman"/>
        <family val="1"/>
      </rPr>
      <t xml:space="preserve"> </t>
    </r>
    <r>
      <rPr>
        <sz val="8"/>
        <rFont val="Cambria"/>
        <family val="1"/>
      </rPr>
      <t>boxes</t>
    </r>
    <r>
      <rPr>
        <sz val="8"/>
        <rFont val="Times New Roman"/>
        <family val="1"/>
      </rPr>
      <t xml:space="preserve"> </t>
    </r>
    <r>
      <rPr>
        <sz val="8"/>
        <rFont val="Cambria"/>
        <family val="1"/>
      </rPr>
      <t>of</t>
    </r>
    <r>
      <rPr>
        <sz val="8"/>
        <rFont val="Times New Roman"/>
        <family val="1"/>
      </rPr>
      <t xml:space="preserve"> </t>
    </r>
    <r>
      <rPr>
        <sz val="8"/>
        <rFont val="Cambria"/>
        <family val="1"/>
      </rPr>
      <t>18</t>
    </r>
    <r>
      <rPr>
        <sz val="8"/>
        <rFont val="Times New Roman"/>
        <family val="1"/>
      </rPr>
      <t xml:space="preserve"> </t>
    </r>
    <r>
      <rPr>
        <sz val="8"/>
        <rFont val="Cambria"/>
        <family val="1"/>
      </rPr>
      <t>SWG</t>
    </r>
    <r>
      <rPr>
        <sz val="8"/>
        <rFont val="Times New Roman"/>
        <family val="1"/>
      </rPr>
      <t xml:space="preserve"> </t>
    </r>
    <r>
      <rPr>
        <sz val="8"/>
        <rFont val="Cambria"/>
        <family val="1"/>
      </rPr>
      <t>Sheet,</t>
    </r>
    <r>
      <rPr>
        <sz val="8"/>
        <rFont val="Times New Roman"/>
        <family val="1"/>
      </rPr>
      <t xml:space="preserve"> </t>
    </r>
    <r>
      <rPr>
        <sz val="8"/>
        <rFont val="Cambria"/>
        <family val="1"/>
      </rPr>
      <t>Wall</t>
    </r>
    <r>
      <rPr>
        <sz val="8"/>
        <rFont val="Times New Roman"/>
        <family val="1"/>
      </rPr>
      <t xml:space="preserve"> </t>
    </r>
    <r>
      <rPr>
        <sz val="8"/>
        <rFont val="Cambria"/>
        <family val="1"/>
      </rPr>
      <t>mounted</t>
    </r>
    <r>
      <rPr>
        <sz val="8"/>
        <rFont val="Times New Roman"/>
        <family val="1"/>
      </rPr>
      <t xml:space="preserve"> </t>
    </r>
    <r>
      <rPr>
        <sz val="8"/>
        <rFont val="Cambria"/>
        <family val="1"/>
      </rPr>
      <t>Communication</t>
    </r>
    <r>
      <rPr>
        <sz val="8"/>
        <rFont val="Times New Roman"/>
        <family val="1"/>
      </rPr>
      <t xml:space="preserve"> </t>
    </r>
    <r>
      <rPr>
        <sz val="8"/>
        <rFont val="Cambria"/>
        <family val="1"/>
      </rPr>
      <t>rack</t>
    </r>
    <r>
      <rPr>
        <sz val="8"/>
        <rFont val="Times New Roman"/>
        <family val="1"/>
      </rPr>
      <t xml:space="preserve"> </t>
    </r>
    <r>
      <rPr>
        <sz val="8"/>
        <rFont val="Cambria"/>
        <family val="1"/>
      </rPr>
      <t>with</t>
    </r>
    <r>
      <rPr>
        <sz val="8"/>
        <rFont val="Times New Roman"/>
        <family val="1"/>
      </rPr>
      <t xml:space="preserve"> </t>
    </r>
    <r>
      <rPr>
        <sz val="8"/>
        <rFont val="Cambria"/>
        <family val="1"/>
      </rPr>
      <t>all</t>
    </r>
    <r>
      <rPr>
        <sz val="8"/>
        <rFont val="Times New Roman"/>
        <family val="1"/>
      </rPr>
      <t xml:space="preserve"> </t>
    </r>
    <r>
      <rPr>
        <sz val="8"/>
        <rFont val="Cambria"/>
        <family val="1"/>
      </rPr>
      <t>accessories.</t>
    </r>
  </si>
  <si>
    <r>
      <rPr>
        <b/>
        <sz val="8"/>
        <rFont val="Cambria"/>
        <family val="1"/>
      </rPr>
      <t>SPEAKER</t>
    </r>
    <r>
      <rPr>
        <sz val="8"/>
        <rFont val="Times New Roman"/>
        <family val="1"/>
      </rPr>
      <t xml:space="preserve"> </t>
    </r>
    <r>
      <rPr>
        <sz val="8"/>
        <rFont val="Cambria"/>
        <family val="1"/>
      </rPr>
      <t>WIRING</t>
    </r>
    <r>
      <rPr>
        <sz val="8"/>
        <rFont val="Times New Roman"/>
        <family val="1"/>
      </rPr>
      <t xml:space="preserve"> </t>
    </r>
    <r>
      <rPr>
        <sz val="8"/>
        <rFont val="Cambria"/>
        <family val="1"/>
      </rPr>
      <t>including</t>
    </r>
    <r>
      <rPr>
        <sz val="8"/>
        <rFont val="Times New Roman"/>
        <family val="1"/>
      </rPr>
      <t xml:space="preserve"> </t>
    </r>
    <r>
      <rPr>
        <sz val="8"/>
        <rFont val="Cambria"/>
        <family val="1"/>
      </rPr>
      <t>2c</t>
    </r>
    <r>
      <rPr>
        <sz val="8"/>
        <rFont val="Times New Roman"/>
        <family val="1"/>
      </rPr>
      <t xml:space="preserve"> </t>
    </r>
    <r>
      <rPr>
        <sz val="8"/>
        <rFont val="Cambria"/>
        <family val="1"/>
      </rPr>
      <t>x</t>
    </r>
    <r>
      <rPr>
        <sz val="8"/>
        <rFont val="Times New Roman"/>
        <family val="1"/>
      </rPr>
      <t xml:space="preserve"> </t>
    </r>
    <r>
      <rPr>
        <sz val="8"/>
        <rFont val="Cambria"/>
        <family val="1"/>
      </rPr>
      <t>1.0</t>
    </r>
    <r>
      <rPr>
        <sz val="8"/>
        <rFont val="Times New Roman"/>
        <family val="1"/>
      </rPr>
      <t xml:space="preserve"> </t>
    </r>
    <r>
      <rPr>
        <sz val="8"/>
        <rFont val="Cambria"/>
        <family val="1"/>
      </rPr>
      <t>sq.</t>
    </r>
    <r>
      <rPr>
        <sz val="8"/>
        <rFont val="Times New Roman"/>
        <family val="1"/>
      </rPr>
      <t xml:space="preserve"> </t>
    </r>
    <r>
      <rPr>
        <sz val="8"/>
        <rFont val="Cambria"/>
        <family val="1"/>
      </rPr>
      <t>mm.</t>
    </r>
    <r>
      <rPr>
        <sz val="8"/>
        <rFont val="Times New Roman"/>
        <family val="1"/>
      </rPr>
      <t xml:space="preserve"> </t>
    </r>
    <r>
      <rPr>
        <sz val="8"/>
        <rFont val="Cambria"/>
        <family val="1"/>
      </rPr>
      <t>Twin</t>
    </r>
    <r>
      <rPr>
        <sz val="8"/>
        <rFont val="Times New Roman"/>
        <family val="1"/>
      </rPr>
      <t xml:space="preserve"> </t>
    </r>
    <r>
      <rPr>
        <sz val="8"/>
        <rFont val="Cambria"/>
        <family val="1"/>
      </rPr>
      <t>Twisted</t>
    </r>
    <r>
      <rPr>
        <sz val="8"/>
        <rFont val="Times New Roman"/>
        <family val="1"/>
      </rPr>
      <t xml:space="preserve"> </t>
    </r>
    <r>
      <rPr>
        <sz val="8"/>
        <rFont val="Cambria"/>
        <family val="1"/>
      </rPr>
      <t>Speaker</t>
    </r>
    <r>
      <rPr>
        <sz val="8"/>
        <rFont val="Times New Roman"/>
        <family val="1"/>
      </rPr>
      <t xml:space="preserve"> </t>
    </r>
    <r>
      <rPr>
        <sz val="8"/>
        <rFont val="Cambria"/>
        <family val="1"/>
      </rPr>
      <t>Shielded</t>
    </r>
    <r>
      <rPr>
        <sz val="8"/>
        <rFont val="Times New Roman"/>
        <family val="1"/>
      </rPr>
      <t xml:space="preserve"> </t>
    </r>
    <r>
      <rPr>
        <sz val="8"/>
        <rFont val="Cambria"/>
        <family val="1"/>
      </rPr>
      <t>Cu</t>
    </r>
    <r>
      <rPr>
        <sz val="8"/>
        <rFont val="Times New Roman"/>
        <family val="1"/>
      </rPr>
      <t xml:space="preserve"> </t>
    </r>
    <r>
      <rPr>
        <sz val="8"/>
        <rFont val="Cambria"/>
        <family val="1"/>
      </rPr>
      <t>cable</t>
    </r>
    <r>
      <rPr>
        <sz val="8"/>
        <rFont val="Times New Roman"/>
        <family val="1"/>
      </rPr>
      <t xml:space="preserve"> </t>
    </r>
    <r>
      <rPr>
        <sz val="8"/>
        <rFont val="Cambria"/>
        <family val="1"/>
      </rPr>
      <t>in</t>
    </r>
    <r>
      <rPr>
        <sz val="8"/>
        <rFont val="Times New Roman"/>
        <family val="1"/>
      </rPr>
      <t xml:space="preserve">   </t>
    </r>
    <r>
      <rPr>
        <sz val="8"/>
        <rFont val="Cambria"/>
        <family val="1"/>
      </rPr>
      <t>RIGID</t>
    </r>
    <r>
      <rPr>
        <sz val="8"/>
        <rFont val="Times New Roman"/>
        <family val="1"/>
      </rPr>
      <t xml:space="preserve">   </t>
    </r>
    <r>
      <rPr>
        <sz val="8"/>
        <rFont val="Cambria"/>
        <family val="1"/>
      </rPr>
      <t>PVC</t>
    </r>
    <r>
      <rPr>
        <sz val="8"/>
        <rFont val="Times New Roman"/>
        <family val="1"/>
      </rPr>
      <t xml:space="preserve">   </t>
    </r>
    <r>
      <rPr>
        <sz val="8"/>
        <rFont val="Cambria"/>
        <family val="1"/>
      </rPr>
      <t>conduit</t>
    </r>
    <r>
      <rPr>
        <sz val="8"/>
        <rFont val="Times New Roman"/>
        <family val="1"/>
      </rPr>
      <t xml:space="preserve">   </t>
    </r>
    <r>
      <rPr>
        <sz val="8"/>
        <rFont val="Cambria"/>
        <family val="1"/>
      </rPr>
      <t>of</t>
    </r>
    <r>
      <rPr>
        <sz val="8"/>
        <rFont val="Times New Roman"/>
        <family val="1"/>
      </rPr>
      <t xml:space="preserve">   </t>
    </r>
    <r>
      <rPr>
        <sz val="8"/>
        <rFont val="Cambria"/>
        <family val="1"/>
      </rPr>
      <t>2mm</t>
    </r>
    <r>
      <rPr>
        <sz val="8"/>
        <rFont val="Times New Roman"/>
        <family val="1"/>
      </rPr>
      <t xml:space="preserve">   </t>
    </r>
    <r>
      <rPr>
        <sz val="8"/>
        <rFont val="Cambria"/>
        <family val="1"/>
      </rPr>
      <t>thick</t>
    </r>
    <r>
      <rPr>
        <sz val="8"/>
        <rFont val="Times New Roman"/>
        <family val="1"/>
      </rPr>
      <t xml:space="preserve">   </t>
    </r>
    <r>
      <rPr>
        <sz val="8"/>
        <rFont val="Cambria"/>
        <family val="1"/>
      </rPr>
      <t>with</t>
    </r>
    <r>
      <rPr>
        <sz val="8"/>
        <rFont val="Times New Roman"/>
        <family val="1"/>
      </rPr>
      <t xml:space="preserve">   </t>
    </r>
    <r>
      <rPr>
        <sz val="8"/>
        <rFont val="Cambria"/>
        <family val="1"/>
      </rPr>
      <t>all</t>
    </r>
    <r>
      <rPr>
        <sz val="8"/>
        <rFont val="Times New Roman"/>
        <family val="1"/>
      </rPr>
      <t xml:space="preserve">   </t>
    </r>
    <r>
      <rPr>
        <sz val="8"/>
        <rFont val="Cambria"/>
        <family val="1"/>
      </rPr>
      <t>accessories,</t>
    </r>
    <r>
      <rPr>
        <sz val="8"/>
        <rFont val="Times New Roman"/>
        <family val="1"/>
      </rPr>
      <t xml:space="preserve">   </t>
    </r>
    <r>
      <rPr>
        <sz val="8"/>
        <rFont val="Cambria"/>
        <family val="1"/>
      </rPr>
      <t>Control</t>
    </r>
    <r>
      <rPr>
        <sz val="8"/>
        <rFont val="Times New Roman"/>
        <family val="1"/>
      </rPr>
      <t xml:space="preserve">   </t>
    </r>
    <r>
      <rPr>
        <sz val="8"/>
        <rFont val="Cambria"/>
        <family val="1"/>
      </rPr>
      <t>desk</t>
    </r>
    <r>
      <rPr>
        <sz val="8"/>
        <rFont val="Times New Roman"/>
        <family val="1"/>
      </rPr>
      <t xml:space="preserve">   </t>
    </r>
    <r>
      <rPr>
        <sz val="8"/>
        <rFont val="Cambria"/>
        <family val="1"/>
      </rPr>
      <t>with</t>
    </r>
    <r>
      <rPr>
        <sz val="8"/>
        <rFont val="Times New Roman"/>
        <family val="1"/>
      </rPr>
      <t xml:space="preserve"> </t>
    </r>
    <r>
      <rPr>
        <sz val="8"/>
        <rFont val="Cambria"/>
        <family val="1"/>
      </rPr>
      <t>microphone,</t>
    </r>
    <r>
      <rPr>
        <sz val="8"/>
        <rFont val="Times New Roman"/>
        <family val="1"/>
      </rPr>
      <t xml:space="preserve">   </t>
    </r>
    <r>
      <rPr>
        <sz val="8"/>
        <rFont val="Cambria"/>
        <family val="1"/>
      </rPr>
      <t>Power</t>
    </r>
    <r>
      <rPr>
        <sz val="8"/>
        <rFont val="Times New Roman"/>
        <family val="1"/>
      </rPr>
      <t xml:space="preserve">   </t>
    </r>
    <r>
      <rPr>
        <sz val="8"/>
        <rFont val="Cambria"/>
        <family val="1"/>
      </rPr>
      <t>Amplifier</t>
    </r>
    <r>
      <rPr>
        <sz val="8"/>
        <rFont val="Times New Roman"/>
        <family val="1"/>
      </rPr>
      <t xml:space="preserve">   </t>
    </r>
    <r>
      <rPr>
        <sz val="8"/>
        <rFont val="Cambria"/>
        <family val="1"/>
      </rPr>
      <t>Rack</t>
    </r>
    <r>
      <rPr>
        <sz val="8"/>
        <rFont val="Times New Roman"/>
        <family val="1"/>
      </rPr>
      <t xml:space="preserve">   </t>
    </r>
    <r>
      <rPr>
        <sz val="8"/>
        <rFont val="Cambria"/>
        <family val="1"/>
      </rPr>
      <t>with</t>
    </r>
    <r>
      <rPr>
        <sz val="8"/>
        <rFont val="Times New Roman"/>
        <family val="1"/>
      </rPr>
      <t xml:space="preserve">   </t>
    </r>
    <r>
      <rPr>
        <sz val="8"/>
        <rFont val="Cambria"/>
        <family val="1"/>
      </rPr>
      <t>500</t>
    </r>
    <r>
      <rPr>
        <sz val="8"/>
        <rFont val="Times New Roman"/>
        <family val="1"/>
      </rPr>
      <t xml:space="preserve">   </t>
    </r>
    <r>
      <rPr>
        <sz val="8"/>
        <rFont val="Cambria"/>
        <family val="1"/>
      </rPr>
      <t>watt</t>
    </r>
    <r>
      <rPr>
        <sz val="8"/>
        <rFont val="Times New Roman"/>
        <family val="1"/>
      </rPr>
      <t xml:space="preserve">   </t>
    </r>
    <r>
      <rPr>
        <sz val="8"/>
        <rFont val="Cambria"/>
        <family val="1"/>
      </rPr>
      <t>power</t>
    </r>
    <r>
      <rPr>
        <sz val="8"/>
        <rFont val="Times New Roman"/>
        <family val="1"/>
      </rPr>
      <t xml:space="preserve">   </t>
    </r>
    <r>
      <rPr>
        <sz val="8"/>
        <rFont val="Cambria"/>
        <family val="1"/>
      </rPr>
      <t>output,</t>
    </r>
    <r>
      <rPr>
        <sz val="8"/>
        <rFont val="Times New Roman"/>
        <family val="1"/>
      </rPr>
      <t xml:space="preserve">   </t>
    </r>
    <r>
      <rPr>
        <sz val="8"/>
        <rFont val="Cambria"/>
        <family val="1"/>
      </rPr>
      <t>Wall/Ceiling</t>
    </r>
    <r>
      <rPr>
        <sz val="8"/>
        <rFont val="Times New Roman"/>
        <family val="1"/>
      </rPr>
      <t xml:space="preserve"> </t>
    </r>
    <r>
      <rPr>
        <sz val="8"/>
        <rFont val="Cambria"/>
        <family val="1"/>
      </rPr>
      <t>mounted</t>
    </r>
    <r>
      <rPr>
        <sz val="8"/>
        <rFont val="Times New Roman"/>
        <family val="1"/>
      </rPr>
      <t xml:space="preserve"> </t>
    </r>
    <r>
      <rPr>
        <sz val="8"/>
        <rFont val="Cambria"/>
        <family val="1"/>
      </rPr>
      <t>6</t>
    </r>
    <r>
      <rPr>
        <sz val="8"/>
        <rFont val="Times New Roman"/>
        <family val="1"/>
      </rPr>
      <t xml:space="preserve"> </t>
    </r>
    <r>
      <rPr>
        <sz val="8"/>
        <rFont val="Cambria"/>
        <family val="1"/>
      </rPr>
      <t>watt</t>
    </r>
    <r>
      <rPr>
        <sz val="8"/>
        <rFont val="Times New Roman"/>
        <family val="1"/>
      </rPr>
      <t xml:space="preserve"> </t>
    </r>
    <r>
      <rPr>
        <sz val="8"/>
        <rFont val="Cambria"/>
        <family val="1"/>
      </rPr>
      <t>speakers,</t>
    </r>
    <r>
      <rPr>
        <sz val="8"/>
        <rFont val="Times New Roman"/>
        <family val="1"/>
      </rPr>
      <t xml:space="preserve"> </t>
    </r>
    <r>
      <rPr>
        <sz val="8"/>
        <rFont val="Cambria"/>
        <family val="1"/>
      </rPr>
      <t>Audio</t>
    </r>
    <r>
      <rPr>
        <sz val="8"/>
        <rFont val="Times New Roman"/>
        <family val="1"/>
      </rPr>
      <t xml:space="preserve"> </t>
    </r>
    <r>
      <rPr>
        <sz val="8"/>
        <rFont val="Cambria"/>
        <family val="1"/>
      </rPr>
      <t>Tone</t>
    </r>
    <r>
      <rPr>
        <sz val="8"/>
        <rFont val="Times New Roman"/>
        <family val="1"/>
      </rPr>
      <t xml:space="preserve"> </t>
    </r>
    <r>
      <rPr>
        <sz val="8"/>
        <rFont val="Cambria"/>
        <family val="1"/>
      </rPr>
      <t>generator,</t>
    </r>
    <r>
      <rPr>
        <sz val="8"/>
        <rFont val="Times New Roman"/>
        <family val="1"/>
      </rPr>
      <t xml:space="preserve"> </t>
    </r>
    <r>
      <rPr>
        <sz val="8"/>
        <rFont val="Cambria"/>
        <family val="1"/>
      </rPr>
      <t>Music</t>
    </r>
    <r>
      <rPr>
        <sz val="8"/>
        <rFont val="Times New Roman"/>
        <family val="1"/>
      </rPr>
      <t xml:space="preserve"> </t>
    </r>
    <r>
      <rPr>
        <sz val="8"/>
        <rFont val="Cambria"/>
        <family val="1"/>
      </rPr>
      <t>source</t>
    </r>
    <r>
      <rPr>
        <sz val="8"/>
        <rFont val="Times New Roman"/>
        <family val="1"/>
      </rPr>
      <t xml:space="preserve"> </t>
    </r>
    <r>
      <rPr>
        <sz val="8"/>
        <rFont val="Cambria"/>
        <family val="1"/>
      </rPr>
      <t>equipment</t>
    </r>
    <r>
      <rPr>
        <sz val="8"/>
        <rFont val="Times New Roman"/>
        <family val="1"/>
      </rPr>
      <t xml:space="preserve"> </t>
    </r>
    <r>
      <rPr>
        <sz val="8"/>
        <rFont val="Cambria"/>
        <family val="1"/>
      </rPr>
      <t>and</t>
    </r>
    <r>
      <rPr>
        <sz val="8"/>
        <rFont val="Times New Roman"/>
        <family val="1"/>
      </rPr>
      <t xml:space="preserve"> </t>
    </r>
    <r>
      <rPr>
        <sz val="8"/>
        <rFont val="Cambria"/>
        <family val="1"/>
      </rPr>
      <t xml:space="preserve">Cardoid
</t>
    </r>
    <r>
      <rPr>
        <sz val="8"/>
        <rFont val="Cambria"/>
        <family val="1"/>
      </rPr>
      <t>dynamic</t>
    </r>
    <r>
      <rPr>
        <sz val="8"/>
        <rFont val="Times New Roman"/>
        <family val="1"/>
      </rPr>
      <t xml:space="preserve"> </t>
    </r>
    <r>
      <rPr>
        <sz val="8"/>
        <rFont val="Cambria"/>
        <family val="1"/>
      </rPr>
      <t>microphone</t>
    </r>
    <r>
      <rPr>
        <sz val="8"/>
        <rFont val="Times New Roman"/>
        <family val="1"/>
      </rPr>
      <t xml:space="preserve"> </t>
    </r>
    <r>
      <rPr>
        <sz val="8"/>
        <rFont val="Cambria"/>
        <family val="1"/>
      </rPr>
      <t>etc.</t>
    </r>
  </si>
  <si>
    <r>
      <rPr>
        <sz val="8"/>
        <rFont val="Cambria"/>
        <family val="1"/>
      </rPr>
      <t>SITC</t>
    </r>
    <r>
      <rPr>
        <sz val="8"/>
        <rFont val="Times New Roman"/>
        <family val="1"/>
      </rPr>
      <t xml:space="preserve"> </t>
    </r>
    <r>
      <rPr>
        <sz val="8"/>
        <rFont val="Cambria"/>
        <family val="1"/>
      </rPr>
      <t>of</t>
    </r>
    <r>
      <rPr>
        <sz val="8"/>
        <rFont val="Times New Roman"/>
        <family val="1"/>
      </rPr>
      <t xml:space="preserve"> </t>
    </r>
    <r>
      <rPr>
        <sz val="8"/>
        <rFont val="Cambria"/>
        <family val="1"/>
      </rPr>
      <t>11</t>
    </r>
    <r>
      <rPr>
        <sz val="8"/>
        <rFont val="Times New Roman"/>
        <family val="1"/>
      </rPr>
      <t xml:space="preserve"> </t>
    </r>
    <r>
      <rPr>
        <sz val="8"/>
        <rFont val="Cambria"/>
        <family val="1"/>
      </rPr>
      <t>KV,</t>
    </r>
    <r>
      <rPr>
        <sz val="8"/>
        <rFont val="Times New Roman"/>
        <family val="1"/>
      </rPr>
      <t xml:space="preserve"> </t>
    </r>
    <r>
      <rPr>
        <sz val="8"/>
        <rFont val="Cambria"/>
        <family val="1"/>
      </rPr>
      <t>630/1250</t>
    </r>
    <r>
      <rPr>
        <sz val="8"/>
        <rFont val="Times New Roman"/>
        <family val="1"/>
      </rPr>
      <t xml:space="preserve"> </t>
    </r>
    <r>
      <rPr>
        <sz val="8"/>
        <rFont val="Cambria"/>
        <family val="1"/>
      </rPr>
      <t>A,</t>
    </r>
    <r>
      <rPr>
        <sz val="8"/>
        <rFont val="Times New Roman"/>
        <family val="1"/>
      </rPr>
      <t xml:space="preserve"> </t>
    </r>
    <r>
      <rPr>
        <sz val="8"/>
        <rFont val="Cambria"/>
        <family val="1"/>
      </rPr>
      <t>20kA</t>
    </r>
    <r>
      <rPr>
        <sz val="8"/>
        <rFont val="Times New Roman"/>
        <family val="1"/>
      </rPr>
      <t xml:space="preserve"> </t>
    </r>
    <r>
      <rPr>
        <sz val="8"/>
        <rFont val="Cambria"/>
        <family val="1"/>
      </rPr>
      <t>/</t>
    </r>
    <r>
      <rPr>
        <sz val="8"/>
        <rFont val="Times New Roman"/>
        <family val="1"/>
      </rPr>
      <t xml:space="preserve"> </t>
    </r>
    <r>
      <rPr>
        <sz val="8"/>
        <rFont val="Cambria"/>
        <family val="1"/>
      </rPr>
      <t>3</t>
    </r>
    <r>
      <rPr>
        <sz val="8"/>
        <rFont val="Times New Roman"/>
        <family val="1"/>
      </rPr>
      <t xml:space="preserve"> </t>
    </r>
    <r>
      <rPr>
        <sz val="8"/>
        <rFont val="Cambria"/>
        <family val="1"/>
      </rPr>
      <t>sec,</t>
    </r>
    <r>
      <rPr>
        <sz val="8"/>
        <rFont val="Times New Roman"/>
        <family val="1"/>
      </rPr>
      <t xml:space="preserve"> </t>
    </r>
    <r>
      <rPr>
        <sz val="8"/>
        <rFont val="Cambria"/>
        <family val="1"/>
      </rPr>
      <t>Out</t>
    </r>
    <r>
      <rPr>
        <sz val="8"/>
        <rFont val="Times New Roman"/>
        <family val="1"/>
      </rPr>
      <t xml:space="preserve"> </t>
    </r>
    <r>
      <rPr>
        <sz val="8"/>
        <rFont val="Cambria"/>
        <family val="1"/>
      </rPr>
      <t>door,</t>
    </r>
    <r>
      <rPr>
        <sz val="8"/>
        <rFont val="Times New Roman"/>
        <family val="1"/>
      </rPr>
      <t xml:space="preserve">  </t>
    </r>
    <r>
      <rPr>
        <sz val="8"/>
        <rFont val="Cambria"/>
        <family val="1"/>
      </rPr>
      <t>Extensible</t>
    </r>
    <r>
      <rPr>
        <sz val="8"/>
        <rFont val="Times New Roman"/>
        <family val="1"/>
      </rPr>
      <t xml:space="preserve"> </t>
    </r>
    <r>
      <rPr>
        <sz val="8"/>
        <rFont val="Cambria"/>
        <family val="1"/>
      </rPr>
      <t>type</t>
    </r>
    <r>
      <rPr>
        <sz val="8"/>
        <rFont val="Times New Roman"/>
        <family val="1"/>
      </rPr>
      <t xml:space="preserve"> </t>
    </r>
    <r>
      <rPr>
        <b/>
        <sz val="8"/>
        <rFont val="Cambria"/>
        <family val="1"/>
      </rPr>
      <t>Ring</t>
    </r>
    <r>
      <rPr>
        <sz val="8"/>
        <rFont val="Times New Roman"/>
        <family val="1"/>
      </rPr>
      <t xml:space="preserve"> </t>
    </r>
    <r>
      <rPr>
        <b/>
        <sz val="8"/>
        <rFont val="Cambria"/>
        <family val="1"/>
      </rPr>
      <t>main</t>
    </r>
    <r>
      <rPr>
        <sz val="8"/>
        <rFont val="Times New Roman"/>
        <family val="1"/>
      </rPr>
      <t xml:space="preserve"> </t>
    </r>
    <r>
      <rPr>
        <b/>
        <sz val="8"/>
        <rFont val="Cambria"/>
        <family val="1"/>
      </rPr>
      <t>unit</t>
    </r>
    <r>
      <rPr>
        <sz val="8"/>
        <rFont val="Times New Roman"/>
        <family val="1"/>
      </rPr>
      <t xml:space="preserve"> </t>
    </r>
    <r>
      <rPr>
        <sz val="8"/>
        <rFont val="Cambria"/>
        <family val="1"/>
      </rPr>
      <t>(RMU)</t>
    </r>
    <r>
      <rPr>
        <sz val="8"/>
        <rFont val="Times New Roman"/>
        <family val="1"/>
      </rPr>
      <t xml:space="preserve"> </t>
    </r>
    <r>
      <rPr>
        <sz val="8"/>
        <rFont val="Cambria"/>
        <family val="1"/>
      </rPr>
      <t>in</t>
    </r>
    <r>
      <rPr>
        <sz val="8"/>
        <rFont val="Times New Roman"/>
        <family val="1"/>
      </rPr>
      <t xml:space="preserve"> </t>
    </r>
    <r>
      <rPr>
        <sz val="8"/>
        <rFont val="Cambria"/>
        <family val="1"/>
      </rPr>
      <t>suitable</t>
    </r>
    <r>
      <rPr>
        <sz val="8"/>
        <rFont val="Times New Roman"/>
        <family val="1"/>
      </rPr>
      <t xml:space="preserve"> </t>
    </r>
    <r>
      <rPr>
        <sz val="8"/>
        <rFont val="Cambria"/>
        <family val="1"/>
      </rPr>
      <t>RCC</t>
    </r>
    <r>
      <rPr>
        <sz val="8"/>
        <rFont val="Times New Roman"/>
        <family val="1"/>
      </rPr>
      <t xml:space="preserve"> </t>
    </r>
    <r>
      <rPr>
        <sz val="8"/>
        <rFont val="Cambria"/>
        <family val="1"/>
      </rPr>
      <t>foundation</t>
    </r>
    <r>
      <rPr>
        <sz val="8"/>
        <rFont val="Times New Roman"/>
        <family val="1"/>
      </rPr>
      <t xml:space="preserve"> </t>
    </r>
    <r>
      <rPr>
        <sz val="8"/>
        <rFont val="Cambria"/>
        <family val="1"/>
      </rPr>
      <t>with</t>
    </r>
    <r>
      <rPr>
        <sz val="8"/>
        <rFont val="Times New Roman"/>
        <family val="1"/>
      </rPr>
      <t xml:space="preserve"> </t>
    </r>
    <r>
      <rPr>
        <sz val="8"/>
        <rFont val="Cambria"/>
        <family val="1"/>
      </rPr>
      <t>2</t>
    </r>
    <r>
      <rPr>
        <sz val="8"/>
        <rFont val="Times New Roman"/>
        <family val="1"/>
      </rPr>
      <t xml:space="preserve">  </t>
    </r>
    <r>
      <rPr>
        <sz val="8"/>
        <rFont val="Cambria"/>
        <family val="1"/>
      </rPr>
      <t>no.</t>
    </r>
    <r>
      <rPr>
        <sz val="8"/>
        <rFont val="Times New Roman"/>
        <family val="1"/>
      </rPr>
      <t xml:space="preserve"> </t>
    </r>
    <r>
      <rPr>
        <sz val="8"/>
        <rFont val="Cambria"/>
        <family val="1"/>
      </rPr>
      <t>Load</t>
    </r>
    <r>
      <rPr>
        <sz val="8"/>
        <rFont val="Times New Roman"/>
        <family val="1"/>
      </rPr>
      <t xml:space="preserve"> </t>
    </r>
    <r>
      <rPr>
        <sz val="8"/>
        <rFont val="Cambria"/>
        <family val="1"/>
      </rPr>
      <t>break</t>
    </r>
    <r>
      <rPr>
        <sz val="8"/>
        <rFont val="Times New Roman"/>
        <family val="1"/>
      </rPr>
      <t xml:space="preserve"> </t>
    </r>
    <r>
      <rPr>
        <sz val="8"/>
        <rFont val="Cambria"/>
        <family val="1"/>
      </rPr>
      <t>switch</t>
    </r>
    <r>
      <rPr>
        <sz val="8"/>
        <rFont val="Times New Roman"/>
        <family val="1"/>
      </rPr>
      <t xml:space="preserve"> </t>
    </r>
    <r>
      <rPr>
        <sz val="8"/>
        <rFont val="Cambria"/>
        <family val="1"/>
      </rPr>
      <t>&amp;</t>
    </r>
    <r>
      <rPr>
        <sz val="8"/>
        <rFont val="Times New Roman"/>
        <family val="1"/>
      </rPr>
      <t xml:space="preserve"> </t>
    </r>
    <r>
      <rPr>
        <sz val="8"/>
        <rFont val="Cambria"/>
        <family val="1"/>
      </rPr>
      <t>1</t>
    </r>
    <r>
      <rPr>
        <sz val="8"/>
        <rFont val="Times New Roman"/>
        <family val="1"/>
      </rPr>
      <t xml:space="preserve">  </t>
    </r>
    <r>
      <rPr>
        <sz val="8"/>
        <rFont val="Cambria"/>
        <family val="1"/>
      </rPr>
      <t>no.</t>
    </r>
    <r>
      <rPr>
        <sz val="8"/>
        <rFont val="Times New Roman"/>
        <family val="1"/>
      </rPr>
      <t xml:space="preserve"> </t>
    </r>
    <r>
      <rPr>
        <sz val="8"/>
        <rFont val="Cambria"/>
        <family val="1"/>
      </rPr>
      <t>VCB</t>
    </r>
    <r>
      <rPr>
        <sz val="8"/>
        <rFont val="Times New Roman"/>
        <family val="1"/>
      </rPr>
      <t xml:space="preserve"> </t>
    </r>
    <r>
      <rPr>
        <sz val="8"/>
        <rFont val="Cambria"/>
        <family val="1"/>
      </rPr>
      <t>/</t>
    </r>
    <r>
      <rPr>
        <sz val="8"/>
        <rFont val="Times New Roman"/>
        <family val="1"/>
      </rPr>
      <t xml:space="preserve"> </t>
    </r>
    <r>
      <rPr>
        <sz val="8"/>
        <rFont val="Cambria"/>
        <family val="1"/>
      </rPr>
      <t>SF6</t>
    </r>
    <r>
      <rPr>
        <sz val="8"/>
        <rFont val="Times New Roman"/>
        <family val="1"/>
      </rPr>
      <t xml:space="preserve"> </t>
    </r>
    <r>
      <rPr>
        <sz val="8"/>
        <rFont val="Cambria"/>
        <family val="1"/>
      </rPr>
      <t>circuit</t>
    </r>
    <r>
      <rPr>
        <sz val="8"/>
        <rFont val="Times New Roman"/>
        <family val="1"/>
      </rPr>
      <t xml:space="preserve"> </t>
    </r>
    <r>
      <rPr>
        <sz val="8"/>
        <rFont val="Cambria"/>
        <family val="1"/>
      </rPr>
      <t>breaker</t>
    </r>
    <r>
      <rPr>
        <sz val="8"/>
        <rFont val="Times New Roman"/>
        <family val="1"/>
      </rPr>
      <t xml:space="preserve"> </t>
    </r>
    <r>
      <rPr>
        <sz val="8"/>
        <rFont val="Cambria"/>
        <family val="1"/>
      </rPr>
      <t>with</t>
    </r>
    <r>
      <rPr>
        <sz val="8"/>
        <rFont val="Times New Roman"/>
        <family val="1"/>
      </rPr>
      <t xml:space="preserve"> </t>
    </r>
    <r>
      <rPr>
        <sz val="8"/>
        <rFont val="Cambria"/>
        <family val="1"/>
      </rPr>
      <t>over</t>
    </r>
    <r>
      <rPr>
        <sz val="8"/>
        <rFont val="Times New Roman"/>
        <family val="1"/>
      </rPr>
      <t xml:space="preserve"> </t>
    </r>
    <r>
      <rPr>
        <sz val="8"/>
        <rFont val="Cambria"/>
        <family val="1"/>
      </rPr>
      <t>load,</t>
    </r>
    <r>
      <rPr>
        <sz val="8"/>
        <rFont val="Times New Roman"/>
        <family val="1"/>
      </rPr>
      <t xml:space="preserve"> </t>
    </r>
    <r>
      <rPr>
        <sz val="8"/>
        <rFont val="Cambria"/>
        <family val="1"/>
      </rPr>
      <t>Earth</t>
    </r>
    <r>
      <rPr>
        <sz val="8"/>
        <rFont val="Times New Roman"/>
        <family val="1"/>
      </rPr>
      <t xml:space="preserve"> </t>
    </r>
    <r>
      <rPr>
        <sz val="8"/>
        <rFont val="Cambria"/>
        <family val="1"/>
      </rPr>
      <t>fault,</t>
    </r>
    <r>
      <rPr>
        <sz val="8"/>
        <rFont val="Times New Roman"/>
        <family val="1"/>
      </rPr>
      <t xml:space="preserve"> </t>
    </r>
    <r>
      <rPr>
        <sz val="8"/>
        <rFont val="Cambria"/>
        <family val="1"/>
      </rPr>
      <t>short</t>
    </r>
    <r>
      <rPr>
        <sz val="8"/>
        <rFont val="Times New Roman"/>
        <family val="1"/>
      </rPr>
      <t xml:space="preserve"> </t>
    </r>
    <r>
      <rPr>
        <sz val="8"/>
        <rFont val="Cambria"/>
        <family val="1"/>
      </rPr>
      <t>circuit</t>
    </r>
    <r>
      <rPr>
        <sz val="8"/>
        <rFont val="Times New Roman"/>
        <family val="1"/>
      </rPr>
      <t xml:space="preserve"> </t>
    </r>
    <r>
      <rPr>
        <sz val="8"/>
        <rFont val="Cambria"/>
        <family val="1"/>
      </rPr>
      <t>relay,</t>
    </r>
    <r>
      <rPr>
        <sz val="8"/>
        <rFont val="Times New Roman"/>
        <family val="1"/>
      </rPr>
      <t xml:space="preserve"> </t>
    </r>
    <r>
      <rPr>
        <sz val="8"/>
        <rFont val="Cambria"/>
        <family val="1"/>
      </rPr>
      <t>copper</t>
    </r>
    <r>
      <rPr>
        <sz val="8"/>
        <rFont val="Times New Roman"/>
        <family val="1"/>
      </rPr>
      <t xml:space="preserve"> </t>
    </r>
    <r>
      <rPr>
        <sz val="8"/>
        <rFont val="Cambria"/>
        <family val="1"/>
      </rPr>
      <t>bus</t>
    </r>
    <r>
      <rPr>
        <sz val="8"/>
        <rFont val="Times New Roman"/>
        <family val="1"/>
      </rPr>
      <t xml:space="preserve"> </t>
    </r>
    <r>
      <rPr>
        <sz val="8"/>
        <rFont val="Cambria"/>
        <family val="1"/>
      </rPr>
      <t>bar,</t>
    </r>
    <r>
      <rPr>
        <sz val="8"/>
        <rFont val="Times New Roman"/>
        <family val="1"/>
      </rPr>
      <t xml:space="preserve"> </t>
    </r>
    <r>
      <rPr>
        <sz val="8"/>
        <rFont val="Cambria"/>
        <family val="1"/>
      </rPr>
      <t>earthing</t>
    </r>
    <r>
      <rPr>
        <sz val="8"/>
        <rFont val="Times New Roman"/>
        <family val="1"/>
      </rPr>
      <t xml:space="preserve"> </t>
    </r>
    <r>
      <rPr>
        <sz val="8"/>
        <rFont val="Cambria"/>
        <family val="1"/>
      </rPr>
      <t>switch,</t>
    </r>
    <r>
      <rPr>
        <sz val="8"/>
        <rFont val="Times New Roman"/>
        <family val="1"/>
      </rPr>
      <t xml:space="preserve"> </t>
    </r>
    <r>
      <rPr>
        <sz val="8"/>
        <rFont val="Cambria"/>
        <family val="1"/>
      </rPr>
      <t>mechanical</t>
    </r>
    <r>
      <rPr>
        <sz val="8"/>
        <rFont val="Times New Roman"/>
        <family val="1"/>
      </rPr>
      <t xml:space="preserve"> </t>
    </r>
    <r>
      <rPr>
        <sz val="8"/>
        <rFont val="Cambria"/>
        <family val="1"/>
      </rPr>
      <t>ON</t>
    </r>
    <r>
      <rPr>
        <sz val="8"/>
        <rFont val="Times New Roman"/>
        <family val="1"/>
      </rPr>
      <t xml:space="preserve"> </t>
    </r>
    <r>
      <rPr>
        <sz val="8"/>
        <rFont val="Cambria"/>
        <family val="1"/>
      </rPr>
      <t>/</t>
    </r>
    <r>
      <rPr>
        <sz val="8"/>
        <rFont val="Times New Roman"/>
        <family val="1"/>
      </rPr>
      <t xml:space="preserve"> </t>
    </r>
    <r>
      <rPr>
        <sz val="8"/>
        <rFont val="Cambria"/>
        <family val="1"/>
      </rPr>
      <t>OFF</t>
    </r>
    <r>
      <rPr>
        <sz val="8"/>
        <rFont val="Times New Roman"/>
        <family val="1"/>
      </rPr>
      <t xml:space="preserve"> </t>
    </r>
    <r>
      <rPr>
        <sz val="8"/>
        <rFont val="Cambria"/>
        <family val="1"/>
      </rPr>
      <t>/</t>
    </r>
    <r>
      <rPr>
        <sz val="8"/>
        <rFont val="Times New Roman"/>
        <family val="1"/>
      </rPr>
      <t xml:space="preserve">  </t>
    </r>
    <r>
      <rPr>
        <sz val="8"/>
        <rFont val="Cambria"/>
        <family val="1"/>
      </rPr>
      <t>Earth</t>
    </r>
    <r>
      <rPr>
        <sz val="8"/>
        <rFont val="Times New Roman"/>
        <family val="1"/>
      </rPr>
      <t xml:space="preserve"> </t>
    </r>
    <r>
      <rPr>
        <sz val="8"/>
        <rFont val="Cambria"/>
        <family val="1"/>
      </rPr>
      <t>indication,</t>
    </r>
    <r>
      <rPr>
        <sz val="8"/>
        <rFont val="Times New Roman"/>
        <family val="1"/>
      </rPr>
      <t xml:space="preserve"> </t>
    </r>
    <r>
      <rPr>
        <sz val="8"/>
        <rFont val="Cambria"/>
        <family val="1"/>
      </rPr>
      <t>Voltage</t>
    </r>
    <r>
      <rPr>
        <sz val="8"/>
        <rFont val="Times New Roman"/>
        <family val="1"/>
      </rPr>
      <t xml:space="preserve"> </t>
    </r>
    <r>
      <rPr>
        <sz val="8"/>
        <rFont val="Cambria"/>
        <family val="1"/>
      </rPr>
      <t>presence</t>
    </r>
    <r>
      <rPr>
        <sz val="8"/>
        <rFont val="Times New Roman"/>
        <family val="1"/>
      </rPr>
      <t xml:space="preserve"> </t>
    </r>
    <r>
      <rPr>
        <sz val="8"/>
        <rFont val="Cambria"/>
        <family val="1"/>
      </rPr>
      <t>indicator,</t>
    </r>
    <r>
      <rPr>
        <sz val="8"/>
        <rFont val="Times New Roman"/>
        <family val="1"/>
      </rPr>
      <t xml:space="preserve"> </t>
    </r>
    <r>
      <rPr>
        <sz val="8"/>
        <rFont val="Cambria"/>
        <family val="1"/>
      </rPr>
      <t>Ring</t>
    </r>
    <r>
      <rPr>
        <sz val="8"/>
        <rFont val="Times New Roman"/>
        <family val="1"/>
      </rPr>
      <t xml:space="preserve"> </t>
    </r>
    <r>
      <rPr>
        <sz val="8"/>
        <rFont val="Cambria"/>
        <family val="1"/>
      </rPr>
      <t>core</t>
    </r>
    <r>
      <rPr>
        <sz val="8"/>
        <rFont val="Times New Roman"/>
        <family val="1"/>
      </rPr>
      <t xml:space="preserve"> </t>
    </r>
    <r>
      <rPr>
        <sz val="8"/>
        <rFont val="Cambria"/>
        <family val="1"/>
      </rPr>
      <t>protection</t>
    </r>
    <r>
      <rPr>
        <sz val="8"/>
        <rFont val="Times New Roman"/>
        <family val="1"/>
      </rPr>
      <t xml:space="preserve">  </t>
    </r>
    <r>
      <rPr>
        <sz val="8"/>
        <rFont val="Cambria"/>
        <family val="1"/>
      </rPr>
      <t>CT</t>
    </r>
    <r>
      <rPr>
        <sz val="8"/>
        <rFont val="Times New Roman"/>
        <family val="1"/>
      </rPr>
      <t xml:space="preserve">  </t>
    </r>
    <r>
      <rPr>
        <sz val="8"/>
        <rFont val="Cambria"/>
        <family val="1"/>
      </rPr>
      <t>2.5</t>
    </r>
    <r>
      <rPr>
        <sz val="8"/>
        <rFont val="Times New Roman"/>
        <family val="1"/>
      </rPr>
      <t xml:space="preserve">  </t>
    </r>
    <r>
      <rPr>
        <sz val="8"/>
        <rFont val="Cambria"/>
        <family val="1"/>
      </rPr>
      <t>VA,</t>
    </r>
    <r>
      <rPr>
        <sz val="8"/>
        <rFont val="Times New Roman"/>
        <family val="1"/>
      </rPr>
      <t xml:space="preserve">  </t>
    </r>
    <r>
      <rPr>
        <sz val="8"/>
        <rFont val="Cambria"/>
        <family val="1"/>
      </rPr>
      <t>10P10</t>
    </r>
    <r>
      <rPr>
        <sz val="8"/>
        <rFont val="Times New Roman"/>
        <family val="1"/>
      </rPr>
      <t xml:space="preserve">  </t>
    </r>
    <r>
      <rPr>
        <sz val="8"/>
        <rFont val="Cambria"/>
        <family val="1"/>
      </rPr>
      <t>as</t>
    </r>
    <r>
      <rPr>
        <sz val="8"/>
        <rFont val="Times New Roman"/>
        <family val="1"/>
      </rPr>
      <t xml:space="preserve">  </t>
    </r>
    <r>
      <rPr>
        <sz val="8"/>
        <rFont val="Cambria"/>
        <family val="1"/>
      </rPr>
      <t>per</t>
    </r>
    <r>
      <rPr>
        <sz val="8"/>
        <rFont val="Times New Roman"/>
        <family val="1"/>
      </rPr>
      <t xml:space="preserve">  </t>
    </r>
    <r>
      <rPr>
        <sz val="8"/>
        <rFont val="Cambria"/>
        <family val="1"/>
      </rPr>
      <t>transformer</t>
    </r>
    <r>
      <rPr>
        <sz val="8"/>
        <rFont val="Times New Roman"/>
        <family val="1"/>
      </rPr>
      <t xml:space="preserve">  </t>
    </r>
    <r>
      <rPr>
        <sz val="8"/>
        <rFont val="Cambria"/>
        <family val="1"/>
      </rPr>
      <t>rating,</t>
    </r>
    <r>
      <rPr>
        <sz val="8"/>
        <rFont val="Times New Roman"/>
        <family val="1"/>
      </rPr>
      <t xml:space="preserve">  </t>
    </r>
    <r>
      <rPr>
        <sz val="8"/>
        <rFont val="Cambria"/>
        <family val="1"/>
      </rPr>
      <t>Shunt</t>
    </r>
    <r>
      <rPr>
        <sz val="8"/>
        <rFont val="Times New Roman"/>
        <family val="1"/>
      </rPr>
      <t xml:space="preserve">  </t>
    </r>
    <r>
      <rPr>
        <sz val="8"/>
        <rFont val="Cambria"/>
        <family val="1"/>
      </rPr>
      <t>trip</t>
    </r>
    <r>
      <rPr>
        <sz val="8"/>
        <rFont val="Times New Roman"/>
        <family val="1"/>
      </rPr>
      <t xml:space="preserve">  </t>
    </r>
    <r>
      <rPr>
        <sz val="8"/>
        <rFont val="Cambria"/>
        <family val="1"/>
      </rPr>
      <t>coil,</t>
    </r>
    <r>
      <rPr>
        <sz val="8"/>
        <rFont val="Times New Roman"/>
        <family val="1"/>
      </rPr>
      <t xml:space="preserve">  </t>
    </r>
    <r>
      <rPr>
        <sz val="8"/>
        <rFont val="Cambria"/>
        <family val="1"/>
      </rPr>
      <t>Anti</t>
    </r>
    <r>
      <rPr>
        <sz val="8"/>
        <rFont val="Times New Roman"/>
        <family val="1"/>
      </rPr>
      <t xml:space="preserve">  </t>
    </r>
    <r>
      <rPr>
        <sz val="8"/>
        <rFont val="Cambria"/>
        <family val="1"/>
      </rPr>
      <t xml:space="preserve">reflex
</t>
    </r>
    <r>
      <rPr>
        <sz val="8"/>
        <rFont val="Cambria"/>
        <family val="1"/>
      </rPr>
      <t>operating</t>
    </r>
    <r>
      <rPr>
        <sz val="8"/>
        <rFont val="Times New Roman"/>
        <family val="1"/>
      </rPr>
      <t xml:space="preserve"> </t>
    </r>
    <r>
      <rPr>
        <sz val="8"/>
        <rFont val="Cambria"/>
        <family val="1"/>
      </rPr>
      <t>handle,</t>
    </r>
    <r>
      <rPr>
        <sz val="8"/>
        <rFont val="Times New Roman"/>
        <family val="1"/>
      </rPr>
      <t xml:space="preserve"> </t>
    </r>
    <r>
      <rPr>
        <sz val="8"/>
        <rFont val="Cambria"/>
        <family val="1"/>
      </rPr>
      <t>right</t>
    </r>
    <r>
      <rPr>
        <sz val="8"/>
        <rFont val="Times New Roman"/>
        <family val="1"/>
      </rPr>
      <t xml:space="preserve"> </t>
    </r>
    <r>
      <rPr>
        <sz val="8"/>
        <rFont val="Cambria"/>
        <family val="1"/>
      </rPr>
      <t>angle</t>
    </r>
    <r>
      <rPr>
        <sz val="8"/>
        <rFont val="Times New Roman"/>
        <family val="1"/>
      </rPr>
      <t xml:space="preserve"> </t>
    </r>
    <r>
      <rPr>
        <sz val="8"/>
        <rFont val="Cambria"/>
        <family val="1"/>
      </rPr>
      <t>boots</t>
    </r>
    <r>
      <rPr>
        <sz val="8"/>
        <rFont val="Times New Roman"/>
        <family val="1"/>
      </rPr>
      <t xml:space="preserve"> </t>
    </r>
    <r>
      <rPr>
        <sz val="8"/>
        <rFont val="Cambria"/>
        <family val="1"/>
      </rPr>
      <t>etc.</t>
    </r>
    <r>
      <rPr>
        <sz val="8"/>
        <rFont val="Times New Roman"/>
        <family val="1"/>
      </rPr>
      <t xml:space="preserve"> </t>
    </r>
    <r>
      <rPr>
        <sz val="8"/>
        <rFont val="Cambria"/>
        <family val="1"/>
      </rPr>
      <t>as</t>
    </r>
    <r>
      <rPr>
        <sz val="8"/>
        <rFont val="Times New Roman"/>
        <family val="1"/>
      </rPr>
      <t xml:space="preserve"> </t>
    </r>
    <r>
      <rPr>
        <sz val="8"/>
        <rFont val="Cambria"/>
        <family val="1"/>
      </rPr>
      <t>required.</t>
    </r>
  </si>
  <si>
    <r>
      <rPr>
        <sz val="8"/>
        <rFont val="Cambria"/>
        <family val="1"/>
      </rPr>
      <t>Complete</t>
    </r>
    <r>
      <rPr>
        <sz val="8"/>
        <rFont val="Times New Roman"/>
        <family val="1"/>
      </rPr>
      <t xml:space="preserve"> </t>
    </r>
    <r>
      <rPr>
        <sz val="8"/>
        <rFont val="Cambria"/>
        <family val="1"/>
      </rPr>
      <t>JOB</t>
    </r>
  </si>
  <si>
    <r>
      <rPr>
        <sz val="8"/>
        <rFont val="Cambria"/>
        <family val="1"/>
      </rPr>
      <t>Installation,</t>
    </r>
    <r>
      <rPr>
        <sz val="8"/>
        <rFont val="Times New Roman"/>
        <family val="1"/>
      </rPr>
      <t xml:space="preserve"> </t>
    </r>
    <r>
      <rPr>
        <sz val="8"/>
        <rFont val="Cambria"/>
        <family val="1"/>
      </rPr>
      <t>Testing</t>
    </r>
    <r>
      <rPr>
        <sz val="8"/>
        <rFont val="Times New Roman"/>
        <family val="1"/>
      </rPr>
      <t xml:space="preserve"> </t>
    </r>
    <r>
      <rPr>
        <sz val="8"/>
        <rFont val="Cambria"/>
        <family val="1"/>
      </rPr>
      <t>&amp;</t>
    </r>
    <r>
      <rPr>
        <sz val="8"/>
        <rFont val="Times New Roman"/>
        <family val="1"/>
      </rPr>
      <t xml:space="preserve"> </t>
    </r>
    <r>
      <rPr>
        <sz val="8"/>
        <rFont val="Cambria"/>
        <family val="1"/>
      </rPr>
      <t>Commissioning</t>
    </r>
    <r>
      <rPr>
        <sz val="8"/>
        <rFont val="Times New Roman"/>
        <family val="1"/>
      </rPr>
      <t xml:space="preserve"> </t>
    </r>
    <r>
      <rPr>
        <sz val="8"/>
        <rFont val="Cambria"/>
        <family val="1"/>
      </rPr>
      <t>of</t>
    </r>
    <r>
      <rPr>
        <sz val="8"/>
        <rFont val="Times New Roman"/>
        <family val="1"/>
      </rPr>
      <t xml:space="preserve"> </t>
    </r>
    <r>
      <rPr>
        <b/>
        <sz val="8"/>
        <rFont val="Cambria"/>
        <family val="1"/>
      </rPr>
      <t>11KV</t>
    </r>
    <r>
      <rPr>
        <sz val="8"/>
        <rFont val="Times New Roman"/>
        <family val="1"/>
      </rPr>
      <t xml:space="preserve"> </t>
    </r>
    <r>
      <rPr>
        <b/>
        <sz val="8"/>
        <rFont val="Cambria"/>
        <family val="1"/>
      </rPr>
      <t>400A</t>
    </r>
    <r>
      <rPr>
        <sz val="8"/>
        <rFont val="Times New Roman"/>
        <family val="1"/>
      </rPr>
      <t xml:space="preserve"> </t>
    </r>
    <r>
      <rPr>
        <b/>
        <sz val="8"/>
        <rFont val="Cambria"/>
        <family val="1"/>
      </rPr>
      <t>SF6/</t>
    </r>
    <r>
      <rPr>
        <sz val="8"/>
        <rFont val="Times New Roman"/>
        <family val="1"/>
      </rPr>
      <t xml:space="preserve">  </t>
    </r>
    <r>
      <rPr>
        <b/>
        <sz val="8"/>
        <rFont val="Cambria"/>
        <family val="1"/>
      </rPr>
      <t>VCB</t>
    </r>
    <r>
      <rPr>
        <sz val="8"/>
        <rFont val="Times New Roman"/>
        <family val="1"/>
      </rPr>
      <t xml:space="preserve"> </t>
    </r>
    <r>
      <rPr>
        <sz val="8"/>
        <rFont val="Cambria"/>
        <family val="1"/>
      </rPr>
      <t>Indoor</t>
    </r>
    <r>
      <rPr>
        <sz val="8"/>
        <rFont val="Times New Roman"/>
        <family val="1"/>
      </rPr>
      <t xml:space="preserve"> </t>
    </r>
    <r>
      <rPr>
        <sz val="8"/>
        <rFont val="Cambria"/>
        <family val="1"/>
      </rPr>
      <t>type</t>
    </r>
    <r>
      <rPr>
        <sz val="8"/>
        <rFont val="Times New Roman"/>
        <family val="1"/>
      </rPr>
      <t xml:space="preserve"> </t>
    </r>
    <r>
      <rPr>
        <sz val="8"/>
        <rFont val="Cambria"/>
        <family val="1"/>
      </rPr>
      <t>panel</t>
    </r>
    <r>
      <rPr>
        <sz val="8"/>
        <rFont val="Times New Roman"/>
        <family val="1"/>
      </rPr>
      <t xml:space="preserve"> </t>
    </r>
    <r>
      <rPr>
        <sz val="8"/>
        <rFont val="Cambria"/>
        <family val="1"/>
      </rPr>
      <t>HT</t>
    </r>
    <r>
      <rPr>
        <sz val="8"/>
        <rFont val="Times New Roman"/>
        <family val="1"/>
      </rPr>
      <t xml:space="preserve"> </t>
    </r>
    <r>
      <rPr>
        <sz val="8"/>
        <rFont val="Cambria"/>
        <family val="1"/>
      </rPr>
      <t>board,</t>
    </r>
    <r>
      <rPr>
        <sz val="8"/>
        <rFont val="Times New Roman"/>
        <family val="1"/>
      </rPr>
      <t xml:space="preserve">  </t>
    </r>
    <r>
      <rPr>
        <sz val="8"/>
        <rFont val="Cambria"/>
        <family val="1"/>
      </rPr>
      <t>freestanding</t>
    </r>
    <r>
      <rPr>
        <sz val="8"/>
        <rFont val="Times New Roman"/>
        <family val="1"/>
      </rPr>
      <t xml:space="preserve"> </t>
    </r>
    <r>
      <rPr>
        <sz val="8"/>
        <rFont val="Cambria"/>
        <family val="1"/>
      </rPr>
      <t>motoroperated</t>
    </r>
    <r>
      <rPr>
        <sz val="8"/>
        <rFont val="Times New Roman"/>
        <family val="1"/>
      </rPr>
      <t xml:space="preserve">  </t>
    </r>
    <r>
      <rPr>
        <sz val="8"/>
        <rFont val="Cambria"/>
        <family val="1"/>
      </rPr>
      <t>&amp;</t>
    </r>
    <r>
      <rPr>
        <sz val="8"/>
        <rFont val="Times New Roman"/>
        <family val="1"/>
      </rPr>
      <t xml:space="preserve"> </t>
    </r>
    <r>
      <rPr>
        <sz val="8"/>
        <rFont val="Cambria"/>
        <family val="1"/>
      </rPr>
      <t>withdrawal</t>
    </r>
    <r>
      <rPr>
        <sz val="8"/>
        <rFont val="Times New Roman"/>
        <family val="1"/>
      </rPr>
      <t xml:space="preserve"> </t>
    </r>
    <r>
      <rPr>
        <sz val="8"/>
        <rFont val="Cambria"/>
        <family val="1"/>
      </rPr>
      <t>type</t>
    </r>
    <r>
      <rPr>
        <sz val="8"/>
        <rFont val="Times New Roman"/>
        <family val="1"/>
      </rPr>
      <t xml:space="preserve"> </t>
    </r>
    <r>
      <rPr>
        <sz val="8"/>
        <rFont val="Cambria"/>
        <family val="1"/>
      </rPr>
      <t>fabricated</t>
    </r>
    <r>
      <rPr>
        <sz val="8"/>
        <rFont val="Times New Roman"/>
        <family val="1"/>
      </rPr>
      <t xml:space="preserve">  </t>
    </r>
    <r>
      <rPr>
        <sz val="8"/>
        <rFont val="Cambria"/>
        <family val="1"/>
      </rPr>
      <t>from</t>
    </r>
    <r>
      <rPr>
        <sz val="8"/>
        <rFont val="Times New Roman"/>
        <family val="1"/>
      </rPr>
      <t xml:space="preserve"> </t>
    </r>
    <r>
      <rPr>
        <sz val="8"/>
        <rFont val="Cambria"/>
        <family val="1"/>
      </rPr>
      <t>2</t>
    </r>
    <r>
      <rPr>
        <sz val="8"/>
        <rFont val="Times New Roman"/>
        <family val="1"/>
      </rPr>
      <t xml:space="preserve">  </t>
    </r>
    <r>
      <rPr>
        <sz val="8"/>
        <rFont val="Cambria"/>
        <family val="1"/>
      </rPr>
      <t>mm</t>
    </r>
    <r>
      <rPr>
        <sz val="8"/>
        <rFont val="Times New Roman"/>
        <family val="1"/>
      </rPr>
      <t xml:space="preserve">  </t>
    </r>
    <r>
      <rPr>
        <sz val="8"/>
        <rFont val="Cambria"/>
        <family val="1"/>
      </rPr>
      <t>thick</t>
    </r>
    <r>
      <rPr>
        <sz val="8"/>
        <rFont val="Times New Roman"/>
        <family val="1"/>
      </rPr>
      <t xml:space="preserve"> </t>
    </r>
    <r>
      <rPr>
        <sz val="8"/>
        <rFont val="Cambria"/>
        <family val="1"/>
      </rPr>
      <t>CRCA</t>
    </r>
    <r>
      <rPr>
        <sz val="8"/>
        <rFont val="Times New Roman"/>
        <family val="1"/>
      </rPr>
      <t xml:space="preserve">  </t>
    </r>
    <r>
      <rPr>
        <sz val="8"/>
        <rFont val="Cambria"/>
        <family val="1"/>
      </rPr>
      <t>sheet</t>
    </r>
    <r>
      <rPr>
        <sz val="8"/>
        <rFont val="Times New Roman"/>
        <family val="1"/>
      </rPr>
      <t xml:space="preserve">  </t>
    </r>
    <r>
      <rPr>
        <sz val="8"/>
        <rFont val="Cambria"/>
        <family val="1"/>
      </rPr>
      <t>steel</t>
    </r>
    <r>
      <rPr>
        <sz val="8"/>
        <rFont val="Times New Roman"/>
        <family val="1"/>
      </rPr>
      <t xml:space="preserve">  </t>
    </r>
    <r>
      <rPr>
        <sz val="8"/>
        <rFont val="Cambria"/>
        <family val="1"/>
      </rPr>
      <t>,</t>
    </r>
    <r>
      <rPr>
        <sz val="8"/>
        <rFont val="Times New Roman"/>
        <family val="1"/>
      </rPr>
      <t xml:space="preserve">  </t>
    </r>
    <r>
      <rPr>
        <sz val="8"/>
        <rFont val="Cambria"/>
        <family val="1"/>
      </rPr>
      <t>With</t>
    </r>
    <r>
      <rPr>
        <sz val="8"/>
        <rFont val="Times New Roman"/>
        <family val="1"/>
      </rPr>
      <t xml:space="preserve">  </t>
    </r>
    <r>
      <rPr>
        <sz val="8"/>
        <rFont val="Cambria"/>
        <family val="1"/>
      </rPr>
      <t>Ammeter,</t>
    </r>
    <r>
      <rPr>
        <sz val="8"/>
        <rFont val="Times New Roman"/>
        <family val="1"/>
      </rPr>
      <t xml:space="preserve">  </t>
    </r>
    <r>
      <rPr>
        <sz val="8"/>
        <rFont val="Cambria"/>
        <family val="1"/>
      </rPr>
      <t>Voltmeter,</t>
    </r>
    <r>
      <rPr>
        <sz val="8"/>
        <rFont val="Times New Roman"/>
        <family val="1"/>
      </rPr>
      <t xml:space="preserve">  </t>
    </r>
    <r>
      <rPr>
        <sz val="8"/>
        <rFont val="Cambria"/>
        <family val="1"/>
      </rPr>
      <t>PF</t>
    </r>
    <r>
      <rPr>
        <sz val="8"/>
        <rFont val="Times New Roman"/>
        <family val="1"/>
      </rPr>
      <t xml:space="preserve">  </t>
    </r>
    <r>
      <rPr>
        <sz val="8"/>
        <rFont val="Cambria"/>
        <family val="1"/>
      </rPr>
      <t>Meter,</t>
    </r>
    <r>
      <rPr>
        <sz val="8"/>
        <rFont val="Times New Roman"/>
        <family val="1"/>
      </rPr>
      <t xml:space="preserve">  </t>
    </r>
    <r>
      <rPr>
        <sz val="8"/>
        <rFont val="Cambria"/>
        <family val="1"/>
      </rPr>
      <t>KWH</t>
    </r>
    <r>
      <rPr>
        <sz val="8"/>
        <rFont val="Times New Roman"/>
        <family val="1"/>
      </rPr>
      <t xml:space="preserve">  </t>
    </r>
    <r>
      <rPr>
        <sz val="8"/>
        <rFont val="Cambria"/>
        <family val="1"/>
      </rPr>
      <t>Meter,</t>
    </r>
    <r>
      <rPr>
        <sz val="8"/>
        <rFont val="Times New Roman"/>
        <family val="1"/>
      </rPr>
      <t xml:space="preserve">  </t>
    </r>
    <r>
      <rPr>
        <sz val="8"/>
        <rFont val="Cambria"/>
        <family val="1"/>
      </rPr>
      <t>MDI</t>
    </r>
    <r>
      <rPr>
        <sz val="8"/>
        <rFont val="Times New Roman"/>
        <family val="1"/>
      </rPr>
      <t xml:space="preserve">  </t>
    </r>
    <r>
      <rPr>
        <sz val="8"/>
        <rFont val="Cambria"/>
        <family val="1"/>
      </rPr>
      <t xml:space="preserve">Meter,
</t>
    </r>
    <r>
      <rPr>
        <sz val="8"/>
        <rFont val="Cambria"/>
        <family val="1"/>
      </rPr>
      <t>Selector</t>
    </r>
    <r>
      <rPr>
        <sz val="8"/>
        <rFont val="Times New Roman"/>
        <family val="1"/>
      </rPr>
      <t xml:space="preserve"> </t>
    </r>
    <r>
      <rPr>
        <sz val="8"/>
        <rFont val="Cambria"/>
        <family val="1"/>
      </rPr>
      <t>Switches</t>
    </r>
    <r>
      <rPr>
        <sz val="8"/>
        <rFont val="Times New Roman"/>
        <family val="1"/>
      </rPr>
      <t xml:space="preserve"> </t>
    </r>
    <r>
      <rPr>
        <sz val="8"/>
        <rFont val="Cambria"/>
        <family val="1"/>
      </rPr>
      <t>as</t>
    </r>
    <r>
      <rPr>
        <sz val="8"/>
        <rFont val="Times New Roman"/>
        <family val="1"/>
      </rPr>
      <t xml:space="preserve"> </t>
    </r>
    <r>
      <rPr>
        <sz val="8"/>
        <rFont val="Cambria"/>
        <family val="1"/>
      </rPr>
      <t>required.</t>
    </r>
  </si>
  <si>
    <r>
      <rPr>
        <sz val="8"/>
        <rFont val="Cambria"/>
        <family val="1"/>
      </rPr>
      <t>Supply,</t>
    </r>
    <r>
      <rPr>
        <sz val="8"/>
        <rFont val="Times New Roman"/>
        <family val="1"/>
      </rPr>
      <t xml:space="preserve">  </t>
    </r>
    <r>
      <rPr>
        <sz val="8"/>
        <rFont val="Cambria"/>
        <family val="1"/>
      </rPr>
      <t>Installation,</t>
    </r>
    <r>
      <rPr>
        <sz val="8"/>
        <rFont val="Times New Roman"/>
        <family val="1"/>
      </rPr>
      <t xml:space="preserve">  </t>
    </r>
    <r>
      <rPr>
        <sz val="8"/>
        <rFont val="Cambria"/>
        <family val="1"/>
      </rPr>
      <t>Testing</t>
    </r>
    <r>
      <rPr>
        <sz val="8"/>
        <rFont val="Times New Roman"/>
        <family val="1"/>
      </rPr>
      <t xml:space="preserve">  </t>
    </r>
    <r>
      <rPr>
        <sz val="8"/>
        <rFont val="Cambria"/>
        <family val="1"/>
      </rPr>
      <t>&amp;</t>
    </r>
    <r>
      <rPr>
        <sz val="8"/>
        <rFont val="Times New Roman"/>
        <family val="1"/>
      </rPr>
      <t xml:space="preserve">  </t>
    </r>
    <r>
      <rPr>
        <sz val="8"/>
        <rFont val="Cambria"/>
        <family val="1"/>
      </rPr>
      <t>Commissioning</t>
    </r>
    <r>
      <rPr>
        <sz val="8"/>
        <rFont val="Times New Roman"/>
        <family val="1"/>
      </rPr>
      <t xml:space="preserve">  </t>
    </r>
    <r>
      <rPr>
        <sz val="8"/>
        <rFont val="Cambria"/>
        <family val="1"/>
      </rPr>
      <t>of</t>
    </r>
    <r>
      <rPr>
        <sz val="8"/>
        <rFont val="Times New Roman"/>
        <family val="1"/>
      </rPr>
      <t xml:space="preserve">  </t>
    </r>
    <r>
      <rPr>
        <b/>
        <sz val="8"/>
        <rFont val="Cambria"/>
        <family val="1"/>
      </rPr>
      <t>HT</t>
    </r>
    <r>
      <rPr>
        <sz val="8"/>
        <rFont val="Times New Roman"/>
        <family val="1"/>
      </rPr>
      <t xml:space="preserve">  </t>
    </r>
    <r>
      <rPr>
        <b/>
        <sz val="8"/>
        <rFont val="Cambria"/>
        <family val="1"/>
      </rPr>
      <t>metering</t>
    </r>
    <r>
      <rPr>
        <sz val="8"/>
        <rFont val="Times New Roman"/>
        <family val="1"/>
      </rPr>
      <t xml:space="preserve">  </t>
    </r>
    <r>
      <rPr>
        <sz val="8"/>
        <rFont val="Cambria"/>
        <family val="1"/>
      </rPr>
      <t>cubical</t>
    </r>
    <r>
      <rPr>
        <sz val="8"/>
        <rFont val="Times New Roman"/>
        <family val="1"/>
      </rPr>
      <t xml:space="preserve">  </t>
    </r>
    <r>
      <rPr>
        <sz val="8"/>
        <rFont val="Cambria"/>
        <family val="1"/>
      </rPr>
      <t>panel</t>
    </r>
    <r>
      <rPr>
        <sz val="8"/>
        <rFont val="Times New Roman"/>
        <family val="1"/>
      </rPr>
      <t xml:space="preserve">  </t>
    </r>
    <r>
      <rPr>
        <sz val="8"/>
        <rFont val="Cambria"/>
        <family val="1"/>
      </rPr>
      <t>as</t>
    </r>
    <r>
      <rPr>
        <sz val="8"/>
        <rFont val="Times New Roman"/>
        <family val="1"/>
      </rPr>
      <t xml:space="preserve"> </t>
    </r>
    <r>
      <rPr>
        <sz val="8"/>
        <rFont val="Cambria"/>
        <family val="1"/>
      </rPr>
      <t>approved</t>
    </r>
    <r>
      <rPr>
        <sz val="8"/>
        <rFont val="Times New Roman"/>
        <family val="1"/>
      </rPr>
      <t xml:space="preserve"> </t>
    </r>
    <r>
      <rPr>
        <sz val="8"/>
        <rFont val="Cambria"/>
        <family val="1"/>
      </rPr>
      <t>By</t>
    </r>
    <r>
      <rPr>
        <sz val="8"/>
        <rFont val="Times New Roman"/>
        <family val="1"/>
      </rPr>
      <t xml:space="preserve"> </t>
    </r>
    <r>
      <rPr>
        <sz val="8"/>
        <rFont val="Cambria"/>
        <family val="1"/>
      </rPr>
      <t>DISCOMs</t>
    </r>
    <r>
      <rPr>
        <sz val="8"/>
        <rFont val="Times New Roman"/>
        <family val="1"/>
      </rPr>
      <t xml:space="preserve"> </t>
    </r>
    <r>
      <rPr>
        <sz val="8"/>
        <rFont val="Cambria"/>
        <family val="1"/>
      </rPr>
      <t>fabricated</t>
    </r>
    <r>
      <rPr>
        <sz val="8"/>
        <rFont val="Times New Roman"/>
        <family val="1"/>
      </rPr>
      <t xml:space="preserve"> </t>
    </r>
    <r>
      <rPr>
        <sz val="8"/>
        <rFont val="Cambria"/>
        <family val="1"/>
      </rPr>
      <t>out</t>
    </r>
    <r>
      <rPr>
        <sz val="8"/>
        <rFont val="Times New Roman"/>
        <family val="1"/>
      </rPr>
      <t xml:space="preserve"> </t>
    </r>
    <r>
      <rPr>
        <sz val="8"/>
        <rFont val="Cambria"/>
        <family val="1"/>
      </rPr>
      <t>of</t>
    </r>
    <r>
      <rPr>
        <sz val="8"/>
        <rFont val="Times New Roman"/>
        <family val="1"/>
      </rPr>
      <t xml:space="preserve"> </t>
    </r>
    <r>
      <rPr>
        <sz val="8"/>
        <rFont val="Cambria"/>
        <family val="1"/>
      </rPr>
      <t>14</t>
    </r>
    <r>
      <rPr>
        <sz val="8"/>
        <rFont val="Times New Roman"/>
        <family val="1"/>
      </rPr>
      <t xml:space="preserve"> </t>
    </r>
    <r>
      <rPr>
        <sz val="8"/>
        <rFont val="Cambria"/>
        <family val="1"/>
      </rPr>
      <t>SWG</t>
    </r>
    <r>
      <rPr>
        <sz val="8"/>
        <rFont val="Times New Roman"/>
        <family val="1"/>
      </rPr>
      <t xml:space="preserve"> </t>
    </r>
    <r>
      <rPr>
        <sz val="8"/>
        <rFont val="Cambria"/>
        <family val="1"/>
      </rPr>
      <t>CRCA</t>
    </r>
    <r>
      <rPr>
        <sz val="8"/>
        <rFont val="Times New Roman"/>
        <family val="1"/>
      </rPr>
      <t xml:space="preserve"> </t>
    </r>
    <r>
      <rPr>
        <sz val="8"/>
        <rFont val="Cambria"/>
        <family val="1"/>
      </rPr>
      <t>sheet</t>
    </r>
    <r>
      <rPr>
        <sz val="8"/>
        <rFont val="Times New Roman"/>
        <family val="1"/>
      </rPr>
      <t xml:space="preserve"> </t>
    </r>
    <r>
      <rPr>
        <sz val="8"/>
        <rFont val="Cambria"/>
        <family val="1"/>
      </rPr>
      <t>steel</t>
    </r>
    <r>
      <rPr>
        <sz val="8"/>
        <rFont val="Times New Roman"/>
        <family val="1"/>
      </rPr>
      <t xml:space="preserve"> </t>
    </r>
    <r>
      <rPr>
        <sz val="8"/>
        <rFont val="Cambria"/>
        <family val="1"/>
      </rPr>
      <t>in</t>
    </r>
    <r>
      <rPr>
        <sz val="8"/>
        <rFont val="Times New Roman"/>
        <family val="1"/>
      </rPr>
      <t xml:space="preserve"> </t>
    </r>
    <r>
      <rPr>
        <sz val="8"/>
        <rFont val="Cambria"/>
        <family val="1"/>
      </rPr>
      <t>two</t>
    </r>
    <r>
      <rPr>
        <sz val="8"/>
        <rFont val="Times New Roman"/>
        <family val="1"/>
      </rPr>
      <t xml:space="preserve"> </t>
    </r>
    <r>
      <rPr>
        <sz val="8"/>
        <rFont val="Cambria"/>
        <family val="1"/>
      </rPr>
      <t>compartment</t>
    </r>
    <r>
      <rPr>
        <sz val="8"/>
        <rFont val="Times New Roman"/>
        <family val="1"/>
      </rPr>
      <t xml:space="preserve"> </t>
    </r>
    <r>
      <rPr>
        <sz val="8"/>
        <rFont val="Cambria"/>
        <family val="1"/>
      </rPr>
      <t>&amp;</t>
    </r>
    <r>
      <rPr>
        <sz val="8"/>
        <rFont val="Times New Roman"/>
        <family val="1"/>
      </rPr>
      <t xml:space="preserve"> </t>
    </r>
    <r>
      <rPr>
        <sz val="8"/>
        <rFont val="Cambria"/>
        <family val="1"/>
      </rPr>
      <t>MS</t>
    </r>
    <r>
      <rPr>
        <sz val="8"/>
        <rFont val="Times New Roman"/>
        <family val="1"/>
      </rPr>
      <t xml:space="preserve"> </t>
    </r>
    <r>
      <rPr>
        <sz val="8"/>
        <rFont val="Cambria"/>
        <family val="1"/>
      </rPr>
      <t>angle</t>
    </r>
    <r>
      <rPr>
        <sz val="8"/>
        <rFont val="Times New Roman"/>
        <family val="1"/>
      </rPr>
      <t xml:space="preserve"> </t>
    </r>
    <r>
      <rPr>
        <sz val="8"/>
        <rFont val="Cambria"/>
        <family val="1"/>
      </rPr>
      <t>of</t>
    </r>
    <r>
      <rPr>
        <sz val="8"/>
        <rFont val="Times New Roman"/>
        <family val="1"/>
      </rPr>
      <t xml:space="preserve"> </t>
    </r>
    <r>
      <rPr>
        <sz val="8"/>
        <rFont val="Cambria"/>
        <family val="1"/>
      </rPr>
      <t>size</t>
    </r>
    <r>
      <rPr>
        <sz val="8"/>
        <rFont val="Times New Roman"/>
        <family val="1"/>
      </rPr>
      <t xml:space="preserve"> </t>
    </r>
    <r>
      <rPr>
        <sz val="8"/>
        <rFont val="Cambria"/>
        <family val="1"/>
      </rPr>
      <t>60mmX6mm</t>
    </r>
    <r>
      <rPr>
        <sz val="8"/>
        <rFont val="Times New Roman"/>
        <family val="1"/>
      </rPr>
      <t xml:space="preserve"> </t>
    </r>
    <r>
      <rPr>
        <sz val="8"/>
        <rFont val="Cambria"/>
        <family val="1"/>
      </rPr>
      <t>having</t>
    </r>
    <r>
      <rPr>
        <sz val="8"/>
        <rFont val="Times New Roman"/>
        <family val="1"/>
      </rPr>
      <t xml:space="preserve"> </t>
    </r>
    <r>
      <rPr>
        <sz val="8"/>
        <rFont val="Cambria"/>
        <family val="1"/>
      </rPr>
      <t>provision</t>
    </r>
    <r>
      <rPr>
        <sz val="8"/>
        <rFont val="Times New Roman"/>
        <family val="1"/>
      </rPr>
      <t xml:space="preserve"> </t>
    </r>
    <r>
      <rPr>
        <sz val="8"/>
        <rFont val="Cambria"/>
        <family val="1"/>
      </rPr>
      <t>for</t>
    </r>
    <r>
      <rPr>
        <sz val="8"/>
        <rFont val="Times New Roman"/>
        <family val="1"/>
      </rPr>
      <t xml:space="preserve"> </t>
    </r>
    <r>
      <rPr>
        <sz val="8"/>
        <rFont val="Cambria"/>
        <family val="1"/>
      </rPr>
      <t>Following:</t>
    </r>
    <r>
      <rPr>
        <sz val="8"/>
        <rFont val="Times New Roman"/>
        <family val="1"/>
      </rPr>
      <t xml:space="preserve"> </t>
    </r>
    <r>
      <rPr>
        <sz val="8"/>
        <rFont val="Cambria"/>
        <family val="1"/>
      </rPr>
      <t>(i)Provision</t>
    </r>
    <r>
      <rPr>
        <sz val="8"/>
        <rFont val="Times New Roman"/>
        <family val="1"/>
      </rPr>
      <t xml:space="preserve"> </t>
    </r>
    <r>
      <rPr>
        <sz val="8"/>
        <rFont val="Cambria"/>
        <family val="1"/>
      </rPr>
      <t>for</t>
    </r>
    <r>
      <rPr>
        <sz val="8"/>
        <rFont val="Times New Roman"/>
        <family val="1"/>
      </rPr>
      <t xml:space="preserve"> </t>
    </r>
    <r>
      <rPr>
        <sz val="8"/>
        <rFont val="Cambria"/>
        <family val="1"/>
      </rPr>
      <t>fixing</t>
    </r>
    <r>
      <rPr>
        <sz val="8"/>
        <rFont val="Times New Roman"/>
        <family val="1"/>
      </rPr>
      <t xml:space="preserve"> </t>
    </r>
    <r>
      <rPr>
        <sz val="8"/>
        <rFont val="Cambria"/>
        <family val="1"/>
      </rPr>
      <t>Trivector</t>
    </r>
    <r>
      <rPr>
        <sz val="8"/>
        <rFont val="Times New Roman"/>
        <family val="1"/>
      </rPr>
      <t xml:space="preserve"> </t>
    </r>
    <r>
      <rPr>
        <sz val="8"/>
        <rFont val="Cambria"/>
        <family val="1"/>
      </rPr>
      <t>Meter</t>
    </r>
    <r>
      <rPr>
        <sz val="8"/>
        <rFont val="Times New Roman"/>
        <family val="1"/>
      </rPr>
      <t xml:space="preserve"> </t>
    </r>
    <r>
      <rPr>
        <sz val="8"/>
        <rFont val="Cambria"/>
        <family val="1"/>
      </rPr>
      <t>(To</t>
    </r>
    <r>
      <rPr>
        <sz val="8"/>
        <rFont val="Times New Roman"/>
        <family val="1"/>
      </rPr>
      <t xml:space="preserve"> </t>
    </r>
    <r>
      <rPr>
        <sz val="8"/>
        <rFont val="Cambria"/>
        <family val="1"/>
      </rPr>
      <t>be</t>
    </r>
    <r>
      <rPr>
        <sz val="8"/>
        <rFont val="Times New Roman"/>
        <family val="1"/>
      </rPr>
      <t xml:space="preserve"> </t>
    </r>
    <r>
      <rPr>
        <sz val="8"/>
        <rFont val="Cambria"/>
        <family val="1"/>
      </rPr>
      <t>supplied</t>
    </r>
    <r>
      <rPr>
        <sz val="8"/>
        <rFont val="Times New Roman"/>
        <family val="1"/>
      </rPr>
      <t xml:space="preserve"> </t>
    </r>
    <r>
      <rPr>
        <sz val="8"/>
        <rFont val="Cambria"/>
        <family val="1"/>
      </rPr>
      <t>by</t>
    </r>
    <r>
      <rPr>
        <sz val="8"/>
        <rFont val="Times New Roman"/>
        <family val="1"/>
      </rPr>
      <t xml:space="preserve"> </t>
    </r>
    <r>
      <rPr>
        <sz val="8"/>
        <rFont val="Cambria"/>
        <family val="1"/>
      </rPr>
      <t>DISCOMs)</t>
    </r>
    <r>
      <rPr>
        <sz val="8"/>
        <rFont val="Times New Roman"/>
        <family val="1"/>
      </rPr>
      <t xml:space="preserve"> </t>
    </r>
    <r>
      <rPr>
        <sz val="8"/>
        <rFont val="Cambria"/>
        <family val="1"/>
      </rPr>
      <t>(ii)Provision</t>
    </r>
    <r>
      <rPr>
        <sz val="8"/>
        <rFont val="Times New Roman"/>
        <family val="1"/>
      </rPr>
      <t xml:space="preserve"> </t>
    </r>
    <r>
      <rPr>
        <sz val="8"/>
        <rFont val="Cambria"/>
        <family val="1"/>
      </rPr>
      <t>for</t>
    </r>
    <r>
      <rPr>
        <sz val="8"/>
        <rFont val="Times New Roman"/>
        <family val="1"/>
      </rPr>
      <t xml:space="preserve"> </t>
    </r>
    <r>
      <rPr>
        <sz val="8"/>
        <rFont val="Cambria"/>
        <family val="1"/>
      </rPr>
      <t>fixing</t>
    </r>
    <r>
      <rPr>
        <sz val="8"/>
        <rFont val="Times New Roman"/>
        <family val="1"/>
      </rPr>
      <t xml:space="preserve"> </t>
    </r>
    <r>
      <rPr>
        <sz val="8"/>
        <rFont val="Cambria"/>
        <family val="1"/>
      </rPr>
      <t>of</t>
    </r>
    <r>
      <rPr>
        <sz val="8"/>
        <rFont val="Times New Roman"/>
        <family val="1"/>
      </rPr>
      <t xml:space="preserve"> </t>
    </r>
    <r>
      <rPr>
        <sz val="8"/>
        <rFont val="Cambria"/>
        <family val="1"/>
      </rPr>
      <t>combined</t>
    </r>
    <r>
      <rPr>
        <sz val="8"/>
        <rFont val="Times New Roman"/>
        <family val="1"/>
      </rPr>
      <t xml:space="preserve"> </t>
    </r>
    <r>
      <rPr>
        <sz val="8"/>
        <rFont val="Cambria"/>
        <family val="1"/>
      </rPr>
      <t>CT</t>
    </r>
    <r>
      <rPr>
        <sz val="8"/>
        <rFont val="Times New Roman"/>
        <family val="1"/>
      </rPr>
      <t xml:space="preserve"> </t>
    </r>
    <r>
      <rPr>
        <sz val="8"/>
        <rFont val="Cambria"/>
        <family val="1"/>
      </rPr>
      <t>PT</t>
    </r>
    <r>
      <rPr>
        <sz val="8"/>
        <rFont val="Times New Roman"/>
        <family val="1"/>
      </rPr>
      <t xml:space="preserve">  </t>
    </r>
    <r>
      <rPr>
        <sz val="8"/>
        <rFont val="Cambria"/>
        <family val="1"/>
      </rPr>
      <t>Set</t>
    </r>
    <r>
      <rPr>
        <sz val="8"/>
        <rFont val="Times New Roman"/>
        <family val="1"/>
      </rPr>
      <t xml:space="preserve">  </t>
    </r>
    <r>
      <rPr>
        <sz val="8"/>
        <rFont val="Cambria"/>
        <family val="1"/>
      </rPr>
      <t>(To</t>
    </r>
    <r>
      <rPr>
        <sz val="8"/>
        <rFont val="Times New Roman"/>
        <family val="1"/>
      </rPr>
      <t xml:space="preserve">  </t>
    </r>
    <r>
      <rPr>
        <sz val="8"/>
        <rFont val="Cambria"/>
        <family val="1"/>
      </rPr>
      <t>be</t>
    </r>
    <r>
      <rPr>
        <sz val="8"/>
        <rFont val="Times New Roman"/>
        <family val="1"/>
      </rPr>
      <t xml:space="preserve">  </t>
    </r>
    <r>
      <rPr>
        <sz val="8"/>
        <rFont val="Cambria"/>
        <family val="1"/>
      </rPr>
      <t>supplied</t>
    </r>
    <r>
      <rPr>
        <sz val="8"/>
        <rFont val="Times New Roman"/>
        <family val="1"/>
      </rPr>
      <t xml:space="preserve">  </t>
    </r>
    <r>
      <rPr>
        <sz val="8"/>
        <rFont val="Cambria"/>
        <family val="1"/>
      </rPr>
      <t>by</t>
    </r>
    <r>
      <rPr>
        <sz val="8"/>
        <rFont val="Times New Roman"/>
        <family val="1"/>
      </rPr>
      <t xml:space="preserve">  </t>
    </r>
    <r>
      <rPr>
        <sz val="8"/>
        <rFont val="Cambria"/>
        <family val="1"/>
      </rPr>
      <t>DISCOMs),</t>
    </r>
    <r>
      <rPr>
        <sz val="8"/>
        <rFont val="Times New Roman"/>
        <family val="1"/>
      </rPr>
      <t xml:space="preserve">  </t>
    </r>
    <r>
      <rPr>
        <sz val="8"/>
        <rFont val="Cambria"/>
        <family val="1"/>
      </rPr>
      <t>(iii)TT</t>
    </r>
    <r>
      <rPr>
        <sz val="8"/>
        <rFont val="Times New Roman"/>
        <family val="1"/>
      </rPr>
      <t xml:space="preserve">  </t>
    </r>
    <r>
      <rPr>
        <sz val="8"/>
        <rFont val="Cambria"/>
        <family val="1"/>
      </rPr>
      <t>Block,</t>
    </r>
    <r>
      <rPr>
        <sz val="8"/>
        <rFont val="Times New Roman"/>
        <family val="1"/>
      </rPr>
      <t xml:space="preserve">  </t>
    </r>
    <r>
      <rPr>
        <sz val="8"/>
        <rFont val="Cambria"/>
        <family val="1"/>
      </rPr>
      <t>(iv)</t>
    </r>
    <r>
      <rPr>
        <sz val="8"/>
        <rFont val="Times New Roman"/>
        <family val="1"/>
      </rPr>
      <t xml:space="preserve">  </t>
    </r>
    <r>
      <rPr>
        <sz val="8"/>
        <rFont val="Cambria"/>
        <family val="1"/>
      </rPr>
      <t>6mm</t>
    </r>
    <r>
      <rPr>
        <sz val="8"/>
        <rFont val="Times New Roman"/>
        <family val="1"/>
      </rPr>
      <t xml:space="preserve">  </t>
    </r>
    <r>
      <rPr>
        <sz val="8"/>
        <rFont val="Cambria"/>
        <family val="1"/>
      </rPr>
      <t>Bakelite</t>
    </r>
    <r>
      <rPr>
        <sz val="8"/>
        <rFont val="Times New Roman"/>
        <family val="1"/>
      </rPr>
      <t xml:space="preserve"> </t>
    </r>
    <r>
      <rPr>
        <sz val="8"/>
        <rFont val="Cambria"/>
        <family val="1"/>
      </rPr>
      <t>sheet</t>
    </r>
    <r>
      <rPr>
        <sz val="8"/>
        <rFont val="Times New Roman"/>
        <family val="1"/>
      </rPr>
      <t xml:space="preserve">  </t>
    </r>
    <r>
      <rPr>
        <sz val="8"/>
        <rFont val="Cambria"/>
        <family val="1"/>
      </rPr>
      <t>on</t>
    </r>
    <r>
      <rPr>
        <sz val="8"/>
        <rFont val="Times New Roman"/>
        <family val="1"/>
      </rPr>
      <t xml:space="preserve">  </t>
    </r>
    <r>
      <rPr>
        <sz val="8"/>
        <rFont val="Cambria"/>
        <family val="1"/>
      </rPr>
      <t>all</t>
    </r>
    <r>
      <rPr>
        <sz val="8"/>
        <rFont val="Times New Roman"/>
        <family val="1"/>
      </rPr>
      <t xml:space="preserve"> </t>
    </r>
    <r>
      <rPr>
        <sz val="8"/>
        <rFont val="Cambria"/>
        <family val="1"/>
      </rPr>
      <t>sides,</t>
    </r>
    <r>
      <rPr>
        <sz val="8"/>
        <rFont val="Times New Roman"/>
        <family val="1"/>
      </rPr>
      <t xml:space="preserve"> </t>
    </r>
    <r>
      <rPr>
        <sz val="8"/>
        <rFont val="Cambria"/>
        <family val="1"/>
      </rPr>
      <t>(V)</t>
    </r>
    <r>
      <rPr>
        <sz val="8"/>
        <rFont val="Times New Roman"/>
        <family val="1"/>
      </rPr>
      <t xml:space="preserve"> </t>
    </r>
    <r>
      <rPr>
        <sz val="8"/>
        <rFont val="Cambria"/>
        <family val="1"/>
      </rPr>
      <t>3/6</t>
    </r>
    <r>
      <rPr>
        <sz val="8"/>
        <rFont val="Times New Roman"/>
        <family val="1"/>
      </rPr>
      <t xml:space="preserve"> </t>
    </r>
    <r>
      <rPr>
        <sz val="8"/>
        <rFont val="Cambria"/>
        <family val="1"/>
      </rPr>
      <t>core</t>
    </r>
    <r>
      <rPr>
        <sz val="8"/>
        <rFont val="Times New Roman"/>
        <family val="1"/>
      </rPr>
      <t xml:space="preserve"> </t>
    </r>
    <r>
      <rPr>
        <sz val="8"/>
        <rFont val="Cambria"/>
        <family val="1"/>
      </rPr>
      <t>copper</t>
    </r>
    <r>
      <rPr>
        <sz val="8"/>
        <rFont val="Times New Roman"/>
        <family val="1"/>
      </rPr>
      <t xml:space="preserve"> </t>
    </r>
    <r>
      <rPr>
        <sz val="8"/>
        <rFont val="Cambria"/>
        <family val="1"/>
      </rPr>
      <t>cable</t>
    </r>
    <r>
      <rPr>
        <sz val="8"/>
        <rFont val="Times New Roman"/>
        <family val="1"/>
      </rPr>
      <t xml:space="preserve"> </t>
    </r>
    <r>
      <rPr>
        <sz val="8"/>
        <rFont val="Cambria"/>
        <family val="1"/>
      </rPr>
      <t>for</t>
    </r>
    <r>
      <rPr>
        <sz val="8"/>
        <rFont val="Times New Roman"/>
        <family val="1"/>
      </rPr>
      <t xml:space="preserve"> </t>
    </r>
    <r>
      <rPr>
        <sz val="8"/>
        <rFont val="Cambria"/>
        <family val="1"/>
      </rPr>
      <t>interconnections</t>
    </r>
    <r>
      <rPr>
        <sz val="8"/>
        <rFont val="Times New Roman"/>
        <family val="1"/>
      </rPr>
      <t xml:space="preserve"> </t>
    </r>
    <r>
      <rPr>
        <sz val="8"/>
        <rFont val="Cambria"/>
        <family val="1"/>
      </rPr>
      <t>etc.</t>
    </r>
    <r>
      <rPr>
        <sz val="8"/>
        <rFont val="Times New Roman"/>
        <family val="1"/>
      </rPr>
      <t xml:space="preserve"> </t>
    </r>
    <r>
      <rPr>
        <sz val="8"/>
        <rFont val="Cambria"/>
        <family val="1"/>
      </rPr>
      <t>as</t>
    </r>
    <r>
      <rPr>
        <sz val="8"/>
        <rFont val="Times New Roman"/>
        <family val="1"/>
      </rPr>
      <t xml:space="preserve"> </t>
    </r>
    <r>
      <rPr>
        <sz val="8"/>
        <rFont val="Cambria"/>
        <family val="1"/>
      </rPr>
      <t>required.</t>
    </r>
  </si>
  <si>
    <r>
      <rPr>
        <b/>
        <sz val="8"/>
        <rFont val="Cambria"/>
        <family val="1"/>
      </rPr>
      <t>TRANSFORMER</t>
    </r>
    <r>
      <rPr>
        <sz val="8"/>
        <rFont val="Times New Roman"/>
        <family val="1"/>
      </rPr>
      <t xml:space="preserve">   </t>
    </r>
    <r>
      <rPr>
        <b/>
        <sz val="8"/>
        <rFont val="Cambria"/>
        <family val="1"/>
      </rPr>
      <t>1500</t>
    </r>
    <r>
      <rPr>
        <sz val="8"/>
        <rFont val="Times New Roman"/>
        <family val="1"/>
      </rPr>
      <t xml:space="preserve">   </t>
    </r>
    <r>
      <rPr>
        <b/>
        <sz val="8"/>
        <rFont val="Cambria"/>
        <family val="1"/>
      </rPr>
      <t>KVA</t>
    </r>
    <r>
      <rPr>
        <sz val="8"/>
        <rFont val="Times New Roman"/>
        <family val="1"/>
      </rPr>
      <t xml:space="preserve">   </t>
    </r>
    <r>
      <rPr>
        <sz val="8"/>
        <rFont val="Cambria"/>
        <family val="1"/>
      </rPr>
      <t>including</t>
    </r>
    <r>
      <rPr>
        <sz val="8"/>
        <rFont val="Times New Roman"/>
        <family val="1"/>
      </rPr>
      <t xml:space="preserve">   </t>
    </r>
    <r>
      <rPr>
        <sz val="8"/>
        <rFont val="Cambria"/>
        <family val="1"/>
      </rPr>
      <t>Copper</t>
    </r>
    <r>
      <rPr>
        <sz val="8"/>
        <rFont val="Times New Roman"/>
        <family val="1"/>
      </rPr>
      <t xml:space="preserve">   </t>
    </r>
    <r>
      <rPr>
        <sz val="8"/>
        <rFont val="Cambria"/>
        <family val="1"/>
      </rPr>
      <t>wound</t>
    </r>
    <r>
      <rPr>
        <sz val="8"/>
        <rFont val="Times New Roman"/>
        <family val="1"/>
      </rPr>
      <t xml:space="preserve">   </t>
    </r>
    <r>
      <rPr>
        <sz val="8"/>
        <rFont val="Cambria"/>
        <family val="1"/>
      </rPr>
      <t>Transformer</t>
    </r>
    <r>
      <rPr>
        <sz val="8"/>
        <rFont val="Times New Roman"/>
        <family val="1"/>
      </rPr>
      <t xml:space="preserve">   </t>
    </r>
    <r>
      <rPr>
        <sz val="8"/>
        <rFont val="Cambria"/>
        <family val="1"/>
      </rPr>
      <t>of</t>
    </r>
    <r>
      <rPr>
        <sz val="8"/>
        <rFont val="Times New Roman"/>
        <family val="1"/>
      </rPr>
      <t xml:space="preserve">   </t>
    </r>
    <r>
      <rPr>
        <sz val="8"/>
        <rFont val="Cambria"/>
        <family val="1"/>
      </rPr>
      <t>rating</t>
    </r>
    <r>
      <rPr>
        <sz val="8"/>
        <rFont val="Times New Roman"/>
        <family val="1"/>
      </rPr>
      <t xml:space="preserve"> </t>
    </r>
    <r>
      <rPr>
        <sz val="8"/>
        <rFont val="Cambria"/>
        <family val="1"/>
      </rPr>
      <t>11/0.433KV</t>
    </r>
    <r>
      <rPr>
        <sz val="8"/>
        <rFont val="Times New Roman"/>
        <family val="1"/>
      </rPr>
      <t xml:space="preserve"> </t>
    </r>
    <r>
      <rPr>
        <sz val="8"/>
        <rFont val="Cambria"/>
        <family val="1"/>
      </rPr>
      <t>Delta-Star</t>
    </r>
    <r>
      <rPr>
        <sz val="8"/>
        <rFont val="Times New Roman"/>
        <family val="1"/>
      </rPr>
      <t xml:space="preserve"> </t>
    </r>
    <r>
      <rPr>
        <sz val="8"/>
        <rFont val="Cambria"/>
        <family val="1"/>
      </rPr>
      <t>Connected</t>
    </r>
    <r>
      <rPr>
        <sz val="8"/>
        <rFont val="Times New Roman"/>
        <family val="1"/>
      </rPr>
      <t xml:space="preserve"> </t>
    </r>
    <r>
      <rPr>
        <sz val="8"/>
        <rFont val="Cambria"/>
        <family val="1"/>
      </rPr>
      <t>with</t>
    </r>
    <r>
      <rPr>
        <sz val="8"/>
        <rFont val="Times New Roman"/>
        <family val="1"/>
      </rPr>
      <t xml:space="preserve"> </t>
    </r>
    <r>
      <rPr>
        <sz val="8"/>
        <rFont val="Cambria"/>
        <family val="1"/>
      </rPr>
      <t>energy</t>
    </r>
    <r>
      <rPr>
        <sz val="8"/>
        <rFont val="Times New Roman"/>
        <family val="1"/>
      </rPr>
      <t xml:space="preserve"> </t>
    </r>
    <r>
      <rPr>
        <sz val="8"/>
        <rFont val="Cambria"/>
        <family val="1"/>
      </rPr>
      <t>efficiency</t>
    </r>
    <r>
      <rPr>
        <sz val="8"/>
        <rFont val="Times New Roman"/>
        <family val="1"/>
      </rPr>
      <t xml:space="preserve"> </t>
    </r>
    <r>
      <rPr>
        <sz val="8"/>
        <rFont val="Cambria"/>
        <family val="1"/>
      </rPr>
      <t>level-2.</t>
    </r>
    <r>
      <rPr>
        <sz val="8"/>
        <rFont val="Times New Roman"/>
        <family val="1"/>
      </rPr>
      <t xml:space="preserve"> </t>
    </r>
    <r>
      <rPr>
        <sz val="8"/>
        <rFont val="Cambria"/>
        <family val="1"/>
      </rPr>
      <t>standard</t>
    </r>
    <r>
      <rPr>
        <sz val="8"/>
        <rFont val="Times New Roman"/>
        <family val="1"/>
      </rPr>
      <t xml:space="preserve"> </t>
    </r>
    <r>
      <rPr>
        <sz val="8"/>
        <rFont val="Cambria"/>
        <family val="1"/>
      </rPr>
      <t>accessories</t>
    </r>
    <r>
      <rPr>
        <sz val="8"/>
        <rFont val="Times New Roman"/>
        <family val="1"/>
      </rPr>
      <t xml:space="preserve"> </t>
    </r>
    <r>
      <rPr>
        <sz val="8"/>
        <rFont val="Cambria"/>
        <family val="1"/>
      </rPr>
      <t>like</t>
    </r>
    <r>
      <rPr>
        <sz val="8"/>
        <rFont val="Times New Roman"/>
        <family val="1"/>
      </rPr>
      <t xml:space="preserve"> </t>
    </r>
    <r>
      <rPr>
        <sz val="8"/>
        <rFont val="Cambria"/>
        <family val="1"/>
      </rPr>
      <t>conservator,</t>
    </r>
    <r>
      <rPr>
        <sz val="8"/>
        <rFont val="Times New Roman"/>
        <family val="1"/>
      </rPr>
      <t xml:space="preserve"> </t>
    </r>
    <r>
      <rPr>
        <sz val="8"/>
        <rFont val="Cambria"/>
        <family val="1"/>
      </rPr>
      <t>silica</t>
    </r>
    <r>
      <rPr>
        <sz val="8"/>
        <rFont val="Times New Roman"/>
        <family val="1"/>
      </rPr>
      <t xml:space="preserve"> </t>
    </r>
    <r>
      <rPr>
        <sz val="8"/>
        <rFont val="Cambria"/>
        <family val="1"/>
      </rPr>
      <t>gel</t>
    </r>
    <r>
      <rPr>
        <sz val="8"/>
        <rFont val="Times New Roman"/>
        <family val="1"/>
      </rPr>
      <t xml:space="preserve"> </t>
    </r>
    <r>
      <rPr>
        <sz val="8"/>
        <rFont val="Cambria"/>
        <family val="1"/>
      </rPr>
      <t>breather,</t>
    </r>
    <r>
      <rPr>
        <sz val="8"/>
        <rFont val="Times New Roman"/>
        <family val="1"/>
      </rPr>
      <t xml:space="preserve"> </t>
    </r>
    <r>
      <rPr>
        <sz val="8"/>
        <rFont val="Cambria"/>
        <family val="1"/>
      </rPr>
      <t>radiator,</t>
    </r>
    <r>
      <rPr>
        <sz val="8"/>
        <rFont val="Times New Roman"/>
        <family val="1"/>
      </rPr>
      <t xml:space="preserve"> </t>
    </r>
    <r>
      <rPr>
        <sz val="8"/>
        <rFont val="Cambria"/>
        <family val="1"/>
      </rPr>
      <t>fins,</t>
    </r>
    <r>
      <rPr>
        <sz val="8"/>
        <rFont val="Times New Roman"/>
        <family val="1"/>
      </rPr>
      <t xml:space="preserve"> </t>
    </r>
    <r>
      <rPr>
        <sz val="8"/>
        <rFont val="Cambria"/>
        <family val="1"/>
      </rPr>
      <t>HT</t>
    </r>
    <r>
      <rPr>
        <sz val="8"/>
        <rFont val="Times New Roman"/>
        <family val="1"/>
      </rPr>
      <t xml:space="preserve"> </t>
    </r>
    <r>
      <rPr>
        <sz val="8"/>
        <rFont val="Cambria"/>
        <family val="1"/>
      </rPr>
      <t>/CABLE</t>
    </r>
    <r>
      <rPr>
        <sz val="8"/>
        <rFont val="Times New Roman"/>
        <family val="1"/>
      </rPr>
      <t xml:space="preserve"> </t>
    </r>
    <r>
      <rPr>
        <sz val="8"/>
        <rFont val="Cambria"/>
        <family val="1"/>
      </rPr>
      <t>BOX</t>
    </r>
    <r>
      <rPr>
        <sz val="8"/>
        <rFont val="Times New Roman"/>
        <family val="1"/>
      </rPr>
      <t xml:space="preserve"> </t>
    </r>
    <r>
      <rPr>
        <sz val="8"/>
        <rFont val="Cambria"/>
        <family val="1"/>
      </rPr>
      <t>&amp;</t>
    </r>
    <r>
      <rPr>
        <sz val="8"/>
        <rFont val="Times New Roman"/>
        <family val="1"/>
      </rPr>
      <t xml:space="preserve"> </t>
    </r>
    <r>
      <rPr>
        <sz val="8"/>
        <rFont val="Cambria"/>
        <family val="1"/>
      </rPr>
      <t>LT</t>
    </r>
    <r>
      <rPr>
        <sz val="8"/>
        <rFont val="Times New Roman"/>
        <family val="1"/>
      </rPr>
      <t xml:space="preserve"> </t>
    </r>
    <r>
      <rPr>
        <sz val="8"/>
        <rFont val="Cambria"/>
        <family val="1"/>
      </rPr>
      <t>cable</t>
    </r>
    <r>
      <rPr>
        <sz val="8"/>
        <rFont val="Times New Roman"/>
        <family val="1"/>
      </rPr>
      <t xml:space="preserve"> </t>
    </r>
    <r>
      <rPr>
        <sz val="8"/>
        <rFont val="Cambria"/>
        <family val="1"/>
      </rPr>
      <t>boxes,</t>
    </r>
    <r>
      <rPr>
        <sz val="8"/>
        <rFont val="Times New Roman"/>
        <family val="1"/>
      </rPr>
      <t xml:space="preserve"> </t>
    </r>
    <r>
      <rPr>
        <sz val="8"/>
        <rFont val="Cambria"/>
        <family val="1"/>
      </rPr>
      <t>OFF-LTC,</t>
    </r>
    <r>
      <rPr>
        <sz val="8"/>
        <rFont val="Times New Roman"/>
        <family val="1"/>
      </rPr>
      <t xml:space="preserve"> </t>
    </r>
    <r>
      <rPr>
        <sz val="8"/>
        <rFont val="Cambria"/>
        <family val="1"/>
      </rPr>
      <t>drain</t>
    </r>
    <r>
      <rPr>
        <sz val="8"/>
        <rFont val="Times New Roman"/>
        <family val="1"/>
      </rPr>
      <t xml:space="preserve"> </t>
    </r>
    <r>
      <rPr>
        <sz val="8"/>
        <rFont val="Cambria"/>
        <family val="1"/>
      </rPr>
      <t>valve,</t>
    </r>
    <r>
      <rPr>
        <sz val="8"/>
        <rFont val="Times New Roman"/>
        <family val="1"/>
      </rPr>
      <t xml:space="preserve"> </t>
    </r>
    <r>
      <rPr>
        <sz val="8"/>
        <rFont val="Cambria"/>
        <family val="1"/>
      </rPr>
      <t>first</t>
    </r>
    <r>
      <rPr>
        <sz val="8"/>
        <rFont val="Times New Roman"/>
        <family val="1"/>
      </rPr>
      <t xml:space="preserve"> </t>
    </r>
    <r>
      <rPr>
        <sz val="8"/>
        <rFont val="Cambria"/>
        <family val="1"/>
      </rPr>
      <t>fill</t>
    </r>
    <r>
      <rPr>
        <sz val="8"/>
        <rFont val="Times New Roman"/>
        <family val="1"/>
      </rPr>
      <t xml:space="preserve"> </t>
    </r>
    <r>
      <rPr>
        <sz val="8"/>
        <rFont val="Cambria"/>
        <family val="1"/>
      </rPr>
      <t>of</t>
    </r>
    <r>
      <rPr>
        <sz val="8"/>
        <rFont val="Times New Roman"/>
        <family val="1"/>
      </rPr>
      <t xml:space="preserve"> </t>
    </r>
    <r>
      <rPr>
        <sz val="8"/>
        <rFont val="Cambria"/>
        <family val="1"/>
      </rPr>
      <t>oil,</t>
    </r>
    <r>
      <rPr>
        <sz val="8"/>
        <rFont val="Times New Roman"/>
        <family val="1"/>
      </rPr>
      <t xml:space="preserve"> </t>
    </r>
    <r>
      <rPr>
        <sz val="8"/>
        <rFont val="Cambria"/>
        <family val="1"/>
      </rPr>
      <t>Epoxy</t>
    </r>
    <r>
      <rPr>
        <sz val="8"/>
        <rFont val="Times New Roman"/>
        <family val="1"/>
      </rPr>
      <t xml:space="preserve"> </t>
    </r>
    <r>
      <rPr>
        <sz val="8"/>
        <rFont val="Cambria"/>
        <family val="1"/>
      </rPr>
      <t>based</t>
    </r>
    <r>
      <rPr>
        <sz val="8"/>
        <rFont val="Times New Roman"/>
        <family val="1"/>
      </rPr>
      <t xml:space="preserve"> </t>
    </r>
    <r>
      <rPr>
        <sz val="8"/>
        <rFont val="Cambria"/>
        <family val="1"/>
      </rPr>
      <t>paint</t>
    </r>
    <r>
      <rPr>
        <sz val="8"/>
        <rFont val="Times New Roman"/>
        <family val="1"/>
      </rPr>
      <t xml:space="preserve"> </t>
    </r>
    <r>
      <rPr>
        <sz val="8"/>
        <rFont val="Cambria"/>
        <family val="1"/>
      </rPr>
      <t>as</t>
    </r>
    <r>
      <rPr>
        <sz val="8"/>
        <rFont val="Times New Roman"/>
        <family val="1"/>
      </rPr>
      <t xml:space="preserve"> </t>
    </r>
    <r>
      <rPr>
        <sz val="8"/>
        <rFont val="Cambria"/>
        <family val="1"/>
      </rPr>
      <t>approved</t>
    </r>
    <r>
      <rPr>
        <sz val="8"/>
        <rFont val="Times New Roman"/>
        <family val="1"/>
      </rPr>
      <t xml:space="preserve"> </t>
    </r>
    <r>
      <rPr>
        <sz val="8"/>
        <rFont val="Cambria"/>
        <family val="1"/>
      </rPr>
      <t>By</t>
    </r>
    <r>
      <rPr>
        <sz val="8"/>
        <rFont val="Times New Roman"/>
        <family val="1"/>
      </rPr>
      <t xml:space="preserve"> </t>
    </r>
    <r>
      <rPr>
        <sz val="8"/>
        <rFont val="Cambria"/>
        <family val="1"/>
      </rPr>
      <t>DISCOMs</t>
    </r>
  </si>
  <si>
    <r>
      <rPr>
        <b/>
        <sz val="8"/>
        <rFont val="Cambria"/>
        <family val="1"/>
      </rPr>
      <t>MAIN</t>
    </r>
    <r>
      <rPr>
        <sz val="8"/>
        <rFont val="Times New Roman"/>
        <family val="1"/>
      </rPr>
      <t xml:space="preserve"> </t>
    </r>
    <r>
      <rPr>
        <b/>
        <sz val="8"/>
        <rFont val="Cambria"/>
        <family val="1"/>
      </rPr>
      <t>ELECTRIC</t>
    </r>
    <r>
      <rPr>
        <sz val="8"/>
        <rFont val="Times New Roman"/>
        <family val="1"/>
      </rPr>
      <t xml:space="preserve"> </t>
    </r>
    <r>
      <rPr>
        <b/>
        <sz val="8"/>
        <rFont val="Cambria"/>
        <family val="1"/>
      </rPr>
      <t>PANELS</t>
    </r>
    <r>
      <rPr>
        <sz val="8"/>
        <rFont val="Times New Roman"/>
        <family val="1"/>
      </rPr>
      <t xml:space="preserve">  </t>
    </r>
    <r>
      <rPr>
        <sz val="8"/>
        <rFont val="Cambria"/>
        <family val="1"/>
      </rPr>
      <t>including</t>
    </r>
    <r>
      <rPr>
        <sz val="8"/>
        <rFont val="Times New Roman"/>
        <family val="1"/>
      </rPr>
      <t xml:space="preserve"> </t>
    </r>
    <r>
      <rPr>
        <sz val="8"/>
        <rFont val="Cambria"/>
        <family val="1"/>
      </rPr>
      <t>wall/floor</t>
    </r>
    <r>
      <rPr>
        <sz val="8"/>
        <rFont val="Times New Roman"/>
        <family val="1"/>
      </rPr>
      <t xml:space="preserve"> </t>
    </r>
    <r>
      <rPr>
        <sz val="8"/>
        <rFont val="Cambria"/>
        <family val="1"/>
      </rPr>
      <t>mounted</t>
    </r>
    <r>
      <rPr>
        <sz val="8"/>
        <rFont val="Times New Roman"/>
        <family val="1"/>
      </rPr>
      <t xml:space="preserve"> </t>
    </r>
    <r>
      <rPr>
        <sz val="8"/>
        <rFont val="Cambria"/>
        <family val="1"/>
      </rPr>
      <t>powder</t>
    </r>
    <r>
      <rPr>
        <sz val="8"/>
        <rFont val="Times New Roman"/>
        <family val="1"/>
      </rPr>
      <t xml:space="preserve"> </t>
    </r>
    <r>
      <rPr>
        <sz val="8"/>
        <rFont val="Cambria"/>
        <family val="1"/>
      </rPr>
      <t>coated</t>
    </r>
    <r>
      <rPr>
        <sz val="8"/>
        <rFont val="Times New Roman"/>
        <family val="1"/>
      </rPr>
      <t xml:space="preserve"> </t>
    </r>
    <r>
      <rPr>
        <sz val="8"/>
        <rFont val="Cambria"/>
        <family val="1"/>
      </rPr>
      <t>cubicle</t>
    </r>
    <r>
      <rPr>
        <sz val="8"/>
        <rFont val="Times New Roman"/>
        <family val="1"/>
      </rPr>
      <t xml:space="preserve"> </t>
    </r>
    <r>
      <rPr>
        <sz val="8"/>
        <rFont val="Cambria"/>
        <family val="1"/>
      </rPr>
      <t>board</t>
    </r>
    <r>
      <rPr>
        <sz val="8"/>
        <rFont val="Times New Roman"/>
        <family val="1"/>
      </rPr>
      <t xml:space="preserve"> </t>
    </r>
    <r>
      <rPr>
        <sz val="8"/>
        <rFont val="Cambria"/>
        <family val="1"/>
      </rPr>
      <t>out</t>
    </r>
    <r>
      <rPr>
        <sz val="8"/>
        <rFont val="Times New Roman"/>
        <family val="1"/>
      </rPr>
      <t xml:space="preserve">   </t>
    </r>
    <r>
      <rPr>
        <sz val="8"/>
        <rFont val="Cambria"/>
        <family val="1"/>
      </rPr>
      <t>of</t>
    </r>
    <r>
      <rPr>
        <sz val="8"/>
        <rFont val="Times New Roman"/>
        <family val="1"/>
      </rPr>
      <t xml:space="preserve">   </t>
    </r>
    <r>
      <rPr>
        <sz val="8"/>
        <rFont val="Cambria"/>
        <family val="1"/>
      </rPr>
      <t>2</t>
    </r>
    <r>
      <rPr>
        <sz val="8"/>
        <rFont val="Times New Roman"/>
        <family val="1"/>
      </rPr>
      <t xml:space="preserve">   </t>
    </r>
    <r>
      <rPr>
        <sz val="8"/>
        <rFont val="Cambria"/>
        <family val="1"/>
      </rPr>
      <t>mm</t>
    </r>
    <r>
      <rPr>
        <sz val="8"/>
        <rFont val="Times New Roman"/>
        <family val="1"/>
      </rPr>
      <t xml:space="preserve">   </t>
    </r>
    <r>
      <rPr>
        <sz val="8"/>
        <rFont val="Cambria"/>
        <family val="1"/>
      </rPr>
      <t>thick</t>
    </r>
    <r>
      <rPr>
        <sz val="8"/>
        <rFont val="Times New Roman"/>
        <family val="1"/>
      </rPr>
      <t xml:space="preserve">   </t>
    </r>
    <r>
      <rPr>
        <sz val="8"/>
        <rFont val="Cambria"/>
        <family val="1"/>
      </rPr>
      <t>CRCA</t>
    </r>
    <r>
      <rPr>
        <sz val="8"/>
        <rFont val="Times New Roman"/>
        <family val="1"/>
      </rPr>
      <t xml:space="preserve">   </t>
    </r>
    <r>
      <rPr>
        <sz val="8"/>
        <rFont val="Cambria"/>
        <family val="1"/>
      </rPr>
      <t>MS</t>
    </r>
    <r>
      <rPr>
        <sz val="8"/>
        <rFont val="Times New Roman"/>
        <family val="1"/>
      </rPr>
      <t xml:space="preserve">   </t>
    </r>
    <r>
      <rPr>
        <sz val="8"/>
        <rFont val="Cambria"/>
        <family val="1"/>
      </rPr>
      <t>sheet</t>
    </r>
    <r>
      <rPr>
        <sz val="8"/>
        <rFont val="Times New Roman"/>
        <family val="1"/>
      </rPr>
      <t xml:space="preserve">   </t>
    </r>
    <r>
      <rPr>
        <sz val="8"/>
        <rFont val="Cambria"/>
        <family val="1"/>
      </rPr>
      <t>steel</t>
    </r>
    <r>
      <rPr>
        <sz val="8"/>
        <rFont val="Times New Roman"/>
        <family val="1"/>
      </rPr>
      <t xml:space="preserve">   </t>
    </r>
    <r>
      <rPr>
        <sz val="8"/>
        <rFont val="Cambria"/>
        <family val="1"/>
      </rPr>
      <t>having</t>
    </r>
    <r>
      <rPr>
        <sz val="8"/>
        <rFont val="Times New Roman"/>
        <family val="1"/>
      </rPr>
      <t xml:space="preserve">   </t>
    </r>
    <r>
      <rPr>
        <sz val="8"/>
        <rFont val="Cambria"/>
        <family val="1"/>
      </rPr>
      <t>mountings</t>
    </r>
    <r>
      <rPr>
        <sz val="8"/>
        <rFont val="Times New Roman"/>
        <family val="1"/>
      </rPr>
      <t xml:space="preserve">   </t>
    </r>
    <r>
      <rPr>
        <sz val="8"/>
        <rFont val="Cambria"/>
        <family val="1"/>
      </rPr>
      <t>in</t>
    </r>
    <r>
      <rPr>
        <sz val="8"/>
        <rFont val="Times New Roman"/>
        <family val="1"/>
      </rPr>
      <t xml:space="preserve">   </t>
    </r>
    <r>
      <rPr>
        <sz val="8"/>
        <rFont val="Cambria"/>
        <family val="1"/>
      </rPr>
      <t>suitable</t>
    </r>
    <r>
      <rPr>
        <sz val="8"/>
        <rFont val="Times New Roman"/>
        <family val="1"/>
      </rPr>
      <t xml:space="preserve">   </t>
    </r>
    <r>
      <rPr>
        <sz val="8"/>
        <rFont val="Cambria"/>
        <family val="1"/>
      </rPr>
      <t>size</t>
    </r>
    <r>
      <rPr>
        <sz val="8"/>
        <rFont val="Times New Roman"/>
        <family val="1"/>
      </rPr>
      <t xml:space="preserve"> </t>
    </r>
    <r>
      <rPr>
        <sz val="8"/>
        <rFont val="Cambria"/>
        <family val="1"/>
      </rPr>
      <t>compartments,</t>
    </r>
    <r>
      <rPr>
        <sz val="8"/>
        <rFont val="Times New Roman"/>
        <family val="1"/>
      </rPr>
      <t xml:space="preserve"> </t>
    </r>
    <r>
      <rPr>
        <sz val="8"/>
        <rFont val="Cambria"/>
        <family val="1"/>
      </rPr>
      <t>locking</t>
    </r>
    <r>
      <rPr>
        <sz val="8"/>
        <rFont val="Times New Roman"/>
        <family val="1"/>
      </rPr>
      <t xml:space="preserve"> </t>
    </r>
    <r>
      <rPr>
        <sz val="8"/>
        <rFont val="Cambria"/>
        <family val="1"/>
      </rPr>
      <t>arrangement</t>
    </r>
    <r>
      <rPr>
        <sz val="8"/>
        <rFont val="Times New Roman"/>
        <family val="1"/>
      </rPr>
      <t xml:space="preserve"> </t>
    </r>
    <r>
      <rPr>
        <sz val="8"/>
        <rFont val="Cambria"/>
        <family val="1"/>
      </rPr>
      <t>for</t>
    </r>
    <r>
      <rPr>
        <sz val="8"/>
        <rFont val="Times New Roman"/>
        <family val="1"/>
      </rPr>
      <t xml:space="preserve"> </t>
    </r>
    <r>
      <rPr>
        <sz val="8"/>
        <rFont val="Cambria"/>
        <family val="1"/>
      </rPr>
      <t>each</t>
    </r>
    <r>
      <rPr>
        <sz val="8"/>
        <rFont val="Times New Roman"/>
        <family val="1"/>
      </rPr>
      <t xml:space="preserve"> </t>
    </r>
    <r>
      <rPr>
        <sz val="8"/>
        <rFont val="Cambria"/>
        <family val="1"/>
      </rPr>
      <t>compartment</t>
    </r>
    <r>
      <rPr>
        <sz val="8"/>
        <rFont val="Times New Roman"/>
        <family val="1"/>
      </rPr>
      <t xml:space="preserve"> </t>
    </r>
    <r>
      <rPr>
        <sz val="8"/>
        <rFont val="Cambria"/>
        <family val="1"/>
      </rPr>
      <t>including</t>
    </r>
    <r>
      <rPr>
        <sz val="8"/>
        <rFont val="Times New Roman"/>
        <family val="1"/>
      </rPr>
      <t xml:space="preserve"> </t>
    </r>
    <r>
      <rPr>
        <sz val="8"/>
        <rFont val="Cambria"/>
        <family val="1"/>
      </rPr>
      <t>interconnection</t>
    </r>
    <r>
      <rPr>
        <sz val="8"/>
        <rFont val="Times New Roman"/>
        <family val="1"/>
      </rPr>
      <t xml:space="preserve"> </t>
    </r>
    <r>
      <rPr>
        <sz val="8"/>
        <rFont val="Cambria"/>
        <family val="1"/>
      </rPr>
      <t>with</t>
    </r>
    <r>
      <rPr>
        <sz val="8"/>
        <rFont val="Times New Roman"/>
        <family val="1"/>
      </rPr>
      <t xml:space="preserve">  </t>
    </r>
    <r>
      <rPr>
        <sz val="8"/>
        <rFont val="Cambria"/>
        <family val="1"/>
      </rPr>
      <t>1100</t>
    </r>
    <r>
      <rPr>
        <sz val="8"/>
        <rFont val="Times New Roman"/>
        <family val="1"/>
      </rPr>
      <t xml:space="preserve">  </t>
    </r>
    <r>
      <rPr>
        <sz val="8"/>
        <rFont val="Cambria"/>
        <family val="1"/>
      </rPr>
      <t>V</t>
    </r>
    <r>
      <rPr>
        <sz val="8"/>
        <rFont val="Times New Roman"/>
        <family val="1"/>
      </rPr>
      <t xml:space="preserve">  </t>
    </r>
    <r>
      <rPr>
        <sz val="8"/>
        <rFont val="Cambria"/>
        <family val="1"/>
      </rPr>
      <t>grade</t>
    </r>
    <r>
      <rPr>
        <sz val="8"/>
        <rFont val="Times New Roman"/>
        <family val="1"/>
      </rPr>
      <t xml:space="preserve">  </t>
    </r>
    <r>
      <rPr>
        <sz val="8"/>
        <rFont val="Cambria"/>
        <family val="1"/>
      </rPr>
      <t>PVC</t>
    </r>
    <r>
      <rPr>
        <sz val="8"/>
        <rFont val="Times New Roman"/>
        <family val="1"/>
      </rPr>
      <t xml:space="preserve">  </t>
    </r>
    <r>
      <rPr>
        <sz val="8"/>
        <rFont val="Cambria"/>
        <family val="1"/>
      </rPr>
      <t>insulated</t>
    </r>
    <r>
      <rPr>
        <sz val="8"/>
        <rFont val="Times New Roman"/>
        <family val="1"/>
      </rPr>
      <t xml:space="preserve">  </t>
    </r>
    <r>
      <rPr>
        <sz val="8"/>
        <rFont val="Cambria"/>
        <family val="1"/>
      </rPr>
      <t>copper</t>
    </r>
    <r>
      <rPr>
        <sz val="8"/>
        <rFont val="Times New Roman"/>
        <family val="1"/>
      </rPr>
      <t xml:space="preserve">  </t>
    </r>
    <r>
      <rPr>
        <sz val="8"/>
        <rFont val="Cambria"/>
        <family val="1"/>
      </rPr>
      <t>conductor</t>
    </r>
    <r>
      <rPr>
        <sz val="8"/>
        <rFont val="Times New Roman"/>
        <family val="1"/>
      </rPr>
      <t xml:space="preserve">  </t>
    </r>
    <r>
      <rPr>
        <sz val="8"/>
        <rFont val="Cambria"/>
        <family val="1"/>
      </rPr>
      <t>of</t>
    </r>
    <r>
      <rPr>
        <sz val="8"/>
        <rFont val="Times New Roman"/>
        <family val="1"/>
      </rPr>
      <t xml:space="preserve">  </t>
    </r>
    <r>
      <rPr>
        <sz val="8"/>
        <rFont val="Cambria"/>
        <family val="1"/>
      </rPr>
      <t>size</t>
    </r>
    <r>
      <rPr>
        <sz val="8"/>
        <rFont val="Times New Roman"/>
        <family val="1"/>
      </rPr>
      <t xml:space="preserve">  </t>
    </r>
    <r>
      <rPr>
        <sz val="8"/>
        <rFont val="Cambria"/>
        <family val="1"/>
      </rPr>
      <t>as</t>
    </r>
    <r>
      <rPr>
        <sz val="8"/>
        <rFont val="Times New Roman"/>
        <family val="1"/>
      </rPr>
      <t xml:space="preserve">  </t>
    </r>
    <r>
      <rPr>
        <sz val="8"/>
        <rFont val="Cambria"/>
        <family val="1"/>
      </rPr>
      <t>that</t>
    </r>
    <r>
      <rPr>
        <sz val="8"/>
        <rFont val="Times New Roman"/>
        <family val="1"/>
      </rPr>
      <t xml:space="preserve">  </t>
    </r>
    <r>
      <rPr>
        <sz val="8"/>
        <rFont val="Cambria"/>
        <family val="1"/>
      </rPr>
      <t>of</t>
    </r>
    <r>
      <rPr>
        <sz val="8"/>
        <rFont val="Times New Roman"/>
        <family val="1"/>
      </rPr>
      <t xml:space="preserve">  </t>
    </r>
    <r>
      <rPr>
        <sz val="8"/>
        <rFont val="Cambria"/>
        <family val="1"/>
      </rPr>
      <t>submains,</t>
    </r>
    <r>
      <rPr>
        <sz val="8"/>
        <rFont val="Times New Roman"/>
        <family val="1"/>
      </rPr>
      <t xml:space="preserve"> </t>
    </r>
    <r>
      <rPr>
        <sz val="8"/>
        <rFont val="Cambria"/>
        <family val="1"/>
      </rPr>
      <t>labelling,</t>
    </r>
    <r>
      <rPr>
        <sz val="8"/>
        <rFont val="Times New Roman"/>
        <family val="1"/>
      </rPr>
      <t xml:space="preserve">  </t>
    </r>
    <r>
      <rPr>
        <sz val="8"/>
        <rFont val="Cambria"/>
        <family val="1"/>
      </rPr>
      <t>earthing,</t>
    </r>
    <r>
      <rPr>
        <sz val="8"/>
        <rFont val="Times New Roman"/>
        <family val="1"/>
      </rPr>
      <t xml:space="preserve"> </t>
    </r>
    <r>
      <rPr>
        <sz val="8"/>
        <rFont val="Cambria"/>
        <family val="1"/>
      </rPr>
      <t>brass</t>
    </r>
    <r>
      <rPr>
        <sz val="8"/>
        <rFont val="Times New Roman"/>
        <family val="1"/>
      </rPr>
      <t xml:space="preserve"> </t>
    </r>
    <r>
      <rPr>
        <sz val="8"/>
        <rFont val="Cambria"/>
        <family val="1"/>
      </rPr>
      <t>compression</t>
    </r>
    <r>
      <rPr>
        <sz val="8"/>
        <rFont val="Times New Roman"/>
        <family val="1"/>
      </rPr>
      <t xml:space="preserve"> </t>
    </r>
    <r>
      <rPr>
        <sz val="8"/>
        <rFont val="Cambria"/>
        <family val="1"/>
      </rPr>
      <t>glands</t>
    </r>
    <r>
      <rPr>
        <sz val="8"/>
        <rFont val="Times New Roman"/>
        <family val="1"/>
      </rPr>
      <t xml:space="preserve">  </t>
    </r>
    <r>
      <rPr>
        <sz val="8"/>
        <rFont val="Cambria"/>
        <family val="1"/>
      </rPr>
      <t>for</t>
    </r>
    <r>
      <rPr>
        <sz val="8"/>
        <rFont val="Times New Roman"/>
        <family val="1"/>
      </rPr>
      <t xml:space="preserve"> </t>
    </r>
    <r>
      <rPr>
        <sz val="8"/>
        <rFont val="Cambria"/>
        <family val="1"/>
      </rPr>
      <t>incoming</t>
    </r>
    <r>
      <rPr>
        <sz val="8"/>
        <rFont val="Times New Roman"/>
        <family val="1"/>
      </rPr>
      <t xml:space="preserve">  </t>
    </r>
    <r>
      <rPr>
        <sz val="8"/>
        <rFont val="Cambria"/>
        <family val="1"/>
      </rPr>
      <t>and</t>
    </r>
    <r>
      <rPr>
        <sz val="8"/>
        <rFont val="Times New Roman"/>
        <family val="1"/>
      </rPr>
      <t xml:space="preserve">  </t>
    </r>
    <r>
      <rPr>
        <sz val="8"/>
        <rFont val="Cambria"/>
        <family val="1"/>
      </rPr>
      <t>outgoing</t>
    </r>
    <r>
      <rPr>
        <sz val="8"/>
        <rFont val="Times New Roman"/>
        <family val="1"/>
      </rPr>
      <t xml:space="preserve">  </t>
    </r>
    <r>
      <rPr>
        <sz val="8"/>
        <rFont val="Cambria"/>
        <family val="1"/>
      </rPr>
      <t>cables</t>
    </r>
    <r>
      <rPr>
        <sz val="8"/>
        <rFont val="Times New Roman"/>
        <family val="1"/>
      </rPr>
      <t xml:space="preserve"> </t>
    </r>
    <r>
      <rPr>
        <sz val="8"/>
        <rFont val="Cambria"/>
        <family val="1"/>
      </rPr>
      <t>and</t>
    </r>
    <r>
      <rPr>
        <sz val="8"/>
        <rFont val="Times New Roman"/>
        <family val="1"/>
      </rPr>
      <t xml:space="preserve"> </t>
    </r>
    <r>
      <rPr>
        <sz val="8"/>
        <rFont val="Cambria"/>
        <family val="1"/>
      </rPr>
      <t>suitable</t>
    </r>
    <r>
      <rPr>
        <sz val="8"/>
        <rFont val="Times New Roman"/>
        <family val="1"/>
      </rPr>
      <t xml:space="preserve"> </t>
    </r>
    <r>
      <rPr>
        <sz val="8"/>
        <rFont val="Cambria"/>
        <family val="1"/>
      </rPr>
      <t>adapter</t>
    </r>
    <r>
      <rPr>
        <sz val="8"/>
        <rFont val="Times New Roman"/>
        <family val="1"/>
      </rPr>
      <t xml:space="preserve"> </t>
    </r>
    <r>
      <rPr>
        <sz val="8"/>
        <rFont val="Cambria"/>
        <family val="1"/>
      </rPr>
      <t>box</t>
    </r>
    <r>
      <rPr>
        <sz val="8"/>
        <rFont val="Times New Roman"/>
        <family val="1"/>
      </rPr>
      <t xml:space="preserve"> </t>
    </r>
    <r>
      <rPr>
        <sz val="8"/>
        <rFont val="Cambria"/>
        <family val="1"/>
      </rPr>
      <t>for</t>
    </r>
    <r>
      <rPr>
        <sz val="8"/>
        <rFont val="Times New Roman"/>
        <family val="1"/>
      </rPr>
      <t xml:space="preserve"> </t>
    </r>
    <r>
      <rPr>
        <sz val="8"/>
        <rFont val="Cambria"/>
        <family val="1"/>
      </rPr>
      <t>outgoing</t>
    </r>
    <r>
      <rPr>
        <sz val="8"/>
        <rFont val="Times New Roman"/>
        <family val="1"/>
      </rPr>
      <t xml:space="preserve"> </t>
    </r>
    <r>
      <rPr>
        <sz val="8"/>
        <rFont val="Cambria"/>
        <family val="1"/>
      </rPr>
      <t>submains</t>
    </r>
    <r>
      <rPr>
        <sz val="8"/>
        <rFont val="Times New Roman"/>
        <family val="1"/>
      </rPr>
      <t xml:space="preserve"> </t>
    </r>
    <r>
      <rPr>
        <sz val="8"/>
        <rFont val="Cambria"/>
        <family val="1"/>
      </rPr>
      <t>also</t>
    </r>
    <r>
      <rPr>
        <sz val="8"/>
        <rFont val="Times New Roman"/>
        <family val="1"/>
      </rPr>
      <t xml:space="preserve"> </t>
    </r>
    <r>
      <rPr>
        <sz val="8"/>
        <rFont val="Cambria"/>
        <family val="1"/>
      </rPr>
      <t>including</t>
    </r>
    <r>
      <rPr>
        <sz val="8"/>
        <rFont val="Times New Roman"/>
        <family val="1"/>
      </rPr>
      <t xml:space="preserve"> </t>
    </r>
    <r>
      <rPr>
        <sz val="8"/>
        <rFont val="Cambria"/>
        <family val="1"/>
      </rPr>
      <t>ACB's/MCCB's/MCB,</t>
    </r>
    <r>
      <rPr>
        <sz val="8"/>
        <rFont val="Times New Roman"/>
        <family val="1"/>
      </rPr>
      <t xml:space="preserve"> </t>
    </r>
    <r>
      <rPr>
        <sz val="8"/>
        <rFont val="Cambria"/>
        <family val="1"/>
      </rPr>
      <t>Bus-</t>
    </r>
    <r>
      <rPr>
        <sz val="8"/>
        <rFont val="Times New Roman"/>
        <family val="1"/>
      </rPr>
      <t xml:space="preserve"> </t>
    </r>
    <r>
      <rPr>
        <sz val="8"/>
        <rFont val="Cambria"/>
        <family val="1"/>
      </rPr>
      <t>Bar</t>
    </r>
    <r>
      <rPr>
        <sz val="8"/>
        <rFont val="Times New Roman"/>
        <family val="1"/>
      </rPr>
      <t xml:space="preserve"> </t>
    </r>
    <r>
      <rPr>
        <sz val="8"/>
        <rFont val="Cambria"/>
        <family val="1"/>
      </rPr>
      <t>Metering</t>
    </r>
    <r>
      <rPr>
        <sz val="8"/>
        <rFont val="Times New Roman"/>
        <family val="1"/>
      </rPr>
      <t xml:space="preserve"> </t>
    </r>
    <r>
      <rPr>
        <sz val="8"/>
        <rFont val="Cambria"/>
        <family val="1"/>
      </rPr>
      <t>Equipments,</t>
    </r>
    <r>
      <rPr>
        <sz val="8"/>
        <rFont val="Times New Roman"/>
        <family val="1"/>
      </rPr>
      <t xml:space="preserve"> </t>
    </r>
    <r>
      <rPr>
        <sz val="8"/>
        <rFont val="Cambria"/>
        <family val="1"/>
      </rPr>
      <t>Change-Over</t>
    </r>
    <r>
      <rPr>
        <sz val="8"/>
        <rFont val="Times New Roman"/>
        <family val="1"/>
      </rPr>
      <t xml:space="preserve"> </t>
    </r>
    <r>
      <rPr>
        <sz val="8"/>
        <rFont val="Cambria"/>
        <family val="1"/>
      </rPr>
      <t>Panel</t>
    </r>
    <r>
      <rPr>
        <sz val="8"/>
        <rFont val="Times New Roman"/>
        <family val="1"/>
      </rPr>
      <t xml:space="preserve"> </t>
    </r>
    <r>
      <rPr>
        <sz val="8"/>
        <rFont val="Cambria"/>
        <family val="1"/>
      </rPr>
      <t>etc.</t>
    </r>
  </si>
  <si>
    <r>
      <rPr>
        <b/>
        <sz val="8"/>
        <rFont val="Cambria"/>
        <family val="1"/>
      </rPr>
      <t>450</t>
    </r>
    <r>
      <rPr>
        <sz val="8"/>
        <rFont val="Times New Roman"/>
        <family val="1"/>
      </rPr>
      <t xml:space="preserve">  </t>
    </r>
    <r>
      <rPr>
        <b/>
        <sz val="8"/>
        <rFont val="Cambria"/>
        <family val="1"/>
      </rPr>
      <t>KVAR</t>
    </r>
    <r>
      <rPr>
        <sz val="8"/>
        <rFont val="Times New Roman"/>
        <family val="1"/>
      </rPr>
      <t xml:space="preserve">  </t>
    </r>
    <r>
      <rPr>
        <b/>
        <sz val="8"/>
        <rFont val="Cambria"/>
        <family val="1"/>
      </rPr>
      <t>AUTO</t>
    </r>
    <r>
      <rPr>
        <sz val="8"/>
        <rFont val="Times New Roman"/>
        <family val="1"/>
      </rPr>
      <t xml:space="preserve">  </t>
    </r>
    <r>
      <rPr>
        <b/>
        <sz val="8"/>
        <rFont val="Cambria"/>
        <family val="1"/>
      </rPr>
      <t>POWER</t>
    </r>
    <r>
      <rPr>
        <sz val="8"/>
        <rFont val="Times New Roman"/>
        <family val="1"/>
      </rPr>
      <t xml:space="preserve">  </t>
    </r>
    <r>
      <rPr>
        <b/>
        <sz val="8"/>
        <rFont val="Cambria"/>
        <family val="1"/>
      </rPr>
      <t>FACTOR</t>
    </r>
    <r>
      <rPr>
        <sz val="8"/>
        <rFont val="Times New Roman"/>
        <family val="1"/>
      </rPr>
      <t xml:space="preserve">  </t>
    </r>
    <r>
      <rPr>
        <sz val="8"/>
        <rFont val="Cambria"/>
        <family val="1"/>
      </rPr>
      <t>IMPROVEMENT</t>
    </r>
    <r>
      <rPr>
        <sz val="8"/>
        <rFont val="Times New Roman"/>
        <family val="1"/>
      </rPr>
      <t xml:space="preserve">  </t>
    </r>
    <r>
      <rPr>
        <sz val="8"/>
        <rFont val="Cambria"/>
        <family val="1"/>
      </rPr>
      <t>PANEL</t>
    </r>
    <r>
      <rPr>
        <sz val="8"/>
        <rFont val="Times New Roman"/>
        <family val="1"/>
      </rPr>
      <t xml:space="preserve">  </t>
    </r>
    <r>
      <rPr>
        <sz val="8"/>
        <rFont val="Cambria"/>
        <family val="1"/>
      </rPr>
      <t>including</t>
    </r>
    <r>
      <rPr>
        <sz val="8"/>
        <rFont val="Times New Roman"/>
        <family val="1"/>
      </rPr>
      <t xml:space="preserve">  </t>
    </r>
    <r>
      <rPr>
        <sz val="8"/>
        <rFont val="Cambria"/>
        <family val="1"/>
      </rPr>
      <t>Self</t>
    </r>
    <r>
      <rPr>
        <sz val="8"/>
        <rFont val="Times New Roman"/>
        <family val="1"/>
      </rPr>
      <t xml:space="preserve">  </t>
    </r>
    <r>
      <rPr>
        <sz val="8"/>
        <rFont val="Cambria"/>
        <family val="1"/>
      </rPr>
      <t>healing</t>
    </r>
    <r>
      <rPr>
        <sz val="8"/>
        <rFont val="Times New Roman"/>
        <family val="1"/>
      </rPr>
      <t xml:space="preserve"> </t>
    </r>
    <r>
      <rPr>
        <sz val="8"/>
        <rFont val="Cambria"/>
        <family val="1"/>
      </rPr>
      <t>type</t>
    </r>
    <r>
      <rPr>
        <sz val="8"/>
        <rFont val="Times New Roman"/>
        <family val="1"/>
      </rPr>
      <t xml:space="preserve">   </t>
    </r>
    <r>
      <rPr>
        <sz val="8"/>
        <rFont val="Cambria"/>
        <family val="1"/>
      </rPr>
      <t>MPP</t>
    </r>
    <r>
      <rPr>
        <sz val="8"/>
        <rFont val="Times New Roman"/>
        <family val="1"/>
      </rPr>
      <t xml:space="preserve">   </t>
    </r>
    <r>
      <rPr>
        <sz val="8"/>
        <rFont val="Cambria"/>
        <family val="1"/>
      </rPr>
      <t>shunt</t>
    </r>
    <r>
      <rPr>
        <sz val="8"/>
        <rFont val="Times New Roman"/>
        <family val="1"/>
      </rPr>
      <t xml:space="preserve">   </t>
    </r>
    <r>
      <rPr>
        <sz val="8"/>
        <rFont val="Cambria"/>
        <family val="1"/>
      </rPr>
      <t>capacitor(banks)</t>
    </r>
    <r>
      <rPr>
        <sz val="8"/>
        <rFont val="Times New Roman"/>
        <family val="1"/>
      </rPr>
      <t xml:space="preserve">   </t>
    </r>
    <r>
      <rPr>
        <sz val="8"/>
        <rFont val="Cambria"/>
        <family val="1"/>
      </rPr>
      <t>with</t>
    </r>
    <r>
      <rPr>
        <sz val="8"/>
        <rFont val="Times New Roman"/>
        <family val="1"/>
      </rPr>
      <t xml:space="preserve">   </t>
    </r>
    <r>
      <rPr>
        <sz val="8"/>
        <rFont val="Cambria"/>
        <family val="1"/>
      </rPr>
      <t>discharge</t>
    </r>
    <r>
      <rPr>
        <sz val="8"/>
        <rFont val="Times New Roman"/>
        <family val="1"/>
      </rPr>
      <t xml:space="preserve">   </t>
    </r>
    <r>
      <rPr>
        <sz val="8"/>
        <rFont val="Cambria"/>
        <family val="1"/>
      </rPr>
      <t>resistors,</t>
    </r>
    <r>
      <rPr>
        <sz val="8"/>
        <rFont val="Times New Roman"/>
        <family val="1"/>
      </rPr>
      <t xml:space="preserve">   </t>
    </r>
    <r>
      <rPr>
        <sz val="8"/>
        <rFont val="Cambria"/>
        <family val="1"/>
      </rPr>
      <t>pressure</t>
    </r>
    <r>
      <rPr>
        <sz val="8"/>
        <rFont val="Times New Roman"/>
        <family val="1"/>
      </rPr>
      <t xml:space="preserve">   </t>
    </r>
    <r>
      <rPr>
        <sz val="8"/>
        <rFont val="Cambria"/>
        <family val="1"/>
      </rPr>
      <t>sensitive</t>
    </r>
    <r>
      <rPr>
        <sz val="8"/>
        <rFont val="Times New Roman"/>
        <family val="1"/>
      </rPr>
      <t xml:space="preserve"> </t>
    </r>
    <r>
      <rPr>
        <sz val="8"/>
        <rFont val="Cambria"/>
        <family val="1"/>
      </rPr>
      <t>disconnector</t>
    </r>
    <r>
      <rPr>
        <sz val="8"/>
        <rFont val="Times New Roman"/>
        <family val="1"/>
      </rPr>
      <t xml:space="preserve">  </t>
    </r>
    <r>
      <rPr>
        <sz val="8"/>
        <rFont val="Cambria"/>
        <family val="1"/>
      </rPr>
      <t>(PSD),</t>
    </r>
    <r>
      <rPr>
        <sz val="8"/>
        <rFont val="Times New Roman"/>
        <family val="1"/>
      </rPr>
      <t xml:space="preserve">  </t>
    </r>
    <r>
      <rPr>
        <sz val="8"/>
        <rFont val="Cambria"/>
        <family val="1"/>
      </rPr>
      <t>Microprocessor</t>
    </r>
    <r>
      <rPr>
        <sz val="8"/>
        <rFont val="Times New Roman"/>
        <family val="1"/>
      </rPr>
      <t xml:space="preserve"> </t>
    </r>
    <r>
      <rPr>
        <sz val="8"/>
        <rFont val="Cambria"/>
        <family val="1"/>
      </rPr>
      <t>based</t>
    </r>
    <r>
      <rPr>
        <sz val="8"/>
        <rFont val="Times New Roman"/>
        <family val="1"/>
      </rPr>
      <t xml:space="preserve"> </t>
    </r>
    <r>
      <rPr>
        <sz val="8"/>
        <rFont val="Cambria"/>
        <family val="1"/>
      </rPr>
      <t>intelligent</t>
    </r>
    <r>
      <rPr>
        <sz val="8"/>
        <rFont val="Times New Roman"/>
        <family val="1"/>
      </rPr>
      <t xml:space="preserve">  </t>
    </r>
    <r>
      <rPr>
        <sz val="8"/>
        <rFont val="Cambria"/>
        <family val="1"/>
      </rPr>
      <t>power</t>
    </r>
    <r>
      <rPr>
        <sz val="8"/>
        <rFont val="Times New Roman"/>
        <family val="1"/>
      </rPr>
      <t xml:space="preserve"> </t>
    </r>
    <r>
      <rPr>
        <sz val="8"/>
        <rFont val="Cambria"/>
        <family val="1"/>
      </rPr>
      <t>factor</t>
    </r>
    <r>
      <rPr>
        <sz val="8"/>
        <rFont val="Times New Roman"/>
        <family val="1"/>
      </rPr>
      <t xml:space="preserve">  </t>
    </r>
    <r>
      <rPr>
        <sz val="8"/>
        <rFont val="Cambria"/>
        <family val="1"/>
      </rPr>
      <t>correction</t>
    </r>
    <r>
      <rPr>
        <sz val="8"/>
        <rFont val="Times New Roman"/>
        <family val="1"/>
      </rPr>
      <t xml:space="preserve"> </t>
    </r>
    <r>
      <rPr>
        <sz val="8"/>
        <rFont val="Cambria"/>
        <family val="1"/>
      </rPr>
      <t>relay,</t>
    </r>
    <r>
      <rPr>
        <sz val="8"/>
        <rFont val="Times New Roman"/>
        <family val="1"/>
      </rPr>
      <t xml:space="preserve"> </t>
    </r>
    <r>
      <rPr>
        <sz val="8"/>
        <rFont val="Cambria"/>
        <family val="1"/>
      </rPr>
      <t>self</t>
    </r>
    <r>
      <rPr>
        <sz val="8"/>
        <rFont val="Times New Roman"/>
        <family val="1"/>
      </rPr>
      <t xml:space="preserve">  </t>
    </r>
    <r>
      <rPr>
        <sz val="8"/>
        <rFont val="Cambria"/>
        <family val="1"/>
      </rPr>
      <t>analysing</t>
    </r>
    <r>
      <rPr>
        <sz val="8"/>
        <rFont val="Times New Roman"/>
        <family val="1"/>
      </rPr>
      <t xml:space="preserve">  </t>
    </r>
    <r>
      <rPr>
        <sz val="8"/>
        <rFont val="Cambria"/>
        <family val="1"/>
      </rPr>
      <t>auto</t>
    </r>
    <r>
      <rPr>
        <sz val="8"/>
        <rFont val="Times New Roman"/>
        <family val="1"/>
      </rPr>
      <t xml:space="preserve">  </t>
    </r>
    <r>
      <rPr>
        <sz val="8"/>
        <rFont val="Cambria"/>
        <family val="1"/>
      </rPr>
      <t>c/k</t>
    </r>
    <r>
      <rPr>
        <sz val="8"/>
        <rFont val="Times New Roman"/>
        <family val="1"/>
      </rPr>
      <t xml:space="preserve">  </t>
    </r>
    <r>
      <rPr>
        <sz val="8"/>
        <rFont val="Cambria"/>
        <family val="1"/>
      </rPr>
      <t>setting,</t>
    </r>
    <r>
      <rPr>
        <sz val="8"/>
        <rFont val="Times New Roman"/>
        <family val="1"/>
      </rPr>
      <t xml:space="preserve">  </t>
    </r>
    <r>
      <rPr>
        <sz val="8"/>
        <rFont val="Cambria"/>
        <family val="1"/>
      </rPr>
      <t>Thermal</t>
    </r>
    <r>
      <rPr>
        <sz val="8"/>
        <rFont val="Times New Roman"/>
        <family val="1"/>
      </rPr>
      <t xml:space="preserve">  </t>
    </r>
    <r>
      <rPr>
        <sz val="8"/>
        <rFont val="Cambria"/>
        <family val="1"/>
      </rPr>
      <t>over</t>
    </r>
    <r>
      <rPr>
        <sz val="8"/>
        <rFont val="Times New Roman"/>
        <family val="1"/>
      </rPr>
      <t xml:space="preserve">  </t>
    </r>
    <r>
      <rPr>
        <sz val="8"/>
        <rFont val="Cambria"/>
        <family val="1"/>
      </rPr>
      <t>load</t>
    </r>
    <r>
      <rPr>
        <sz val="8"/>
        <rFont val="Times New Roman"/>
        <family val="1"/>
      </rPr>
      <t xml:space="preserve">  </t>
    </r>
    <r>
      <rPr>
        <sz val="8"/>
        <rFont val="Cambria"/>
        <family val="1"/>
      </rPr>
      <t>relay</t>
    </r>
    <r>
      <rPr>
        <sz val="8"/>
        <rFont val="Times New Roman"/>
        <family val="1"/>
      </rPr>
      <t xml:space="preserve">  </t>
    </r>
    <r>
      <rPr>
        <sz val="8"/>
        <rFont val="Cambria"/>
        <family val="1"/>
      </rPr>
      <t>with</t>
    </r>
    <r>
      <rPr>
        <sz val="8"/>
        <rFont val="Times New Roman"/>
        <family val="1"/>
      </rPr>
      <t xml:space="preserve">  </t>
    </r>
    <r>
      <rPr>
        <sz val="8"/>
        <rFont val="Cambria"/>
        <family val="1"/>
      </rPr>
      <t>built</t>
    </r>
    <r>
      <rPr>
        <sz val="8"/>
        <rFont val="Times New Roman"/>
        <family val="1"/>
      </rPr>
      <t xml:space="preserve">  </t>
    </r>
    <r>
      <rPr>
        <sz val="8"/>
        <rFont val="Cambria"/>
        <family val="1"/>
      </rPr>
      <t>in</t>
    </r>
    <r>
      <rPr>
        <sz val="8"/>
        <rFont val="Times New Roman"/>
        <family val="1"/>
      </rPr>
      <t xml:space="preserve">  </t>
    </r>
    <r>
      <rPr>
        <sz val="8"/>
        <rFont val="Cambria"/>
        <family val="1"/>
      </rPr>
      <t>single</t>
    </r>
    <r>
      <rPr>
        <sz val="8"/>
        <rFont val="Times New Roman"/>
        <family val="1"/>
      </rPr>
      <t xml:space="preserve">  </t>
    </r>
    <r>
      <rPr>
        <sz val="8"/>
        <rFont val="Cambria"/>
        <family val="1"/>
      </rPr>
      <t>phase</t>
    </r>
    <r>
      <rPr>
        <sz val="8"/>
        <rFont val="Times New Roman"/>
        <family val="1"/>
      </rPr>
      <t xml:space="preserve"> </t>
    </r>
    <r>
      <rPr>
        <sz val="8"/>
        <rFont val="Cambria"/>
        <family val="1"/>
      </rPr>
      <t>protection</t>
    </r>
    <r>
      <rPr>
        <sz val="8"/>
        <rFont val="Times New Roman"/>
        <family val="1"/>
      </rPr>
      <t xml:space="preserve"> </t>
    </r>
    <r>
      <rPr>
        <sz val="8"/>
        <rFont val="Cambria"/>
        <family val="1"/>
      </rPr>
      <t>and</t>
    </r>
    <r>
      <rPr>
        <sz val="8"/>
        <rFont val="Times New Roman"/>
        <family val="1"/>
      </rPr>
      <t xml:space="preserve"> </t>
    </r>
    <r>
      <rPr>
        <sz val="8"/>
        <rFont val="Cambria"/>
        <family val="1"/>
      </rPr>
      <t>having</t>
    </r>
    <r>
      <rPr>
        <sz val="8"/>
        <rFont val="Times New Roman"/>
        <family val="1"/>
      </rPr>
      <t xml:space="preserve"> </t>
    </r>
    <r>
      <rPr>
        <sz val="8"/>
        <rFont val="Cambria"/>
        <family val="1"/>
      </rPr>
      <t>at</t>
    </r>
    <r>
      <rPr>
        <sz val="8"/>
        <rFont val="Times New Roman"/>
        <family val="1"/>
      </rPr>
      <t xml:space="preserve"> </t>
    </r>
    <r>
      <rPr>
        <sz val="8"/>
        <rFont val="Cambria"/>
        <family val="1"/>
      </rPr>
      <t>least</t>
    </r>
    <r>
      <rPr>
        <sz val="8"/>
        <rFont val="Times New Roman"/>
        <family val="1"/>
      </rPr>
      <t xml:space="preserve"> </t>
    </r>
    <r>
      <rPr>
        <sz val="8"/>
        <rFont val="Cambria"/>
        <family val="1"/>
      </rPr>
      <t>1NO</t>
    </r>
    <r>
      <rPr>
        <sz val="8"/>
        <rFont val="Times New Roman"/>
        <family val="1"/>
      </rPr>
      <t xml:space="preserve"> </t>
    </r>
    <r>
      <rPr>
        <sz val="8"/>
        <rFont val="Cambria"/>
        <family val="1"/>
      </rPr>
      <t>&amp;</t>
    </r>
    <r>
      <rPr>
        <sz val="8"/>
        <rFont val="Times New Roman"/>
        <family val="1"/>
      </rPr>
      <t xml:space="preserve"> </t>
    </r>
    <r>
      <rPr>
        <sz val="8"/>
        <rFont val="Cambria"/>
        <family val="1"/>
      </rPr>
      <t>1NC</t>
    </r>
    <r>
      <rPr>
        <sz val="8"/>
        <rFont val="Times New Roman"/>
        <family val="1"/>
      </rPr>
      <t xml:space="preserve"> </t>
    </r>
    <r>
      <rPr>
        <sz val="8"/>
        <rFont val="Cambria"/>
        <family val="1"/>
      </rPr>
      <t>contacts,</t>
    </r>
    <r>
      <rPr>
        <sz val="8"/>
        <rFont val="Times New Roman"/>
        <family val="1"/>
      </rPr>
      <t xml:space="preserve"> </t>
    </r>
    <r>
      <rPr>
        <sz val="8"/>
        <rFont val="Cambria"/>
        <family val="1"/>
      </rPr>
      <t>manual</t>
    </r>
    <r>
      <rPr>
        <sz val="8"/>
        <rFont val="Times New Roman"/>
        <family val="1"/>
      </rPr>
      <t xml:space="preserve"> </t>
    </r>
    <r>
      <rPr>
        <sz val="8"/>
        <rFont val="Cambria"/>
        <family val="1"/>
      </rPr>
      <t>/auto</t>
    </r>
    <r>
      <rPr>
        <sz val="8"/>
        <rFont val="Times New Roman"/>
        <family val="1"/>
      </rPr>
      <t xml:space="preserve"> </t>
    </r>
    <r>
      <rPr>
        <sz val="8"/>
        <rFont val="Cambria"/>
        <family val="1"/>
      </rPr>
      <t>reset</t>
    </r>
    <r>
      <rPr>
        <sz val="8"/>
        <rFont val="Times New Roman"/>
        <family val="1"/>
      </rPr>
      <t xml:space="preserve"> </t>
    </r>
    <r>
      <rPr>
        <sz val="8"/>
        <rFont val="Cambria"/>
        <family val="1"/>
      </rPr>
      <t>facility,</t>
    </r>
    <r>
      <rPr>
        <sz val="8"/>
        <rFont val="Times New Roman"/>
        <family val="1"/>
      </rPr>
      <t xml:space="preserve"> </t>
    </r>
    <r>
      <rPr>
        <sz val="8"/>
        <rFont val="Cambria"/>
        <family val="1"/>
      </rPr>
      <t>Push</t>
    </r>
    <r>
      <rPr>
        <sz val="8"/>
        <rFont val="Times New Roman"/>
        <family val="1"/>
      </rPr>
      <t xml:space="preserve"> </t>
    </r>
    <r>
      <rPr>
        <sz val="8"/>
        <rFont val="Cambria"/>
        <family val="1"/>
      </rPr>
      <t>button</t>
    </r>
    <r>
      <rPr>
        <sz val="8"/>
        <rFont val="Times New Roman"/>
        <family val="1"/>
      </rPr>
      <t xml:space="preserve"> </t>
    </r>
    <r>
      <rPr>
        <sz val="8"/>
        <rFont val="Cambria"/>
        <family val="1"/>
      </rPr>
      <t>actuators</t>
    </r>
    <r>
      <rPr>
        <sz val="8"/>
        <rFont val="Times New Roman"/>
        <family val="1"/>
      </rPr>
      <t xml:space="preserve"> </t>
    </r>
    <r>
      <rPr>
        <sz val="8"/>
        <rFont val="Cambria"/>
        <family val="1"/>
      </rPr>
      <t>and</t>
    </r>
    <r>
      <rPr>
        <sz val="8"/>
        <rFont val="Times New Roman"/>
        <family val="1"/>
      </rPr>
      <t xml:space="preserve"> </t>
    </r>
    <r>
      <rPr>
        <sz val="8"/>
        <rFont val="Cambria"/>
        <family val="1"/>
      </rPr>
      <t>contact</t>
    </r>
    <r>
      <rPr>
        <sz val="8"/>
        <rFont val="Times New Roman"/>
        <family val="1"/>
      </rPr>
      <t xml:space="preserve"> </t>
    </r>
    <r>
      <rPr>
        <sz val="8"/>
        <rFont val="Cambria"/>
        <family val="1"/>
      </rPr>
      <t>block</t>
    </r>
    <r>
      <rPr>
        <sz val="8"/>
        <rFont val="Times New Roman"/>
        <family val="1"/>
      </rPr>
      <t xml:space="preserve"> </t>
    </r>
    <r>
      <rPr>
        <sz val="8"/>
        <rFont val="Cambria"/>
        <family val="1"/>
      </rPr>
      <t>of</t>
    </r>
    <r>
      <rPr>
        <sz val="8"/>
        <rFont val="Times New Roman"/>
        <family val="1"/>
      </rPr>
      <t xml:space="preserve"> </t>
    </r>
    <r>
      <rPr>
        <sz val="8"/>
        <rFont val="Cambria"/>
        <family val="1"/>
      </rPr>
      <t>dia.</t>
    </r>
    <r>
      <rPr>
        <sz val="8"/>
        <rFont val="Times New Roman"/>
        <family val="1"/>
      </rPr>
      <t xml:space="preserve"> </t>
    </r>
    <r>
      <rPr>
        <sz val="8"/>
        <rFont val="Cambria"/>
        <family val="1"/>
      </rPr>
      <t>22.5</t>
    </r>
    <r>
      <rPr>
        <sz val="8"/>
        <rFont val="Times New Roman"/>
        <family val="1"/>
      </rPr>
      <t xml:space="preserve"> </t>
    </r>
    <r>
      <rPr>
        <sz val="8"/>
        <rFont val="Cambria"/>
        <family val="1"/>
      </rPr>
      <t>mm</t>
    </r>
    <r>
      <rPr>
        <sz val="8"/>
        <rFont val="Times New Roman"/>
        <family val="1"/>
      </rPr>
      <t xml:space="preserve"> </t>
    </r>
    <r>
      <rPr>
        <sz val="8"/>
        <rFont val="Cambria"/>
        <family val="1"/>
      </rPr>
      <t>with</t>
    </r>
    <r>
      <rPr>
        <sz val="8"/>
        <rFont val="Times New Roman"/>
        <family val="1"/>
      </rPr>
      <t xml:space="preserve"> </t>
    </r>
    <r>
      <rPr>
        <sz val="8"/>
        <rFont val="Cambria"/>
        <family val="1"/>
      </rPr>
      <t>all</t>
    </r>
    <r>
      <rPr>
        <sz val="8"/>
        <rFont val="Times New Roman"/>
        <family val="1"/>
      </rPr>
      <t xml:space="preserve"> </t>
    </r>
    <r>
      <rPr>
        <sz val="8"/>
        <rFont val="Cambria"/>
        <family val="1"/>
      </rPr>
      <t>accessories</t>
    </r>
    <r>
      <rPr>
        <sz val="8"/>
        <rFont val="Times New Roman"/>
        <family val="1"/>
      </rPr>
      <t xml:space="preserve"> </t>
    </r>
    <r>
      <rPr>
        <sz val="8"/>
        <rFont val="Cambria"/>
        <family val="1"/>
      </rPr>
      <t>as</t>
    </r>
    <r>
      <rPr>
        <sz val="8"/>
        <rFont val="Times New Roman"/>
        <family val="1"/>
      </rPr>
      <t xml:space="preserve"> </t>
    </r>
    <r>
      <rPr>
        <sz val="8"/>
        <rFont val="Cambria"/>
        <family val="1"/>
      </rPr>
      <t>required.</t>
    </r>
  </si>
  <si>
    <r>
      <rPr>
        <b/>
        <sz val="8"/>
        <rFont val="Cambria"/>
        <family val="1"/>
      </rPr>
      <t>Distribution</t>
    </r>
    <r>
      <rPr>
        <sz val="8"/>
        <rFont val="Times New Roman"/>
        <family val="1"/>
      </rPr>
      <t xml:space="preserve">  </t>
    </r>
    <r>
      <rPr>
        <b/>
        <sz val="8"/>
        <rFont val="Cambria"/>
        <family val="1"/>
      </rPr>
      <t>Feeder</t>
    </r>
    <r>
      <rPr>
        <sz val="8"/>
        <rFont val="Times New Roman"/>
        <family val="1"/>
      </rPr>
      <t xml:space="preserve">  </t>
    </r>
    <r>
      <rPr>
        <b/>
        <sz val="8"/>
        <rFont val="Cambria"/>
        <family val="1"/>
      </rPr>
      <t>Pillar</t>
    </r>
    <r>
      <rPr>
        <sz val="8"/>
        <rFont val="Times New Roman"/>
        <family val="1"/>
      </rPr>
      <t xml:space="preserve">  </t>
    </r>
    <r>
      <rPr>
        <sz val="8"/>
        <rFont val="Cambria"/>
        <family val="1"/>
      </rPr>
      <t>including</t>
    </r>
    <r>
      <rPr>
        <sz val="8"/>
        <rFont val="Times New Roman"/>
        <family val="1"/>
      </rPr>
      <t xml:space="preserve">  </t>
    </r>
    <r>
      <rPr>
        <sz val="8"/>
        <rFont val="Cambria"/>
        <family val="1"/>
      </rPr>
      <t>wall/floor</t>
    </r>
    <r>
      <rPr>
        <sz val="8"/>
        <rFont val="Times New Roman"/>
        <family val="1"/>
      </rPr>
      <t xml:space="preserve">  </t>
    </r>
    <r>
      <rPr>
        <sz val="8"/>
        <rFont val="Cambria"/>
        <family val="1"/>
      </rPr>
      <t>mounted</t>
    </r>
    <r>
      <rPr>
        <sz val="8"/>
        <rFont val="Times New Roman"/>
        <family val="1"/>
      </rPr>
      <t xml:space="preserve">  </t>
    </r>
    <r>
      <rPr>
        <sz val="8"/>
        <rFont val="Cambria"/>
        <family val="1"/>
      </rPr>
      <t>powder</t>
    </r>
    <r>
      <rPr>
        <sz val="8"/>
        <rFont val="Times New Roman"/>
        <family val="1"/>
      </rPr>
      <t xml:space="preserve">  </t>
    </r>
    <r>
      <rPr>
        <sz val="8"/>
        <rFont val="Cambria"/>
        <family val="1"/>
      </rPr>
      <t>coated</t>
    </r>
    <r>
      <rPr>
        <sz val="8"/>
        <rFont val="Times New Roman"/>
        <family val="1"/>
      </rPr>
      <t xml:space="preserve">  </t>
    </r>
    <r>
      <rPr>
        <sz val="8"/>
        <rFont val="Cambria"/>
        <family val="1"/>
      </rPr>
      <t>cubicle</t>
    </r>
    <r>
      <rPr>
        <sz val="8"/>
        <rFont val="Times New Roman"/>
        <family val="1"/>
      </rPr>
      <t xml:space="preserve"> </t>
    </r>
    <r>
      <rPr>
        <sz val="8"/>
        <rFont val="Cambria"/>
        <family val="1"/>
      </rPr>
      <t>board</t>
    </r>
    <r>
      <rPr>
        <sz val="8"/>
        <rFont val="Times New Roman"/>
        <family val="1"/>
      </rPr>
      <t xml:space="preserve">  </t>
    </r>
    <r>
      <rPr>
        <sz val="8"/>
        <rFont val="Cambria"/>
        <family val="1"/>
      </rPr>
      <t>out</t>
    </r>
    <r>
      <rPr>
        <sz val="8"/>
        <rFont val="Times New Roman"/>
        <family val="1"/>
      </rPr>
      <t xml:space="preserve">  </t>
    </r>
    <r>
      <rPr>
        <sz val="8"/>
        <rFont val="Cambria"/>
        <family val="1"/>
      </rPr>
      <t>of</t>
    </r>
    <r>
      <rPr>
        <sz val="8"/>
        <rFont val="Times New Roman"/>
        <family val="1"/>
      </rPr>
      <t xml:space="preserve">  </t>
    </r>
    <r>
      <rPr>
        <sz val="8"/>
        <rFont val="Cambria"/>
        <family val="1"/>
      </rPr>
      <t>2</t>
    </r>
    <r>
      <rPr>
        <sz val="8"/>
        <rFont val="Times New Roman"/>
        <family val="1"/>
      </rPr>
      <t xml:space="preserve">  </t>
    </r>
    <r>
      <rPr>
        <sz val="8"/>
        <rFont val="Cambria"/>
        <family val="1"/>
      </rPr>
      <t>mm</t>
    </r>
    <r>
      <rPr>
        <sz val="8"/>
        <rFont val="Times New Roman"/>
        <family val="1"/>
      </rPr>
      <t xml:space="preserve">  </t>
    </r>
    <r>
      <rPr>
        <sz val="8"/>
        <rFont val="Cambria"/>
        <family val="1"/>
      </rPr>
      <t>thick</t>
    </r>
    <r>
      <rPr>
        <sz val="8"/>
        <rFont val="Times New Roman"/>
        <family val="1"/>
      </rPr>
      <t xml:space="preserve">  </t>
    </r>
    <r>
      <rPr>
        <sz val="8"/>
        <rFont val="Cambria"/>
        <family val="1"/>
      </rPr>
      <t>CRCA</t>
    </r>
    <r>
      <rPr>
        <sz val="8"/>
        <rFont val="Times New Roman"/>
        <family val="1"/>
      </rPr>
      <t xml:space="preserve">  </t>
    </r>
    <r>
      <rPr>
        <sz val="8"/>
        <rFont val="Cambria"/>
        <family val="1"/>
      </rPr>
      <t>MS</t>
    </r>
    <r>
      <rPr>
        <sz val="8"/>
        <rFont val="Times New Roman"/>
        <family val="1"/>
      </rPr>
      <t xml:space="preserve">  </t>
    </r>
    <r>
      <rPr>
        <sz val="8"/>
        <rFont val="Cambria"/>
        <family val="1"/>
      </rPr>
      <t>sheet</t>
    </r>
    <r>
      <rPr>
        <sz val="8"/>
        <rFont val="Times New Roman"/>
        <family val="1"/>
      </rPr>
      <t xml:space="preserve">  </t>
    </r>
    <r>
      <rPr>
        <sz val="8"/>
        <rFont val="Cambria"/>
        <family val="1"/>
      </rPr>
      <t>steel</t>
    </r>
    <r>
      <rPr>
        <sz val="8"/>
        <rFont val="Times New Roman"/>
        <family val="1"/>
      </rPr>
      <t xml:space="preserve">  </t>
    </r>
    <r>
      <rPr>
        <sz val="8"/>
        <rFont val="Cambria"/>
        <family val="1"/>
      </rPr>
      <t>having</t>
    </r>
    <r>
      <rPr>
        <sz val="8"/>
        <rFont val="Times New Roman"/>
        <family val="1"/>
      </rPr>
      <t xml:space="preserve">  </t>
    </r>
    <r>
      <rPr>
        <sz val="8"/>
        <rFont val="Cambria"/>
        <family val="1"/>
      </rPr>
      <t>mountings</t>
    </r>
    <r>
      <rPr>
        <sz val="8"/>
        <rFont val="Times New Roman"/>
        <family val="1"/>
      </rPr>
      <t xml:space="preserve">  </t>
    </r>
    <r>
      <rPr>
        <sz val="8"/>
        <rFont val="Cambria"/>
        <family val="1"/>
      </rPr>
      <t>in</t>
    </r>
    <r>
      <rPr>
        <sz val="8"/>
        <rFont val="Times New Roman"/>
        <family val="1"/>
      </rPr>
      <t xml:space="preserve">  </t>
    </r>
    <r>
      <rPr>
        <sz val="8"/>
        <rFont val="Cambria"/>
        <family val="1"/>
      </rPr>
      <t>suitable</t>
    </r>
    <r>
      <rPr>
        <sz val="8"/>
        <rFont val="Times New Roman"/>
        <family val="1"/>
      </rPr>
      <t xml:space="preserve">  </t>
    </r>
    <r>
      <rPr>
        <sz val="8"/>
        <rFont val="Cambria"/>
        <family val="1"/>
      </rPr>
      <t>size</t>
    </r>
    <r>
      <rPr>
        <sz val="8"/>
        <rFont val="Times New Roman"/>
        <family val="1"/>
      </rPr>
      <t xml:space="preserve"> </t>
    </r>
    <r>
      <rPr>
        <sz val="8"/>
        <rFont val="Cambria"/>
        <family val="1"/>
      </rPr>
      <t>compartments,</t>
    </r>
    <r>
      <rPr>
        <sz val="8"/>
        <rFont val="Times New Roman"/>
        <family val="1"/>
      </rPr>
      <t xml:space="preserve"> </t>
    </r>
    <r>
      <rPr>
        <sz val="8"/>
        <rFont val="Cambria"/>
        <family val="1"/>
      </rPr>
      <t>locking</t>
    </r>
    <r>
      <rPr>
        <sz val="8"/>
        <rFont val="Times New Roman"/>
        <family val="1"/>
      </rPr>
      <t xml:space="preserve"> </t>
    </r>
    <r>
      <rPr>
        <sz val="8"/>
        <rFont val="Cambria"/>
        <family val="1"/>
      </rPr>
      <t>arrangement</t>
    </r>
    <r>
      <rPr>
        <sz val="8"/>
        <rFont val="Times New Roman"/>
        <family val="1"/>
      </rPr>
      <t xml:space="preserve"> </t>
    </r>
    <r>
      <rPr>
        <sz val="8"/>
        <rFont val="Cambria"/>
        <family val="1"/>
      </rPr>
      <t>for</t>
    </r>
    <r>
      <rPr>
        <sz val="8"/>
        <rFont val="Times New Roman"/>
        <family val="1"/>
      </rPr>
      <t xml:space="preserve"> </t>
    </r>
    <r>
      <rPr>
        <sz val="8"/>
        <rFont val="Cambria"/>
        <family val="1"/>
      </rPr>
      <t>each</t>
    </r>
    <r>
      <rPr>
        <sz val="8"/>
        <rFont val="Times New Roman"/>
        <family val="1"/>
      </rPr>
      <t xml:space="preserve"> </t>
    </r>
    <r>
      <rPr>
        <sz val="8"/>
        <rFont val="Cambria"/>
        <family val="1"/>
      </rPr>
      <t>compartment</t>
    </r>
    <r>
      <rPr>
        <sz val="8"/>
        <rFont val="Times New Roman"/>
        <family val="1"/>
      </rPr>
      <t xml:space="preserve"> </t>
    </r>
    <r>
      <rPr>
        <sz val="8"/>
        <rFont val="Cambria"/>
        <family val="1"/>
      </rPr>
      <t>including</t>
    </r>
    <r>
      <rPr>
        <sz val="8"/>
        <rFont val="Times New Roman"/>
        <family val="1"/>
      </rPr>
      <t xml:space="preserve"> </t>
    </r>
    <r>
      <rPr>
        <sz val="8"/>
        <rFont val="Cambria"/>
        <family val="1"/>
      </rPr>
      <t>interconnection</t>
    </r>
    <r>
      <rPr>
        <sz val="8"/>
        <rFont val="Times New Roman"/>
        <family val="1"/>
      </rPr>
      <t xml:space="preserve"> </t>
    </r>
    <r>
      <rPr>
        <sz val="8"/>
        <rFont val="Cambria"/>
        <family val="1"/>
      </rPr>
      <t>with</t>
    </r>
    <r>
      <rPr>
        <sz val="8"/>
        <rFont val="Times New Roman"/>
        <family val="1"/>
      </rPr>
      <t xml:space="preserve">  </t>
    </r>
    <r>
      <rPr>
        <sz val="8"/>
        <rFont val="Cambria"/>
        <family val="1"/>
      </rPr>
      <t>1100</t>
    </r>
    <r>
      <rPr>
        <sz val="8"/>
        <rFont val="Times New Roman"/>
        <family val="1"/>
      </rPr>
      <t xml:space="preserve">  </t>
    </r>
    <r>
      <rPr>
        <sz val="8"/>
        <rFont val="Cambria"/>
        <family val="1"/>
      </rPr>
      <t>V</t>
    </r>
    <r>
      <rPr>
        <sz val="8"/>
        <rFont val="Times New Roman"/>
        <family val="1"/>
      </rPr>
      <t xml:space="preserve">  </t>
    </r>
    <r>
      <rPr>
        <sz val="8"/>
        <rFont val="Cambria"/>
        <family val="1"/>
      </rPr>
      <t>grade</t>
    </r>
    <r>
      <rPr>
        <sz val="8"/>
        <rFont val="Times New Roman"/>
        <family val="1"/>
      </rPr>
      <t xml:space="preserve">  </t>
    </r>
    <r>
      <rPr>
        <sz val="8"/>
        <rFont val="Cambria"/>
        <family val="1"/>
      </rPr>
      <t>PVC</t>
    </r>
    <r>
      <rPr>
        <sz val="8"/>
        <rFont val="Times New Roman"/>
        <family val="1"/>
      </rPr>
      <t xml:space="preserve">  </t>
    </r>
    <r>
      <rPr>
        <sz val="8"/>
        <rFont val="Cambria"/>
        <family val="1"/>
      </rPr>
      <t>insulated</t>
    </r>
    <r>
      <rPr>
        <sz val="8"/>
        <rFont val="Times New Roman"/>
        <family val="1"/>
      </rPr>
      <t xml:space="preserve">  </t>
    </r>
    <r>
      <rPr>
        <sz val="8"/>
        <rFont val="Cambria"/>
        <family val="1"/>
      </rPr>
      <t>copper</t>
    </r>
    <r>
      <rPr>
        <sz val="8"/>
        <rFont val="Times New Roman"/>
        <family val="1"/>
      </rPr>
      <t xml:space="preserve">  </t>
    </r>
    <r>
      <rPr>
        <sz val="8"/>
        <rFont val="Cambria"/>
        <family val="1"/>
      </rPr>
      <t>conductor</t>
    </r>
    <r>
      <rPr>
        <sz val="8"/>
        <rFont val="Times New Roman"/>
        <family val="1"/>
      </rPr>
      <t xml:space="preserve">  </t>
    </r>
    <r>
      <rPr>
        <sz val="8"/>
        <rFont val="Cambria"/>
        <family val="1"/>
      </rPr>
      <t>of</t>
    </r>
    <r>
      <rPr>
        <sz val="8"/>
        <rFont val="Times New Roman"/>
        <family val="1"/>
      </rPr>
      <t xml:space="preserve">  </t>
    </r>
    <r>
      <rPr>
        <sz val="8"/>
        <rFont val="Cambria"/>
        <family val="1"/>
      </rPr>
      <t>size</t>
    </r>
    <r>
      <rPr>
        <sz val="8"/>
        <rFont val="Times New Roman"/>
        <family val="1"/>
      </rPr>
      <t xml:space="preserve">  </t>
    </r>
    <r>
      <rPr>
        <sz val="8"/>
        <rFont val="Cambria"/>
        <family val="1"/>
      </rPr>
      <t>as</t>
    </r>
    <r>
      <rPr>
        <sz val="8"/>
        <rFont val="Times New Roman"/>
        <family val="1"/>
      </rPr>
      <t xml:space="preserve">  </t>
    </r>
    <r>
      <rPr>
        <sz val="8"/>
        <rFont val="Cambria"/>
        <family val="1"/>
      </rPr>
      <t>that</t>
    </r>
    <r>
      <rPr>
        <sz val="8"/>
        <rFont val="Times New Roman"/>
        <family val="1"/>
      </rPr>
      <t xml:space="preserve">  </t>
    </r>
    <r>
      <rPr>
        <sz val="8"/>
        <rFont val="Cambria"/>
        <family val="1"/>
      </rPr>
      <t>of</t>
    </r>
    <r>
      <rPr>
        <sz val="8"/>
        <rFont val="Times New Roman"/>
        <family val="1"/>
      </rPr>
      <t xml:space="preserve">  </t>
    </r>
    <r>
      <rPr>
        <sz val="8"/>
        <rFont val="Cambria"/>
        <family val="1"/>
      </rPr>
      <t>submains,</t>
    </r>
    <r>
      <rPr>
        <sz val="8"/>
        <rFont val="Times New Roman"/>
        <family val="1"/>
      </rPr>
      <t xml:space="preserve"> </t>
    </r>
    <r>
      <rPr>
        <sz val="8"/>
        <rFont val="Cambria"/>
        <family val="1"/>
      </rPr>
      <t>labelling,</t>
    </r>
    <r>
      <rPr>
        <sz val="8"/>
        <rFont val="Times New Roman"/>
        <family val="1"/>
      </rPr>
      <t xml:space="preserve">  </t>
    </r>
    <r>
      <rPr>
        <sz val="8"/>
        <rFont val="Cambria"/>
        <family val="1"/>
      </rPr>
      <t>earthing,</t>
    </r>
    <r>
      <rPr>
        <sz val="8"/>
        <rFont val="Times New Roman"/>
        <family val="1"/>
      </rPr>
      <t xml:space="preserve"> </t>
    </r>
    <r>
      <rPr>
        <sz val="8"/>
        <rFont val="Cambria"/>
        <family val="1"/>
      </rPr>
      <t>brass</t>
    </r>
    <r>
      <rPr>
        <sz val="8"/>
        <rFont val="Times New Roman"/>
        <family val="1"/>
      </rPr>
      <t xml:space="preserve"> </t>
    </r>
    <r>
      <rPr>
        <sz val="8"/>
        <rFont val="Cambria"/>
        <family val="1"/>
      </rPr>
      <t>compression</t>
    </r>
    <r>
      <rPr>
        <sz val="8"/>
        <rFont val="Times New Roman"/>
        <family val="1"/>
      </rPr>
      <t xml:space="preserve"> </t>
    </r>
    <r>
      <rPr>
        <sz val="8"/>
        <rFont val="Cambria"/>
        <family val="1"/>
      </rPr>
      <t>glands</t>
    </r>
    <r>
      <rPr>
        <sz val="8"/>
        <rFont val="Times New Roman"/>
        <family val="1"/>
      </rPr>
      <t xml:space="preserve">  </t>
    </r>
    <r>
      <rPr>
        <sz val="8"/>
        <rFont val="Cambria"/>
        <family val="1"/>
      </rPr>
      <t>for</t>
    </r>
    <r>
      <rPr>
        <sz val="8"/>
        <rFont val="Times New Roman"/>
        <family val="1"/>
      </rPr>
      <t xml:space="preserve"> </t>
    </r>
    <r>
      <rPr>
        <sz val="8"/>
        <rFont val="Cambria"/>
        <family val="1"/>
      </rPr>
      <t>incoming</t>
    </r>
    <r>
      <rPr>
        <sz val="8"/>
        <rFont val="Times New Roman"/>
        <family val="1"/>
      </rPr>
      <t xml:space="preserve">  </t>
    </r>
    <r>
      <rPr>
        <sz val="8"/>
        <rFont val="Cambria"/>
        <family val="1"/>
      </rPr>
      <t>and</t>
    </r>
    <r>
      <rPr>
        <sz val="8"/>
        <rFont val="Times New Roman"/>
        <family val="1"/>
      </rPr>
      <t xml:space="preserve">  </t>
    </r>
    <r>
      <rPr>
        <sz val="8"/>
        <rFont val="Cambria"/>
        <family val="1"/>
      </rPr>
      <t>outgoing</t>
    </r>
    <r>
      <rPr>
        <sz val="8"/>
        <rFont val="Times New Roman"/>
        <family val="1"/>
      </rPr>
      <t xml:space="preserve">  </t>
    </r>
    <r>
      <rPr>
        <sz val="8"/>
        <rFont val="Cambria"/>
        <family val="1"/>
      </rPr>
      <t>cables</t>
    </r>
    <r>
      <rPr>
        <sz val="8"/>
        <rFont val="Times New Roman"/>
        <family val="1"/>
      </rPr>
      <t xml:space="preserve"> </t>
    </r>
    <r>
      <rPr>
        <sz val="8"/>
        <rFont val="Cambria"/>
        <family val="1"/>
      </rPr>
      <t>and</t>
    </r>
    <r>
      <rPr>
        <sz val="8"/>
        <rFont val="Times New Roman"/>
        <family val="1"/>
      </rPr>
      <t xml:space="preserve"> </t>
    </r>
    <r>
      <rPr>
        <sz val="8"/>
        <rFont val="Cambria"/>
        <family val="1"/>
      </rPr>
      <t>suitable</t>
    </r>
    <r>
      <rPr>
        <sz val="8"/>
        <rFont val="Times New Roman"/>
        <family val="1"/>
      </rPr>
      <t xml:space="preserve">  </t>
    </r>
    <r>
      <rPr>
        <sz val="8"/>
        <rFont val="Cambria"/>
        <family val="1"/>
      </rPr>
      <t>adapter</t>
    </r>
    <r>
      <rPr>
        <sz val="8"/>
        <rFont val="Times New Roman"/>
        <family val="1"/>
      </rPr>
      <t xml:space="preserve">  </t>
    </r>
    <r>
      <rPr>
        <sz val="8"/>
        <rFont val="Cambria"/>
        <family val="1"/>
      </rPr>
      <t>box</t>
    </r>
    <r>
      <rPr>
        <sz val="8"/>
        <rFont val="Times New Roman"/>
        <family val="1"/>
      </rPr>
      <t xml:space="preserve">  </t>
    </r>
    <r>
      <rPr>
        <sz val="8"/>
        <rFont val="Cambria"/>
        <family val="1"/>
      </rPr>
      <t>for</t>
    </r>
    <r>
      <rPr>
        <sz val="8"/>
        <rFont val="Times New Roman"/>
        <family val="1"/>
      </rPr>
      <t xml:space="preserve">  </t>
    </r>
    <r>
      <rPr>
        <sz val="8"/>
        <rFont val="Cambria"/>
        <family val="1"/>
      </rPr>
      <t>outgoing</t>
    </r>
    <r>
      <rPr>
        <sz val="8"/>
        <rFont val="Times New Roman"/>
        <family val="1"/>
      </rPr>
      <t xml:space="preserve">  </t>
    </r>
    <r>
      <rPr>
        <sz val="8"/>
        <rFont val="Cambria"/>
        <family val="1"/>
      </rPr>
      <t>submains</t>
    </r>
    <r>
      <rPr>
        <sz val="8"/>
        <rFont val="Times New Roman"/>
        <family val="1"/>
      </rPr>
      <t xml:space="preserve">  </t>
    </r>
    <r>
      <rPr>
        <sz val="8"/>
        <rFont val="Cambria"/>
        <family val="1"/>
      </rPr>
      <t>also</t>
    </r>
    <r>
      <rPr>
        <sz val="8"/>
        <rFont val="Times New Roman"/>
        <family val="1"/>
      </rPr>
      <t xml:space="preserve">  </t>
    </r>
    <r>
      <rPr>
        <sz val="8"/>
        <rFont val="Cambria"/>
        <family val="1"/>
      </rPr>
      <t>including</t>
    </r>
    <r>
      <rPr>
        <sz val="8"/>
        <rFont val="Times New Roman"/>
        <family val="1"/>
      </rPr>
      <t xml:space="preserve">  </t>
    </r>
    <r>
      <rPr>
        <sz val="8"/>
        <rFont val="Cambria"/>
        <family val="1"/>
      </rPr>
      <t>MCCB's/MCB,</t>
    </r>
    <r>
      <rPr>
        <sz val="8"/>
        <rFont val="Times New Roman"/>
        <family val="1"/>
      </rPr>
      <t xml:space="preserve">  </t>
    </r>
    <r>
      <rPr>
        <sz val="8"/>
        <rFont val="Cambria"/>
        <family val="1"/>
      </rPr>
      <t>Bus-Bar</t>
    </r>
    <r>
      <rPr>
        <sz val="8"/>
        <rFont val="Times New Roman"/>
        <family val="1"/>
      </rPr>
      <t xml:space="preserve"> </t>
    </r>
    <r>
      <rPr>
        <sz val="8"/>
        <rFont val="Cambria"/>
        <family val="1"/>
      </rPr>
      <t>Metering</t>
    </r>
    <r>
      <rPr>
        <sz val="8"/>
        <rFont val="Times New Roman"/>
        <family val="1"/>
      </rPr>
      <t xml:space="preserve"> </t>
    </r>
    <r>
      <rPr>
        <sz val="8"/>
        <rFont val="Cambria"/>
        <family val="1"/>
      </rPr>
      <t>Equipments,</t>
    </r>
    <r>
      <rPr>
        <sz val="8"/>
        <rFont val="Times New Roman"/>
        <family val="1"/>
      </rPr>
      <t xml:space="preserve"> </t>
    </r>
    <r>
      <rPr>
        <sz val="8"/>
        <rFont val="Cambria"/>
        <family val="1"/>
      </rPr>
      <t>Change-Over</t>
    </r>
    <r>
      <rPr>
        <sz val="8"/>
        <rFont val="Times New Roman"/>
        <family val="1"/>
      </rPr>
      <t xml:space="preserve"> </t>
    </r>
    <r>
      <rPr>
        <sz val="8"/>
        <rFont val="Cambria"/>
        <family val="1"/>
      </rPr>
      <t>Panel</t>
    </r>
    <r>
      <rPr>
        <sz val="8"/>
        <rFont val="Times New Roman"/>
        <family val="1"/>
      </rPr>
      <t xml:space="preserve"> </t>
    </r>
    <r>
      <rPr>
        <sz val="8"/>
        <rFont val="Cambria"/>
        <family val="1"/>
      </rPr>
      <t>etc.</t>
    </r>
  </si>
  <si>
    <r>
      <rPr>
        <sz val="8"/>
        <rFont val="Cambria"/>
        <family val="1"/>
      </rPr>
      <t>Supply</t>
    </r>
    <r>
      <rPr>
        <sz val="8"/>
        <rFont val="Times New Roman"/>
        <family val="1"/>
      </rPr>
      <t xml:space="preserve">  </t>
    </r>
    <r>
      <rPr>
        <sz val="8"/>
        <rFont val="Cambria"/>
        <family val="1"/>
      </rPr>
      <t>,</t>
    </r>
    <r>
      <rPr>
        <sz val="8"/>
        <rFont val="Times New Roman"/>
        <family val="1"/>
      </rPr>
      <t xml:space="preserve">  </t>
    </r>
    <r>
      <rPr>
        <sz val="8"/>
        <rFont val="Cambria"/>
        <family val="1"/>
      </rPr>
      <t>Laying</t>
    </r>
    <r>
      <rPr>
        <sz val="8"/>
        <rFont val="Times New Roman"/>
        <family val="1"/>
      </rPr>
      <t xml:space="preserve">  </t>
    </r>
    <r>
      <rPr>
        <sz val="8"/>
        <rFont val="Cambria"/>
        <family val="1"/>
      </rPr>
      <t>&amp;</t>
    </r>
    <r>
      <rPr>
        <sz val="8"/>
        <rFont val="Times New Roman"/>
        <family val="1"/>
      </rPr>
      <t xml:space="preserve">  </t>
    </r>
    <r>
      <rPr>
        <sz val="8"/>
        <rFont val="Cambria"/>
        <family val="1"/>
      </rPr>
      <t>Termination</t>
    </r>
    <r>
      <rPr>
        <sz val="8"/>
        <rFont val="Times New Roman"/>
        <family val="1"/>
      </rPr>
      <t xml:space="preserve">  </t>
    </r>
    <r>
      <rPr>
        <sz val="8"/>
        <rFont val="Cambria"/>
        <family val="1"/>
      </rPr>
      <t>of</t>
    </r>
    <r>
      <rPr>
        <sz val="8"/>
        <rFont val="Times New Roman"/>
        <family val="1"/>
      </rPr>
      <t xml:space="preserve">  </t>
    </r>
    <r>
      <rPr>
        <sz val="8"/>
        <rFont val="Cambria"/>
        <family val="1"/>
      </rPr>
      <t>1.1KV</t>
    </r>
    <r>
      <rPr>
        <sz val="8"/>
        <rFont val="Times New Roman"/>
        <family val="1"/>
      </rPr>
      <t xml:space="preserve">  </t>
    </r>
    <r>
      <rPr>
        <sz val="8"/>
        <rFont val="Cambria"/>
        <family val="1"/>
      </rPr>
      <t>grade</t>
    </r>
    <r>
      <rPr>
        <sz val="8"/>
        <rFont val="Times New Roman"/>
        <family val="1"/>
      </rPr>
      <t xml:space="preserve">  </t>
    </r>
    <r>
      <rPr>
        <sz val="8"/>
        <rFont val="Cambria"/>
        <family val="1"/>
      </rPr>
      <t>low/High</t>
    </r>
    <r>
      <rPr>
        <sz val="8"/>
        <rFont val="Times New Roman"/>
        <family val="1"/>
      </rPr>
      <t xml:space="preserve">  </t>
    </r>
    <r>
      <rPr>
        <sz val="8"/>
        <rFont val="Cambria"/>
        <family val="1"/>
      </rPr>
      <t>voltage</t>
    </r>
    <r>
      <rPr>
        <sz val="8"/>
        <rFont val="Times New Roman"/>
        <family val="1"/>
      </rPr>
      <t xml:space="preserve">  </t>
    </r>
    <r>
      <rPr>
        <sz val="8"/>
        <rFont val="Cambria"/>
        <family val="1"/>
      </rPr>
      <t>XLPE</t>
    </r>
    <r>
      <rPr>
        <sz val="8"/>
        <rFont val="Times New Roman"/>
        <family val="1"/>
      </rPr>
      <t xml:space="preserve">  </t>
    </r>
    <r>
      <rPr>
        <sz val="8"/>
        <rFont val="Cambria"/>
        <family val="1"/>
      </rPr>
      <t>INSULATED</t>
    </r>
    <r>
      <rPr>
        <sz val="8"/>
        <rFont val="Times New Roman"/>
        <family val="1"/>
      </rPr>
      <t xml:space="preserve"> </t>
    </r>
    <r>
      <rPr>
        <b/>
        <sz val="8"/>
        <rFont val="Cambria"/>
        <family val="1"/>
      </rPr>
      <t>Armoured</t>
    </r>
    <r>
      <rPr>
        <sz val="8"/>
        <rFont val="Times New Roman"/>
        <family val="1"/>
      </rPr>
      <t xml:space="preserve"> </t>
    </r>
    <r>
      <rPr>
        <b/>
        <sz val="8"/>
        <rFont val="Cambria"/>
        <family val="1"/>
      </rPr>
      <t>power</t>
    </r>
    <r>
      <rPr>
        <sz val="8"/>
        <rFont val="Times New Roman"/>
        <family val="1"/>
      </rPr>
      <t xml:space="preserve"> </t>
    </r>
    <r>
      <rPr>
        <b/>
        <sz val="8"/>
        <rFont val="Cambria"/>
        <family val="1"/>
      </rPr>
      <t>cables</t>
    </r>
    <r>
      <rPr>
        <sz val="8"/>
        <rFont val="Times New Roman"/>
        <family val="1"/>
      </rPr>
      <t xml:space="preserve"> </t>
    </r>
    <r>
      <rPr>
        <sz val="8"/>
        <rFont val="Cambria"/>
        <family val="1"/>
      </rPr>
      <t>with</t>
    </r>
    <r>
      <rPr>
        <sz val="8"/>
        <rFont val="Times New Roman"/>
        <family val="1"/>
      </rPr>
      <t xml:space="preserve"> </t>
    </r>
    <r>
      <rPr>
        <sz val="8"/>
        <rFont val="Cambria"/>
        <family val="1"/>
      </rPr>
      <t>Aluminum</t>
    </r>
    <r>
      <rPr>
        <sz val="8"/>
        <rFont val="Times New Roman"/>
        <family val="1"/>
      </rPr>
      <t xml:space="preserve"> </t>
    </r>
    <r>
      <rPr>
        <sz val="8"/>
        <rFont val="Cambria"/>
        <family val="1"/>
      </rPr>
      <t>conductor</t>
    </r>
    <r>
      <rPr>
        <sz val="8"/>
        <rFont val="Times New Roman"/>
        <family val="1"/>
      </rPr>
      <t xml:space="preserve"> </t>
    </r>
    <r>
      <rPr>
        <sz val="8"/>
        <rFont val="Cambria"/>
        <family val="1"/>
      </rPr>
      <t>class</t>
    </r>
    <r>
      <rPr>
        <sz val="8"/>
        <rFont val="Times New Roman"/>
        <family val="1"/>
      </rPr>
      <t xml:space="preserve"> </t>
    </r>
    <r>
      <rPr>
        <sz val="8"/>
        <rFont val="Cambria"/>
        <family val="1"/>
      </rPr>
      <t>I</t>
    </r>
    <r>
      <rPr>
        <sz val="8"/>
        <rFont val="Times New Roman"/>
        <family val="1"/>
      </rPr>
      <t xml:space="preserve"> </t>
    </r>
    <r>
      <rPr>
        <sz val="8"/>
        <rFont val="Cambria"/>
        <family val="1"/>
      </rPr>
      <t>as</t>
    </r>
    <r>
      <rPr>
        <sz val="8"/>
        <rFont val="Times New Roman"/>
        <family val="1"/>
      </rPr>
      <t xml:space="preserve"> </t>
    </r>
    <r>
      <rPr>
        <sz val="8"/>
        <rFont val="Cambria"/>
        <family val="1"/>
      </rPr>
      <t>per</t>
    </r>
    <r>
      <rPr>
        <sz val="8"/>
        <rFont val="Times New Roman"/>
        <family val="1"/>
      </rPr>
      <t xml:space="preserve"> </t>
    </r>
    <r>
      <rPr>
        <sz val="8"/>
        <rFont val="Cambria"/>
        <family val="1"/>
      </rPr>
      <t>IS:7098</t>
    </r>
    <r>
      <rPr>
        <sz val="8"/>
        <rFont val="Times New Roman"/>
        <family val="1"/>
      </rPr>
      <t xml:space="preserve"> </t>
    </r>
    <r>
      <rPr>
        <sz val="8"/>
        <rFont val="Cambria"/>
        <family val="1"/>
      </rPr>
      <t>(PT-1)</t>
    </r>
    <r>
      <rPr>
        <sz val="8"/>
        <rFont val="Times New Roman"/>
        <family val="1"/>
      </rPr>
      <t xml:space="preserve"> </t>
    </r>
    <r>
      <rPr>
        <sz val="8"/>
        <rFont val="Cambria"/>
        <family val="1"/>
      </rPr>
      <t>of</t>
    </r>
    <r>
      <rPr>
        <sz val="8"/>
        <rFont val="Times New Roman"/>
        <family val="1"/>
      </rPr>
      <t xml:space="preserve"> </t>
    </r>
    <r>
      <rPr>
        <sz val="8"/>
        <rFont val="Cambria"/>
        <family val="1"/>
      </rPr>
      <t>following</t>
    </r>
    <r>
      <rPr>
        <sz val="8"/>
        <rFont val="Times New Roman"/>
        <family val="1"/>
      </rPr>
      <t xml:space="preserve">  </t>
    </r>
    <r>
      <rPr>
        <sz val="8"/>
        <rFont val="Cambria"/>
        <family val="1"/>
      </rPr>
      <t>cores</t>
    </r>
    <r>
      <rPr>
        <sz val="8"/>
        <rFont val="Times New Roman"/>
        <family val="1"/>
      </rPr>
      <t xml:space="preserve"> </t>
    </r>
    <r>
      <rPr>
        <sz val="8"/>
        <rFont val="Cambria"/>
        <family val="1"/>
      </rPr>
      <t>&amp;</t>
    </r>
    <r>
      <rPr>
        <sz val="8"/>
        <rFont val="Times New Roman"/>
        <family val="1"/>
      </rPr>
      <t xml:space="preserve"> </t>
    </r>
    <r>
      <rPr>
        <sz val="8"/>
        <rFont val="Cambria"/>
        <family val="1"/>
      </rPr>
      <t>sizes</t>
    </r>
    <r>
      <rPr>
        <sz val="8"/>
        <rFont val="Times New Roman"/>
        <family val="1"/>
      </rPr>
      <t xml:space="preserve"> </t>
    </r>
    <r>
      <rPr>
        <sz val="8"/>
        <rFont val="Cambria"/>
        <family val="1"/>
      </rPr>
      <t>mentioned</t>
    </r>
    <r>
      <rPr>
        <sz val="8"/>
        <rFont val="Times New Roman"/>
        <family val="1"/>
      </rPr>
      <t xml:space="preserve"> </t>
    </r>
    <r>
      <rPr>
        <sz val="8"/>
        <rFont val="Cambria"/>
        <family val="1"/>
      </rPr>
      <t>Incluling</t>
    </r>
    <r>
      <rPr>
        <sz val="8"/>
        <rFont val="Times New Roman"/>
        <family val="1"/>
      </rPr>
      <t xml:space="preserve"> </t>
    </r>
    <r>
      <rPr>
        <sz val="8"/>
        <rFont val="Cambria"/>
        <family val="1"/>
      </rPr>
      <t>necessary</t>
    </r>
    <r>
      <rPr>
        <sz val="8"/>
        <rFont val="Times New Roman"/>
        <family val="1"/>
      </rPr>
      <t xml:space="preserve"> </t>
    </r>
    <r>
      <rPr>
        <sz val="8"/>
        <rFont val="Cambria"/>
        <family val="1"/>
      </rPr>
      <t>termination</t>
    </r>
    <r>
      <rPr>
        <sz val="8"/>
        <rFont val="Times New Roman"/>
        <family val="1"/>
      </rPr>
      <t xml:space="preserve"> </t>
    </r>
    <r>
      <rPr>
        <sz val="8"/>
        <rFont val="Cambria"/>
        <family val="1"/>
      </rPr>
      <t>indoor/</t>
    </r>
    <r>
      <rPr>
        <sz val="8"/>
        <rFont val="Times New Roman"/>
        <family val="1"/>
      </rPr>
      <t xml:space="preserve"> </t>
    </r>
    <r>
      <rPr>
        <sz val="8"/>
        <rFont val="Cambria"/>
        <family val="1"/>
      </rPr>
      <t xml:space="preserve">outdoor
</t>
    </r>
    <r>
      <rPr>
        <sz val="8"/>
        <rFont val="Cambria"/>
        <family val="1"/>
      </rPr>
      <t>/staight</t>
    </r>
    <r>
      <rPr>
        <sz val="8"/>
        <rFont val="Times New Roman"/>
        <family val="1"/>
      </rPr>
      <t xml:space="preserve"> </t>
    </r>
    <r>
      <rPr>
        <sz val="8"/>
        <rFont val="Cambria"/>
        <family val="1"/>
      </rPr>
      <t>joint</t>
    </r>
    <r>
      <rPr>
        <sz val="8"/>
        <rFont val="Times New Roman"/>
        <family val="1"/>
      </rPr>
      <t xml:space="preserve"> </t>
    </r>
    <r>
      <rPr>
        <sz val="8"/>
        <rFont val="Cambria"/>
        <family val="1"/>
      </rPr>
      <t>/</t>
    </r>
    <r>
      <rPr>
        <sz val="8"/>
        <rFont val="Times New Roman"/>
        <family val="1"/>
      </rPr>
      <t xml:space="preserve"> </t>
    </r>
    <r>
      <rPr>
        <sz val="8"/>
        <rFont val="Cambria"/>
        <family val="1"/>
      </rPr>
      <t>Lugs/</t>
    </r>
    <r>
      <rPr>
        <sz val="8"/>
        <rFont val="Times New Roman"/>
        <family val="1"/>
      </rPr>
      <t xml:space="preserve"> </t>
    </r>
    <r>
      <rPr>
        <sz val="8"/>
        <rFont val="Cambria"/>
        <family val="1"/>
      </rPr>
      <t>Gland</t>
    </r>
    <r>
      <rPr>
        <sz val="8"/>
        <rFont val="Times New Roman"/>
        <family val="1"/>
      </rPr>
      <t xml:space="preserve"> </t>
    </r>
    <r>
      <rPr>
        <sz val="8"/>
        <rFont val="Cambria"/>
        <family val="1"/>
      </rPr>
      <t>etc.</t>
    </r>
    <r>
      <rPr>
        <sz val="8"/>
        <rFont val="Times New Roman"/>
        <family val="1"/>
      </rPr>
      <t xml:space="preserve"> </t>
    </r>
    <r>
      <rPr>
        <sz val="8"/>
        <rFont val="Cambria"/>
        <family val="1"/>
      </rPr>
      <t>as</t>
    </r>
    <r>
      <rPr>
        <sz val="8"/>
        <rFont val="Times New Roman"/>
        <family val="1"/>
      </rPr>
      <t xml:space="preserve"> </t>
    </r>
    <r>
      <rPr>
        <sz val="8"/>
        <rFont val="Cambria"/>
        <family val="1"/>
      </rPr>
      <t>reqd.</t>
    </r>
  </si>
  <si>
    <r>
      <rPr>
        <sz val="8"/>
        <rFont val="Cambria"/>
        <family val="1"/>
      </rPr>
      <t>Supply</t>
    </r>
    <r>
      <rPr>
        <sz val="8"/>
        <rFont val="Times New Roman"/>
        <family val="1"/>
      </rPr>
      <t xml:space="preserve"> </t>
    </r>
    <r>
      <rPr>
        <sz val="8"/>
        <rFont val="Cambria"/>
        <family val="1"/>
      </rPr>
      <t>&amp;</t>
    </r>
    <r>
      <rPr>
        <sz val="8"/>
        <rFont val="Times New Roman"/>
        <family val="1"/>
      </rPr>
      <t xml:space="preserve"> </t>
    </r>
    <r>
      <rPr>
        <sz val="8"/>
        <rFont val="Cambria"/>
        <family val="1"/>
      </rPr>
      <t>installation</t>
    </r>
    <r>
      <rPr>
        <sz val="8"/>
        <rFont val="Times New Roman"/>
        <family val="1"/>
      </rPr>
      <t xml:space="preserve"> </t>
    </r>
    <r>
      <rPr>
        <sz val="8"/>
        <rFont val="Cambria"/>
        <family val="1"/>
      </rPr>
      <t>of</t>
    </r>
    <r>
      <rPr>
        <sz val="8"/>
        <rFont val="Times New Roman"/>
        <family val="1"/>
      </rPr>
      <t xml:space="preserve"> </t>
    </r>
    <r>
      <rPr>
        <sz val="8"/>
        <rFont val="Cambria"/>
        <family val="1"/>
      </rPr>
      <t>Advance</t>
    </r>
    <r>
      <rPr>
        <sz val="8"/>
        <rFont val="Times New Roman"/>
        <family val="1"/>
      </rPr>
      <t xml:space="preserve"> </t>
    </r>
    <r>
      <rPr>
        <b/>
        <sz val="8"/>
        <rFont val="Cambria"/>
        <family val="1"/>
      </rPr>
      <t>Lightning</t>
    </r>
    <r>
      <rPr>
        <sz val="8"/>
        <rFont val="Times New Roman"/>
        <family val="1"/>
      </rPr>
      <t xml:space="preserve"> </t>
    </r>
    <r>
      <rPr>
        <b/>
        <sz val="8"/>
        <rFont val="Cambria"/>
        <family val="1"/>
      </rPr>
      <t>Protection</t>
    </r>
    <r>
      <rPr>
        <sz val="8"/>
        <rFont val="Times New Roman"/>
        <family val="1"/>
      </rPr>
      <t xml:space="preserve"> </t>
    </r>
    <r>
      <rPr>
        <sz val="8"/>
        <rFont val="Cambria"/>
        <family val="1"/>
      </rPr>
      <t>System</t>
    </r>
    <r>
      <rPr>
        <sz val="8"/>
        <rFont val="Times New Roman"/>
        <family val="1"/>
      </rPr>
      <t xml:space="preserve"> </t>
    </r>
    <r>
      <rPr>
        <sz val="8"/>
        <rFont val="Cambria"/>
        <family val="1"/>
      </rPr>
      <t>including</t>
    </r>
    <r>
      <rPr>
        <sz val="8"/>
        <rFont val="Times New Roman"/>
        <family val="1"/>
      </rPr>
      <t xml:space="preserve"> </t>
    </r>
    <r>
      <rPr>
        <sz val="8"/>
        <rFont val="Cambria"/>
        <family val="1"/>
      </rPr>
      <t>all</t>
    </r>
    <r>
      <rPr>
        <sz val="8"/>
        <rFont val="Times New Roman"/>
        <family val="1"/>
      </rPr>
      <t xml:space="preserve"> </t>
    </r>
    <r>
      <rPr>
        <sz val="8"/>
        <rFont val="Cambria"/>
        <family val="1"/>
      </rPr>
      <t xml:space="preserve">necessary
</t>
    </r>
    <r>
      <rPr>
        <sz val="8"/>
        <rFont val="Cambria"/>
        <family val="1"/>
      </rPr>
      <t>fixing</t>
    </r>
    <r>
      <rPr>
        <sz val="8"/>
        <rFont val="Times New Roman"/>
        <family val="1"/>
      </rPr>
      <t xml:space="preserve">    </t>
    </r>
    <r>
      <rPr>
        <sz val="8"/>
        <rFont val="Cambria"/>
        <family val="1"/>
      </rPr>
      <t>accessories</t>
    </r>
    <r>
      <rPr>
        <sz val="8"/>
        <rFont val="Times New Roman"/>
        <family val="1"/>
      </rPr>
      <t xml:space="preserve">   </t>
    </r>
    <r>
      <rPr>
        <sz val="8"/>
        <rFont val="Cambria"/>
        <family val="1"/>
      </rPr>
      <t>&amp;</t>
    </r>
    <r>
      <rPr>
        <sz val="8"/>
        <rFont val="Times New Roman"/>
        <family val="1"/>
      </rPr>
      <t xml:space="preserve">    </t>
    </r>
    <r>
      <rPr>
        <sz val="8"/>
        <rFont val="Cambria"/>
        <family val="1"/>
      </rPr>
      <t>effective</t>
    </r>
    <r>
      <rPr>
        <sz val="8"/>
        <rFont val="Times New Roman"/>
        <family val="1"/>
      </rPr>
      <t xml:space="preserve">   </t>
    </r>
    <r>
      <rPr>
        <sz val="8"/>
        <rFont val="Cambria"/>
        <family val="1"/>
      </rPr>
      <t>connections</t>
    </r>
    <r>
      <rPr>
        <sz val="8"/>
        <rFont val="Times New Roman"/>
        <family val="1"/>
      </rPr>
      <t xml:space="preserve">   </t>
    </r>
    <r>
      <rPr>
        <sz val="8"/>
        <rFont val="Cambria"/>
        <family val="1"/>
      </rPr>
      <t>complying</t>
    </r>
    <r>
      <rPr>
        <sz val="8"/>
        <rFont val="Times New Roman"/>
        <family val="1"/>
      </rPr>
      <t xml:space="preserve">    </t>
    </r>
    <r>
      <rPr>
        <sz val="8"/>
        <rFont val="Cambria"/>
        <family val="1"/>
      </rPr>
      <t>the</t>
    </r>
    <r>
      <rPr>
        <sz val="8"/>
        <rFont val="Times New Roman"/>
        <family val="1"/>
      </rPr>
      <t xml:space="preserve">   </t>
    </r>
    <r>
      <rPr>
        <sz val="8"/>
        <rFont val="Cambria"/>
        <family val="1"/>
      </rPr>
      <t>detailed</t>
    </r>
    <r>
      <rPr>
        <sz val="8"/>
        <rFont val="Times New Roman"/>
        <family val="1"/>
      </rPr>
      <t xml:space="preserve">    </t>
    </r>
    <r>
      <rPr>
        <sz val="8"/>
        <rFont val="Cambria"/>
        <family val="1"/>
      </rPr>
      <t>technical</t>
    </r>
    <r>
      <rPr>
        <sz val="8"/>
        <rFont val="Times New Roman"/>
        <family val="1"/>
      </rPr>
      <t xml:space="preserve"> </t>
    </r>
    <r>
      <rPr>
        <sz val="8"/>
        <rFont val="Cambria"/>
        <family val="1"/>
      </rPr>
      <t>specifications,</t>
    </r>
    <r>
      <rPr>
        <sz val="8"/>
        <rFont val="Times New Roman"/>
        <family val="1"/>
      </rPr>
      <t xml:space="preserve"> </t>
    </r>
    <r>
      <rPr>
        <sz val="8"/>
        <rFont val="Cambria"/>
        <family val="1"/>
      </rPr>
      <t>with</t>
    </r>
    <r>
      <rPr>
        <sz val="8"/>
        <rFont val="Times New Roman"/>
        <family val="1"/>
      </rPr>
      <t xml:space="preserve"> </t>
    </r>
    <r>
      <rPr>
        <sz val="8"/>
        <rFont val="Cambria"/>
        <family val="1"/>
      </rPr>
      <t>suitable</t>
    </r>
    <r>
      <rPr>
        <sz val="8"/>
        <rFont val="Times New Roman"/>
        <family val="1"/>
      </rPr>
      <t xml:space="preserve"> </t>
    </r>
    <r>
      <rPr>
        <sz val="8"/>
        <rFont val="Cambria"/>
        <family val="1"/>
      </rPr>
      <t>all</t>
    </r>
    <r>
      <rPr>
        <sz val="8"/>
        <rFont val="Times New Roman"/>
        <family val="1"/>
      </rPr>
      <t xml:space="preserve"> </t>
    </r>
    <r>
      <rPr>
        <sz val="8"/>
        <rFont val="Cambria"/>
        <family val="1"/>
      </rPr>
      <t>earthing</t>
    </r>
    <r>
      <rPr>
        <sz val="8"/>
        <rFont val="Times New Roman"/>
        <family val="1"/>
      </rPr>
      <t xml:space="preserve"> </t>
    </r>
    <r>
      <rPr>
        <sz val="8"/>
        <rFont val="Cambria"/>
        <family val="1"/>
      </rPr>
      <t>pits.</t>
    </r>
    <r>
      <rPr>
        <sz val="8"/>
        <rFont val="Times New Roman"/>
        <family val="1"/>
      </rPr>
      <t xml:space="preserve"> </t>
    </r>
    <r>
      <rPr>
        <sz val="8"/>
        <rFont val="Cambria"/>
        <family val="1"/>
      </rPr>
      <t>Etc.</t>
    </r>
  </si>
  <si>
    <r>
      <rPr>
        <sz val="8"/>
        <rFont val="Cambria"/>
        <family val="1"/>
      </rPr>
      <t>SITC</t>
    </r>
    <r>
      <rPr>
        <sz val="8"/>
        <rFont val="Times New Roman"/>
        <family val="1"/>
      </rPr>
      <t xml:space="preserve"> </t>
    </r>
    <r>
      <rPr>
        <sz val="8"/>
        <rFont val="Cambria"/>
        <family val="1"/>
      </rPr>
      <t>OF</t>
    </r>
    <r>
      <rPr>
        <sz val="8"/>
        <rFont val="Times New Roman"/>
        <family val="1"/>
      </rPr>
      <t xml:space="preserve"> </t>
    </r>
    <r>
      <rPr>
        <sz val="8"/>
        <rFont val="Cambria"/>
        <family val="1"/>
      </rPr>
      <t>Maintenance</t>
    </r>
    <r>
      <rPr>
        <sz val="8"/>
        <rFont val="Times New Roman"/>
        <family val="1"/>
      </rPr>
      <t xml:space="preserve"> </t>
    </r>
    <r>
      <rPr>
        <sz val="8"/>
        <rFont val="Cambria"/>
        <family val="1"/>
      </rPr>
      <t>free</t>
    </r>
    <r>
      <rPr>
        <sz val="8"/>
        <rFont val="Times New Roman"/>
        <family val="1"/>
      </rPr>
      <t xml:space="preserve"> </t>
    </r>
    <r>
      <rPr>
        <b/>
        <sz val="8"/>
        <rFont val="Cambria"/>
        <family val="1"/>
      </rPr>
      <t>Gel</t>
    </r>
    <r>
      <rPr>
        <sz val="8"/>
        <rFont val="Times New Roman"/>
        <family val="1"/>
      </rPr>
      <t xml:space="preserve"> </t>
    </r>
    <r>
      <rPr>
        <b/>
        <sz val="8"/>
        <rFont val="Cambria"/>
        <family val="1"/>
      </rPr>
      <t>Earthing</t>
    </r>
    <r>
      <rPr>
        <sz val="8"/>
        <rFont val="Times New Roman"/>
        <family val="1"/>
      </rPr>
      <t xml:space="preserve">  </t>
    </r>
    <r>
      <rPr>
        <sz val="8"/>
        <rFont val="Cambria"/>
        <family val="1"/>
      </rPr>
      <t>with</t>
    </r>
    <r>
      <rPr>
        <sz val="8"/>
        <rFont val="Times New Roman"/>
        <family val="1"/>
      </rPr>
      <t xml:space="preserve">  </t>
    </r>
    <r>
      <rPr>
        <sz val="8"/>
        <rFont val="Cambria"/>
        <family val="1"/>
      </rPr>
      <t>Pipe</t>
    </r>
    <r>
      <rPr>
        <sz val="8"/>
        <rFont val="Times New Roman"/>
        <family val="1"/>
      </rPr>
      <t xml:space="preserve"> </t>
    </r>
    <r>
      <rPr>
        <sz val="8"/>
        <rFont val="Cambria"/>
        <family val="1"/>
      </rPr>
      <t>in</t>
    </r>
    <r>
      <rPr>
        <sz val="8"/>
        <rFont val="Times New Roman"/>
        <family val="1"/>
      </rPr>
      <t xml:space="preserve"> </t>
    </r>
    <r>
      <rPr>
        <sz val="8"/>
        <rFont val="Cambria"/>
        <family val="1"/>
      </rPr>
      <t>pipe</t>
    </r>
    <r>
      <rPr>
        <sz val="8"/>
        <rFont val="Times New Roman"/>
        <family val="1"/>
      </rPr>
      <t xml:space="preserve"> </t>
    </r>
    <r>
      <rPr>
        <sz val="8"/>
        <rFont val="Cambria"/>
        <family val="1"/>
      </rPr>
      <t>/</t>
    </r>
    <r>
      <rPr>
        <sz val="8"/>
        <rFont val="Times New Roman"/>
        <family val="1"/>
      </rPr>
      <t xml:space="preserve"> </t>
    </r>
    <r>
      <rPr>
        <sz val="8"/>
        <rFont val="Cambria"/>
        <family val="1"/>
      </rPr>
      <t>Pipe</t>
    </r>
    <r>
      <rPr>
        <sz val="8"/>
        <rFont val="Times New Roman"/>
        <family val="1"/>
      </rPr>
      <t xml:space="preserve">  </t>
    </r>
    <r>
      <rPr>
        <sz val="8"/>
        <rFont val="Cambria"/>
        <family val="1"/>
      </rPr>
      <t>in</t>
    </r>
    <r>
      <rPr>
        <sz val="8"/>
        <rFont val="Times New Roman"/>
        <family val="1"/>
      </rPr>
      <t xml:space="preserve"> </t>
    </r>
    <r>
      <rPr>
        <sz val="8"/>
        <rFont val="Cambria"/>
        <family val="1"/>
      </rPr>
      <t>strip</t>
    </r>
    <r>
      <rPr>
        <sz val="8"/>
        <rFont val="Times New Roman"/>
        <family val="1"/>
      </rPr>
      <t xml:space="preserve">  </t>
    </r>
    <r>
      <rPr>
        <sz val="8"/>
        <rFont val="Cambria"/>
        <family val="1"/>
      </rPr>
      <t>technology</t>
    </r>
    <r>
      <rPr>
        <sz val="8"/>
        <rFont val="Times New Roman"/>
        <family val="1"/>
      </rPr>
      <t xml:space="preserve"> </t>
    </r>
    <r>
      <rPr>
        <sz val="8"/>
        <rFont val="Cambria"/>
        <family val="1"/>
      </rPr>
      <t>filled</t>
    </r>
    <r>
      <rPr>
        <sz val="8"/>
        <rFont val="Times New Roman"/>
        <family val="1"/>
      </rPr>
      <t xml:space="preserve"> </t>
    </r>
    <r>
      <rPr>
        <sz val="8"/>
        <rFont val="Cambria"/>
        <family val="1"/>
      </rPr>
      <t>with</t>
    </r>
    <r>
      <rPr>
        <sz val="8"/>
        <rFont val="Times New Roman"/>
        <family val="1"/>
      </rPr>
      <t xml:space="preserve"> </t>
    </r>
    <r>
      <rPr>
        <sz val="8"/>
        <rFont val="Cambria"/>
        <family val="1"/>
      </rPr>
      <t>anti</t>
    </r>
    <r>
      <rPr>
        <sz val="8"/>
        <rFont val="Times New Roman"/>
        <family val="1"/>
      </rPr>
      <t xml:space="preserve"> </t>
    </r>
    <r>
      <rPr>
        <sz val="8"/>
        <rFont val="Cambria"/>
        <family val="1"/>
      </rPr>
      <t>corrosive</t>
    </r>
    <r>
      <rPr>
        <sz val="8"/>
        <rFont val="Times New Roman"/>
        <family val="1"/>
      </rPr>
      <t xml:space="preserve"> </t>
    </r>
    <r>
      <rPr>
        <sz val="8"/>
        <rFont val="Cambria"/>
        <family val="1"/>
      </rPr>
      <t>conductive</t>
    </r>
    <r>
      <rPr>
        <sz val="8"/>
        <rFont val="Times New Roman"/>
        <family val="1"/>
      </rPr>
      <t xml:space="preserve"> </t>
    </r>
    <r>
      <rPr>
        <sz val="8"/>
        <rFont val="Cambria"/>
        <family val="1"/>
      </rPr>
      <t>compound</t>
    </r>
    <r>
      <rPr>
        <sz val="8"/>
        <rFont val="Times New Roman"/>
        <family val="1"/>
      </rPr>
      <t xml:space="preserve"> </t>
    </r>
    <r>
      <rPr>
        <sz val="8"/>
        <rFont val="Cambria"/>
        <family val="1"/>
      </rPr>
      <t>(</t>
    </r>
    <r>
      <rPr>
        <sz val="8"/>
        <rFont val="Times New Roman"/>
        <family val="1"/>
      </rPr>
      <t xml:space="preserve"> </t>
    </r>
    <r>
      <rPr>
        <sz val="8"/>
        <rFont val="Cambria"/>
        <family val="1"/>
      </rPr>
      <t>CPRI</t>
    </r>
    <r>
      <rPr>
        <sz val="8"/>
        <rFont val="Times New Roman"/>
        <family val="1"/>
      </rPr>
      <t xml:space="preserve"> </t>
    </r>
    <r>
      <rPr>
        <sz val="8"/>
        <rFont val="Cambria"/>
        <family val="1"/>
      </rPr>
      <t>Tested</t>
    </r>
    <r>
      <rPr>
        <sz val="8"/>
        <rFont val="Times New Roman"/>
        <family val="1"/>
      </rPr>
      <t xml:space="preserve"> </t>
    </r>
    <r>
      <rPr>
        <sz val="8"/>
        <rFont val="Cambria"/>
        <family val="1"/>
      </rPr>
      <t>)</t>
    </r>
    <r>
      <rPr>
        <sz val="8"/>
        <rFont val="Times New Roman"/>
        <family val="1"/>
      </rPr>
      <t xml:space="preserve">  </t>
    </r>
    <r>
      <rPr>
        <sz val="8"/>
        <rFont val="Cambria"/>
        <family val="1"/>
      </rPr>
      <t>below</t>
    </r>
    <r>
      <rPr>
        <sz val="8"/>
        <rFont val="Times New Roman"/>
        <family val="1"/>
      </rPr>
      <t xml:space="preserve"> </t>
    </r>
    <r>
      <rPr>
        <sz val="8"/>
        <rFont val="Cambria"/>
        <family val="1"/>
      </rPr>
      <t>the</t>
    </r>
    <r>
      <rPr>
        <sz val="8"/>
        <rFont val="Times New Roman"/>
        <family val="1"/>
      </rPr>
      <t xml:space="preserve"> </t>
    </r>
    <r>
      <rPr>
        <sz val="8"/>
        <rFont val="Cambria"/>
        <family val="1"/>
      </rPr>
      <t>ground</t>
    </r>
    <r>
      <rPr>
        <sz val="8"/>
        <rFont val="Times New Roman"/>
        <family val="1"/>
      </rPr>
      <t xml:space="preserve"> </t>
    </r>
    <r>
      <rPr>
        <sz val="8"/>
        <rFont val="Cambria"/>
        <family val="1"/>
      </rPr>
      <t xml:space="preserve">in
</t>
    </r>
    <r>
      <rPr>
        <sz val="8"/>
        <rFont val="Cambria"/>
        <family val="1"/>
      </rPr>
      <t>150</t>
    </r>
    <r>
      <rPr>
        <sz val="8"/>
        <rFont val="Times New Roman"/>
        <family val="1"/>
      </rPr>
      <t xml:space="preserve">  </t>
    </r>
    <r>
      <rPr>
        <sz val="8"/>
        <rFont val="Cambria"/>
        <family val="1"/>
      </rPr>
      <t>-</t>
    </r>
    <r>
      <rPr>
        <sz val="8"/>
        <rFont val="Times New Roman"/>
        <family val="1"/>
      </rPr>
      <t xml:space="preserve">  </t>
    </r>
    <r>
      <rPr>
        <sz val="8"/>
        <rFont val="Cambria"/>
        <family val="1"/>
      </rPr>
      <t>200</t>
    </r>
    <r>
      <rPr>
        <sz val="8"/>
        <rFont val="Times New Roman"/>
        <family val="1"/>
      </rPr>
      <t xml:space="preserve">  </t>
    </r>
    <r>
      <rPr>
        <sz val="8"/>
        <rFont val="Cambria"/>
        <family val="1"/>
      </rPr>
      <t>mm</t>
    </r>
    <r>
      <rPr>
        <sz val="8"/>
        <rFont val="Times New Roman"/>
        <family val="1"/>
      </rPr>
      <t xml:space="preserve">  </t>
    </r>
    <r>
      <rPr>
        <sz val="8"/>
        <rFont val="Cambria"/>
        <family val="1"/>
      </rPr>
      <t>dia.</t>
    </r>
    <r>
      <rPr>
        <sz val="8"/>
        <rFont val="Times New Roman"/>
        <family val="1"/>
      </rPr>
      <t xml:space="preserve">  </t>
    </r>
    <r>
      <rPr>
        <sz val="8"/>
        <rFont val="Cambria"/>
        <family val="1"/>
      </rPr>
      <t>earth</t>
    </r>
    <r>
      <rPr>
        <sz val="8"/>
        <rFont val="Times New Roman"/>
        <family val="1"/>
      </rPr>
      <t xml:space="preserve">  </t>
    </r>
    <r>
      <rPr>
        <sz val="8"/>
        <rFont val="Cambria"/>
        <family val="1"/>
      </rPr>
      <t>pit</t>
    </r>
    <r>
      <rPr>
        <sz val="8"/>
        <rFont val="Times New Roman"/>
        <family val="1"/>
      </rPr>
      <t xml:space="preserve">  </t>
    </r>
    <r>
      <rPr>
        <sz val="8"/>
        <rFont val="Cambria"/>
        <family val="1"/>
      </rPr>
      <t>&amp;</t>
    </r>
    <r>
      <rPr>
        <sz val="8"/>
        <rFont val="Times New Roman"/>
        <family val="1"/>
      </rPr>
      <t xml:space="preserve">  </t>
    </r>
    <r>
      <rPr>
        <sz val="8"/>
        <rFont val="Cambria"/>
        <family val="1"/>
      </rPr>
      <t>surrounding</t>
    </r>
    <r>
      <rPr>
        <sz val="8"/>
        <rFont val="Times New Roman"/>
        <family val="1"/>
      </rPr>
      <t xml:space="preserve">  </t>
    </r>
    <r>
      <rPr>
        <sz val="8"/>
        <rFont val="Cambria"/>
        <family val="1"/>
      </rPr>
      <t>filled</t>
    </r>
    <r>
      <rPr>
        <sz val="8"/>
        <rFont val="Times New Roman"/>
        <family val="1"/>
      </rPr>
      <t xml:space="preserve">  </t>
    </r>
    <r>
      <rPr>
        <sz val="8"/>
        <rFont val="Cambria"/>
        <family val="1"/>
      </rPr>
      <t>with</t>
    </r>
    <r>
      <rPr>
        <sz val="8"/>
        <rFont val="Times New Roman"/>
        <family val="1"/>
      </rPr>
      <t xml:space="preserve">  </t>
    </r>
    <r>
      <rPr>
        <sz val="8"/>
        <rFont val="Cambria"/>
        <family val="1"/>
      </rPr>
      <t>required</t>
    </r>
    <r>
      <rPr>
        <sz val="8"/>
        <rFont val="Times New Roman"/>
        <family val="1"/>
      </rPr>
      <t xml:space="preserve">  </t>
    </r>
    <r>
      <rPr>
        <sz val="8"/>
        <rFont val="Cambria"/>
        <family val="1"/>
      </rPr>
      <t>mineral</t>
    </r>
    <r>
      <rPr>
        <sz val="8"/>
        <rFont val="Times New Roman"/>
        <family val="1"/>
      </rPr>
      <t xml:space="preserve">   </t>
    </r>
    <r>
      <rPr>
        <sz val="8"/>
        <rFont val="Cambria"/>
        <family val="1"/>
      </rPr>
      <t>filling</t>
    </r>
    <r>
      <rPr>
        <sz val="8"/>
        <rFont val="Times New Roman"/>
        <family val="1"/>
      </rPr>
      <t xml:space="preserve"> </t>
    </r>
    <r>
      <rPr>
        <sz val="8"/>
        <rFont val="Cambria"/>
        <family val="1"/>
      </rPr>
      <t>compound</t>
    </r>
    <r>
      <rPr>
        <sz val="8"/>
        <rFont val="Times New Roman"/>
        <family val="1"/>
      </rPr>
      <t xml:space="preserve">  </t>
    </r>
    <r>
      <rPr>
        <sz val="8"/>
        <rFont val="Cambria"/>
        <family val="1"/>
      </rPr>
      <t>(</t>
    </r>
    <r>
      <rPr>
        <sz val="8"/>
        <rFont val="Times New Roman"/>
        <family val="1"/>
      </rPr>
      <t xml:space="preserve"> </t>
    </r>
    <r>
      <rPr>
        <sz val="8"/>
        <rFont val="Cambria"/>
        <family val="1"/>
      </rPr>
      <t>MFC</t>
    </r>
    <r>
      <rPr>
        <sz val="8"/>
        <rFont val="Times New Roman"/>
        <family val="1"/>
      </rPr>
      <t xml:space="preserve"> </t>
    </r>
    <r>
      <rPr>
        <sz val="8"/>
        <rFont val="Cambria"/>
        <family val="1"/>
      </rPr>
      <t>should</t>
    </r>
    <r>
      <rPr>
        <sz val="8"/>
        <rFont val="Times New Roman"/>
        <family val="1"/>
      </rPr>
      <t xml:space="preserve"> </t>
    </r>
    <r>
      <rPr>
        <sz val="8"/>
        <rFont val="Cambria"/>
        <family val="1"/>
      </rPr>
      <t>have</t>
    </r>
    <r>
      <rPr>
        <sz val="8"/>
        <rFont val="Times New Roman"/>
        <family val="1"/>
      </rPr>
      <t xml:space="preserve"> </t>
    </r>
    <r>
      <rPr>
        <sz val="8"/>
        <rFont val="Cambria"/>
        <family val="1"/>
      </rPr>
      <t>hygroscopic</t>
    </r>
    <r>
      <rPr>
        <sz val="8"/>
        <rFont val="Times New Roman"/>
        <family val="1"/>
      </rPr>
      <t xml:space="preserve"> </t>
    </r>
    <r>
      <rPr>
        <sz val="8"/>
        <rFont val="Cambria"/>
        <family val="1"/>
      </rPr>
      <t>property</t>
    </r>
    <r>
      <rPr>
        <sz val="8"/>
        <rFont val="Times New Roman"/>
        <family val="1"/>
      </rPr>
      <t xml:space="preserve"> </t>
    </r>
    <r>
      <rPr>
        <sz val="8"/>
        <rFont val="Cambria"/>
        <family val="1"/>
      </rPr>
      <t>to</t>
    </r>
    <r>
      <rPr>
        <sz val="8"/>
        <rFont val="Times New Roman"/>
        <family val="1"/>
      </rPr>
      <t xml:space="preserve"> </t>
    </r>
    <r>
      <rPr>
        <sz val="8"/>
        <rFont val="Cambria"/>
        <family val="1"/>
      </rPr>
      <t>retain</t>
    </r>
    <r>
      <rPr>
        <sz val="8"/>
        <rFont val="Times New Roman"/>
        <family val="1"/>
      </rPr>
      <t xml:space="preserve"> </t>
    </r>
    <r>
      <rPr>
        <sz val="8"/>
        <rFont val="Cambria"/>
        <family val="1"/>
      </rPr>
      <t>the</t>
    </r>
    <r>
      <rPr>
        <sz val="8"/>
        <rFont val="Times New Roman"/>
        <family val="1"/>
      </rPr>
      <t xml:space="preserve"> </t>
    </r>
    <r>
      <rPr>
        <sz val="8"/>
        <rFont val="Cambria"/>
        <family val="1"/>
      </rPr>
      <t>moisture</t>
    </r>
    <r>
      <rPr>
        <sz val="8"/>
        <rFont val="Times New Roman"/>
        <family val="1"/>
      </rPr>
      <t xml:space="preserve"> </t>
    </r>
    <r>
      <rPr>
        <sz val="8"/>
        <rFont val="Cambria"/>
        <family val="1"/>
      </rPr>
      <t>for</t>
    </r>
    <r>
      <rPr>
        <sz val="8"/>
        <rFont val="Times New Roman"/>
        <family val="1"/>
      </rPr>
      <t xml:space="preserve"> </t>
    </r>
    <r>
      <rPr>
        <sz val="8"/>
        <rFont val="Cambria"/>
        <family val="1"/>
      </rPr>
      <t>long</t>
    </r>
    <r>
      <rPr>
        <sz val="8"/>
        <rFont val="Times New Roman"/>
        <family val="1"/>
      </rPr>
      <t xml:space="preserve"> </t>
    </r>
    <r>
      <rPr>
        <sz val="8"/>
        <rFont val="Cambria"/>
        <family val="1"/>
      </rPr>
      <t>time</t>
    </r>
    <r>
      <rPr>
        <sz val="8"/>
        <rFont val="Times New Roman"/>
        <family val="1"/>
      </rPr>
      <t xml:space="preserve"> </t>
    </r>
    <r>
      <rPr>
        <sz val="8"/>
        <rFont val="Cambria"/>
        <family val="1"/>
      </rPr>
      <t>to</t>
    </r>
    <r>
      <rPr>
        <sz val="8"/>
        <rFont val="Times New Roman"/>
        <family val="1"/>
      </rPr>
      <t xml:space="preserve"> </t>
    </r>
    <r>
      <rPr>
        <sz val="8"/>
        <rFont val="Cambria"/>
        <family val="1"/>
      </rPr>
      <t>create</t>
    </r>
    <r>
      <rPr>
        <sz val="8"/>
        <rFont val="Times New Roman"/>
        <family val="1"/>
      </rPr>
      <t xml:space="preserve"> </t>
    </r>
    <r>
      <rPr>
        <sz val="8"/>
        <rFont val="Cambria"/>
        <family val="1"/>
      </rPr>
      <t>low</t>
    </r>
    <r>
      <rPr>
        <sz val="8"/>
        <rFont val="Times New Roman"/>
        <family val="1"/>
      </rPr>
      <t xml:space="preserve"> </t>
    </r>
    <r>
      <rPr>
        <sz val="8"/>
        <rFont val="Cambria"/>
        <family val="1"/>
      </rPr>
      <t>resistance</t>
    </r>
    <r>
      <rPr>
        <sz val="8"/>
        <rFont val="Times New Roman"/>
        <family val="1"/>
      </rPr>
      <t xml:space="preserve"> </t>
    </r>
    <r>
      <rPr>
        <sz val="8"/>
        <rFont val="Cambria"/>
        <family val="1"/>
      </rPr>
      <t>zone</t>
    </r>
    <r>
      <rPr>
        <sz val="8"/>
        <rFont val="Times New Roman"/>
        <family val="1"/>
      </rPr>
      <t xml:space="preserve">  </t>
    </r>
    <r>
      <rPr>
        <sz val="8"/>
        <rFont val="Cambria"/>
        <family val="1"/>
      </rPr>
      <t>)</t>
    </r>
    <r>
      <rPr>
        <sz val="8"/>
        <rFont val="Times New Roman"/>
        <family val="1"/>
      </rPr>
      <t xml:space="preserve"> </t>
    </r>
    <r>
      <rPr>
        <sz val="8"/>
        <rFont val="Cambria"/>
        <family val="1"/>
      </rPr>
      <t>and</t>
    </r>
    <r>
      <rPr>
        <sz val="8"/>
        <rFont val="Times New Roman"/>
        <family val="1"/>
      </rPr>
      <t xml:space="preserve"> </t>
    </r>
    <r>
      <rPr>
        <sz val="8"/>
        <rFont val="Cambria"/>
        <family val="1"/>
      </rPr>
      <t>C.C.</t>
    </r>
    <r>
      <rPr>
        <sz val="8"/>
        <rFont val="Times New Roman"/>
        <family val="1"/>
      </rPr>
      <t xml:space="preserve">  </t>
    </r>
    <r>
      <rPr>
        <sz val="8"/>
        <rFont val="Cambria"/>
        <family val="1"/>
      </rPr>
      <t>finished</t>
    </r>
    <r>
      <rPr>
        <sz val="8"/>
        <rFont val="Times New Roman"/>
        <family val="1"/>
      </rPr>
      <t xml:space="preserve"> </t>
    </r>
    <r>
      <rPr>
        <sz val="8"/>
        <rFont val="Cambria"/>
        <family val="1"/>
      </rPr>
      <t>chamber</t>
    </r>
    <r>
      <rPr>
        <sz val="8"/>
        <rFont val="Times New Roman"/>
        <family val="1"/>
      </rPr>
      <t xml:space="preserve"> </t>
    </r>
    <r>
      <rPr>
        <sz val="8"/>
        <rFont val="Cambria"/>
        <family val="1"/>
      </rPr>
      <t>covered</t>
    </r>
    <r>
      <rPr>
        <sz val="8"/>
        <rFont val="Times New Roman"/>
        <family val="1"/>
      </rPr>
      <t xml:space="preserve"> </t>
    </r>
    <r>
      <rPr>
        <sz val="8"/>
        <rFont val="Cambria"/>
        <family val="1"/>
      </rPr>
      <t>with</t>
    </r>
    <r>
      <rPr>
        <sz val="8"/>
        <rFont val="Times New Roman"/>
        <family val="1"/>
      </rPr>
      <t xml:space="preserve"> </t>
    </r>
    <r>
      <rPr>
        <sz val="8"/>
        <rFont val="Cambria"/>
        <family val="1"/>
      </rPr>
      <t>hinged</t>
    </r>
    <r>
      <rPr>
        <sz val="8"/>
        <rFont val="Times New Roman"/>
        <family val="1"/>
      </rPr>
      <t xml:space="preserve"> </t>
    </r>
    <r>
      <rPr>
        <sz val="8"/>
        <rFont val="Cambria"/>
        <family val="1"/>
      </rPr>
      <t>type</t>
    </r>
    <r>
      <rPr>
        <sz val="8"/>
        <rFont val="Times New Roman"/>
        <family val="1"/>
      </rPr>
      <t xml:space="preserve">  </t>
    </r>
    <r>
      <rPr>
        <sz val="8"/>
        <rFont val="Cambria"/>
        <family val="1"/>
      </rPr>
      <t>with</t>
    </r>
    <r>
      <rPr>
        <sz val="8"/>
        <rFont val="Times New Roman"/>
        <family val="1"/>
      </rPr>
      <t xml:space="preserve">  </t>
    </r>
    <r>
      <rPr>
        <sz val="8"/>
        <rFont val="Cambria"/>
        <family val="1"/>
      </rPr>
      <t>locking</t>
    </r>
    <r>
      <rPr>
        <sz val="8"/>
        <rFont val="Times New Roman"/>
        <family val="1"/>
      </rPr>
      <t xml:space="preserve">  </t>
    </r>
    <r>
      <rPr>
        <sz val="8"/>
        <rFont val="Cambria"/>
        <family val="1"/>
      </rPr>
      <t>arrangement</t>
    </r>
    <r>
      <rPr>
        <sz val="8"/>
        <rFont val="Times New Roman"/>
        <family val="1"/>
      </rPr>
      <t xml:space="preserve">  </t>
    </r>
    <r>
      <rPr>
        <sz val="8"/>
        <rFont val="Cambria"/>
        <family val="1"/>
      </rPr>
      <t>C.I.</t>
    </r>
    <r>
      <rPr>
        <sz val="8"/>
        <rFont val="Times New Roman"/>
        <family val="1"/>
      </rPr>
      <t xml:space="preserve">  </t>
    </r>
    <r>
      <rPr>
        <sz val="8"/>
        <rFont val="Cambria"/>
        <family val="1"/>
      </rPr>
      <t>Cover,</t>
    </r>
    <r>
      <rPr>
        <sz val="8"/>
        <rFont val="Times New Roman"/>
        <family val="1"/>
      </rPr>
      <t xml:space="preserve">   </t>
    </r>
    <r>
      <rPr>
        <sz val="8"/>
        <rFont val="Cambria"/>
        <family val="1"/>
      </rPr>
      <t>C.I.</t>
    </r>
    <r>
      <rPr>
        <sz val="8"/>
        <rFont val="Times New Roman"/>
        <family val="1"/>
      </rPr>
      <t xml:space="preserve">  </t>
    </r>
    <r>
      <rPr>
        <sz val="8"/>
        <rFont val="Cambria"/>
        <family val="1"/>
      </rPr>
      <t>Frame</t>
    </r>
    <r>
      <rPr>
        <sz val="8"/>
        <rFont val="Times New Roman"/>
        <family val="1"/>
      </rPr>
      <t xml:space="preserve">  </t>
    </r>
    <r>
      <rPr>
        <sz val="8"/>
        <rFont val="Cambria"/>
        <family val="1"/>
      </rPr>
      <t>of</t>
    </r>
    <r>
      <rPr>
        <sz val="8"/>
        <rFont val="Times New Roman"/>
        <family val="1"/>
      </rPr>
      <t xml:space="preserve">  </t>
    </r>
    <r>
      <rPr>
        <sz val="8"/>
        <rFont val="Cambria"/>
        <family val="1"/>
      </rPr>
      <t>size</t>
    </r>
    <r>
      <rPr>
        <sz val="8"/>
        <rFont val="Times New Roman"/>
        <family val="1"/>
      </rPr>
      <t xml:space="preserve">  </t>
    </r>
    <r>
      <rPr>
        <sz val="8"/>
        <rFont val="Cambria"/>
        <family val="1"/>
      </rPr>
      <t>300mm</t>
    </r>
    <r>
      <rPr>
        <sz val="8"/>
        <rFont val="Times New Roman"/>
        <family val="1"/>
      </rPr>
      <t xml:space="preserve">  </t>
    </r>
    <r>
      <rPr>
        <sz val="8"/>
        <rFont val="Cambria"/>
        <family val="1"/>
      </rPr>
      <t>x</t>
    </r>
    <r>
      <rPr>
        <sz val="8"/>
        <rFont val="Times New Roman"/>
        <family val="1"/>
      </rPr>
      <t xml:space="preserve">  </t>
    </r>
    <r>
      <rPr>
        <sz val="8"/>
        <rFont val="Cambria"/>
        <family val="1"/>
      </rPr>
      <t>300mm</t>
    </r>
    <r>
      <rPr>
        <sz val="8"/>
        <rFont val="Times New Roman"/>
        <family val="1"/>
      </rPr>
      <t xml:space="preserve"> </t>
    </r>
    <r>
      <rPr>
        <sz val="8"/>
        <rFont val="Cambria"/>
        <family val="1"/>
      </rPr>
      <t>complete</t>
    </r>
    <r>
      <rPr>
        <sz val="8"/>
        <rFont val="Times New Roman"/>
        <family val="1"/>
      </rPr>
      <t xml:space="preserve"> </t>
    </r>
    <r>
      <rPr>
        <sz val="8"/>
        <rFont val="Cambria"/>
        <family val="1"/>
      </rPr>
      <t>testing</t>
    </r>
    <r>
      <rPr>
        <sz val="8"/>
        <rFont val="Times New Roman"/>
        <family val="1"/>
      </rPr>
      <t xml:space="preserve"> </t>
    </r>
    <r>
      <rPr>
        <sz val="8"/>
        <rFont val="Cambria"/>
        <family val="1"/>
      </rPr>
      <t>of</t>
    </r>
    <r>
      <rPr>
        <sz val="8"/>
        <rFont val="Times New Roman"/>
        <family val="1"/>
      </rPr>
      <t xml:space="preserve"> </t>
    </r>
    <r>
      <rPr>
        <sz val="8"/>
        <rFont val="Cambria"/>
        <family val="1"/>
      </rPr>
      <t>earth</t>
    </r>
    <r>
      <rPr>
        <sz val="8"/>
        <rFont val="Times New Roman"/>
        <family val="1"/>
      </rPr>
      <t xml:space="preserve"> </t>
    </r>
    <r>
      <rPr>
        <sz val="8"/>
        <rFont val="Cambria"/>
        <family val="1"/>
      </rPr>
      <t>resistance</t>
    </r>
    <r>
      <rPr>
        <sz val="8"/>
        <rFont val="Times New Roman"/>
        <family val="1"/>
      </rPr>
      <t xml:space="preserve"> </t>
    </r>
    <r>
      <rPr>
        <sz val="8"/>
        <rFont val="Cambria"/>
        <family val="1"/>
      </rPr>
      <t>as</t>
    </r>
    <r>
      <rPr>
        <sz val="8"/>
        <rFont val="Times New Roman"/>
        <family val="1"/>
      </rPr>
      <t xml:space="preserve"> </t>
    </r>
    <r>
      <rPr>
        <sz val="8"/>
        <rFont val="Cambria"/>
        <family val="1"/>
      </rPr>
      <t>required.</t>
    </r>
    <r>
      <rPr>
        <sz val="8"/>
        <rFont val="Times New Roman"/>
        <family val="1"/>
      </rPr>
      <t xml:space="preserve"> </t>
    </r>
    <r>
      <rPr>
        <sz val="8"/>
        <rFont val="Cambria"/>
        <family val="1"/>
      </rPr>
      <t>of</t>
    </r>
    <r>
      <rPr>
        <sz val="8"/>
        <rFont val="Times New Roman"/>
        <family val="1"/>
      </rPr>
      <t xml:space="preserve"> </t>
    </r>
    <r>
      <rPr>
        <sz val="8"/>
        <rFont val="Cambria"/>
        <family val="1"/>
      </rPr>
      <t>following</t>
    </r>
    <r>
      <rPr>
        <sz val="8"/>
        <rFont val="Times New Roman"/>
        <family val="1"/>
      </rPr>
      <t xml:space="preserve"> </t>
    </r>
    <r>
      <rPr>
        <sz val="8"/>
        <rFont val="Cambria"/>
        <family val="1"/>
      </rPr>
      <t>sizes.</t>
    </r>
    <r>
      <rPr>
        <sz val="8"/>
        <rFont val="Times New Roman"/>
        <family val="1"/>
      </rPr>
      <t xml:space="preserve"> </t>
    </r>
    <r>
      <rPr>
        <sz val="8"/>
        <rFont val="Cambria"/>
        <family val="1"/>
      </rPr>
      <t>Complete</t>
    </r>
    <r>
      <rPr>
        <sz val="8"/>
        <rFont val="Times New Roman"/>
        <family val="1"/>
      </rPr>
      <t xml:space="preserve"> </t>
    </r>
    <r>
      <rPr>
        <sz val="8"/>
        <rFont val="Cambria"/>
        <family val="1"/>
      </rPr>
      <t>with</t>
    </r>
    <r>
      <rPr>
        <sz val="8"/>
        <rFont val="Times New Roman"/>
        <family val="1"/>
      </rPr>
      <t xml:space="preserve"> </t>
    </r>
    <r>
      <rPr>
        <sz val="8"/>
        <rFont val="Cambria"/>
        <family val="1"/>
      </rPr>
      <t xml:space="preserve">GI
</t>
    </r>
    <r>
      <rPr>
        <sz val="8"/>
        <rFont val="Cambria"/>
        <family val="1"/>
      </rPr>
      <t>strip.</t>
    </r>
  </si>
  <si>
    <r>
      <rPr>
        <sz val="8"/>
        <rFont val="Cambria"/>
        <family val="1"/>
      </rPr>
      <t>JOB</t>
    </r>
  </si>
  <si>
    <r>
      <rPr>
        <sz val="8"/>
        <rFont val="Cambria"/>
        <family val="1"/>
      </rPr>
      <t>LOCAL</t>
    </r>
    <r>
      <rPr>
        <sz val="8"/>
        <rFont val="Times New Roman"/>
        <family val="1"/>
      </rPr>
      <t xml:space="preserve"> </t>
    </r>
    <r>
      <rPr>
        <sz val="8"/>
        <rFont val="Cambria"/>
        <family val="1"/>
      </rPr>
      <t>LIASIONING</t>
    </r>
    <r>
      <rPr>
        <sz val="8"/>
        <rFont val="Times New Roman"/>
        <family val="1"/>
      </rPr>
      <t xml:space="preserve"> </t>
    </r>
    <r>
      <rPr>
        <sz val="8"/>
        <rFont val="Cambria"/>
        <family val="1"/>
      </rPr>
      <t>CHARGES</t>
    </r>
  </si>
  <si>
    <r>
      <rPr>
        <b/>
        <sz val="8"/>
        <rFont val="Cambria"/>
        <family val="1"/>
      </rPr>
      <t>TOTAL</t>
    </r>
    <r>
      <rPr>
        <sz val="8"/>
        <rFont val="Times New Roman"/>
        <family val="1"/>
      </rPr>
      <t xml:space="preserve"> </t>
    </r>
    <r>
      <rPr>
        <b/>
        <sz val="8"/>
        <rFont val="Cambria"/>
        <family val="1"/>
      </rPr>
      <t>COST</t>
    </r>
    <r>
      <rPr>
        <sz val="8"/>
        <rFont val="Times New Roman"/>
        <family val="1"/>
      </rPr>
      <t xml:space="preserve"> </t>
    </r>
    <r>
      <rPr>
        <b/>
        <sz val="8"/>
        <rFont val="Cambria"/>
        <family val="1"/>
      </rPr>
      <t>OF</t>
    </r>
    <r>
      <rPr>
        <sz val="8"/>
        <rFont val="Times New Roman"/>
        <family val="1"/>
      </rPr>
      <t xml:space="preserve"> </t>
    </r>
    <r>
      <rPr>
        <b/>
        <sz val="8"/>
        <rFont val="Cambria"/>
        <family val="1"/>
      </rPr>
      <t>ELECTRICAL</t>
    </r>
    <r>
      <rPr>
        <sz val="8"/>
        <rFont val="Times New Roman"/>
        <family val="1"/>
      </rPr>
      <t xml:space="preserve"> </t>
    </r>
    <r>
      <rPr>
        <b/>
        <sz val="8"/>
        <rFont val="Cambria"/>
        <family val="1"/>
      </rPr>
      <t>&amp;</t>
    </r>
    <r>
      <rPr>
        <sz val="8"/>
        <rFont val="Times New Roman"/>
        <family val="1"/>
      </rPr>
      <t xml:space="preserve"> </t>
    </r>
    <r>
      <rPr>
        <b/>
        <sz val="8"/>
        <rFont val="Cambria"/>
        <family val="1"/>
      </rPr>
      <t>L.V</t>
    </r>
    <r>
      <rPr>
        <sz val="8"/>
        <rFont val="Times New Roman"/>
        <family val="1"/>
      </rPr>
      <t xml:space="preserve"> </t>
    </r>
    <r>
      <rPr>
        <b/>
        <sz val="8"/>
        <rFont val="Cambria"/>
        <family val="1"/>
      </rPr>
      <t>WORK</t>
    </r>
    <r>
      <rPr>
        <sz val="8"/>
        <rFont val="Times New Roman"/>
        <family val="1"/>
      </rPr>
      <t xml:space="preserve"> </t>
    </r>
    <r>
      <rPr>
        <b/>
        <sz val="8"/>
        <rFont val="Cambria"/>
        <family val="1"/>
      </rPr>
      <t>IN</t>
    </r>
    <r>
      <rPr>
        <sz val="8"/>
        <rFont val="Times New Roman"/>
        <family val="1"/>
      </rPr>
      <t xml:space="preserve"> </t>
    </r>
    <r>
      <rPr>
        <b/>
        <sz val="8"/>
        <rFont val="Cambria"/>
        <family val="1"/>
      </rPr>
      <t>Rs.</t>
    </r>
  </si>
  <si>
    <r>
      <rPr>
        <b/>
        <sz val="9"/>
        <color indexed="10"/>
        <rFont val="Cambria"/>
        <family val="1"/>
      </rPr>
      <t>GRAND</t>
    </r>
    <r>
      <rPr>
        <sz val="9"/>
        <color indexed="10"/>
        <rFont val="Times New Roman"/>
        <family val="1"/>
      </rPr>
      <t xml:space="preserve"> </t>
    </r>
    <r>
      <rPr>
        <b/>
        <sz val="9"/>
        <color indexed="10"/>
        <rFont val="Cambria"/>
        <family val="1"/>
      </rPr>
      <t>TOTAL</t>
    </r>
    <r>
      <rPr>
        <sz val="9"/>
        <color indexed="10"/>
        <rFont val="Times New Roman"/>
        <family val="1"/>
      </rPr>
      <t xml:space="preserve"> </t>
    </r>
    <r>
      <rPr>
        <b/>
        <sz val="9"/>
        <color indexed="10"/>
        <rFont val="Cambria"/>
        <family val="1"/>
      </rPr>
      <t>COST</t>
    </r>
    <r>
      <rPr>
        <sz val="9"/>
        <color indexed="10"/>
        <rFont val="Times New Roman"/>
        <family val="1"/>
      </rPr>
      <t xml:space="preserve"> </t>
    </r>
    <r>
      <rPr>
        <b/>
        <sz val="9"/>
        <color indexed="10"/>
        <rFont val="Cambria"/>
        <family val="1"/>
      </rPr>
      <t>IN</t>
    </r>
    <r>
      <rPr>
        <sz val="9"/>
        <color indexed="10"/>
        <rFont val="Times New Roman"/>
        <family val="1"/>
      </rPr>
      <t xml:space="preserve"> </t>
    </r>
    <r>
      <rPr>
        <b/>
        <sz val="9"/>
        <color indexed="10"/>
        <rFont val="Cambria"/>
        <family val="1"/>
      </rPr>
      <t>Rs.</t>
    </r>
  </si>
  <si>
    <r>
      <rPr>
        <b/>
        <sz val="8"/>
        <rFont val="Cambria"/>
        <family val="1"/>
      </rPr>
      <t>RATE</t>
    </r>
    <r>
      <rPr>
        <sz val="8"/>
        <rFont val="Times New Roman"/>
        <family val="1"/>
      </rPr>
      <t xml:space="preserve"> </t>
    </r>
    <r>
      <rPr>
        <b/>
        <sz val="8"/>
        <rFont val="Cambria"/>
        <family val="1"/>
      </rPr>
      <t>PER</t>
    </r>
    <r>
      <rPr>
        <sz val="8"/>
        <rFont val="Times New Roman"/>
        <family val="1"/>
      </rPr>
      <t xml:space="preserve"> </t>
    </r>
    <r>
      <rPr>
        <b/>
        <sz val="8"/>
        <rFont val="Cambria"/>
        <family val="1"/>
      </rPr>
      <t>SQFT</t>
    </r>
  </si>
  <si>
    <r>
      <rPr>
        <b/>
        <sz val="8"/>
        <rFont val="Cambria"/>
        <family val="1"/>
      </rPr>
      <t>ESTIMATE</t>
    </r>
    <r>
      <rPr>
        <sz val="8"/>
        <rFont val="Times New Roman"/>
        <family val="1"/>
      </rPr>
      <t xml:space="preserve"> </t>
    </r>
    <r>
      <rPr>
        <b/>
        <sz val="8"/>
        <rFont val="Cambria"/>
        <family val="1"/>
      </rPr>
      <t>CLASS</t>
    </r>
  </si>
  <si>
    <r>
      <rPr>
        <b/>
        <sz val="8"/>
        <rFont val="Cambria"/>
        <family val="1"/>
      </rPr>
      <t>BUDGET</t>
    </r>
    <r>
      <rPr>
        <sz val="8"/>
        <rFont val="Times New Roman"/>
        <family val="1"/>
      </rPr>
      <t xml:space="preserve"> </t>
    </r>
    <r>
      <rPr>
        <b/>
        <sz val="8"/>
        <rFont val="Cambria"/>
        <family val="1"/>
      </rPr>
      <t>STAGE</t>
    </r>
  </si>
  <si>
    <r>
      <rPr>
        <b/>
        <sz val="8"/>
        <rFont val="Cambria"/>
        <family val="1"/>
      </rPr>
      <t>ACCURACY</t>
    </r>
  </si>
  <si>
    <r>
      <rPr>
        <b/>
        <sz val="8"/>
        <rFont val="Cambria"/>
        <family val="1"/>
      </rPr>
      <t>+/-</t>
    </r>
    <r>
      <rPr>
        <sz val="8"/>
        <rFont val="Times New Roman"/>
        <family val="1"/>
      </rPr>
      <t xml:space="preserve"> </t>
    </r>
    <r>
      <rPr>
        <b/>
        <sz val="8"/>
        <rFont val="Cambria"/>
        <family val="1"/>
      </rPr>
      <t>10-20%</t>
    </r>
  </si>
  <si>
    <t>As per Estimate</t>
  </si>
  <si>
    <t>For Electrification @9% of Civil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</si>
</sst>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quot;$&quot;* #,##0.00_);_(&quot;$&quot;* \(#,##0.00\);_(&quot;$&quot;* &quot;-&quot;??_);_(@_)"/>
    <numFmt numFmtId="165" formatCode="_(* #,##0.00_);_(* \(#,##0.00\);_(* &quot;-&quot;??_);_(@_)"/>
    <numFmt numFmtId="166" formatCode="0.0"/>
    <numFmt numFmtId="167" formatCode="0.000"/>
    <numFmt numFmtId="168" formatCode="0.000000"/>
    <numFmt numFmtId="169" formatCode="0.00000"/>
    <numFmt numFmtId="170" formatCode="_(* #,##0_);_(* \(#,##0\);_(* &quot;-&quot;??_);_(@_)"/>
    <numFmt numFmtId="171" formatCode="0.00_)"/>
    <numFmt numFmtId="172" formatCode="0.00_);\(0.00\)"/>
    <numFmt numFmtId="173" formatCode="_(* #,##0.00_);_(* \(#,##0.00\);_(* &quot;-&quot;_);_(@_)"/>
    <numFmt numFmtId="174" formatCode="0_);\(0\)"/>
    <numFmt numFmtId="175" formatCode="0.00_ ;[Red]\-0.00\ "/>
    <numFmt numFmtId="176" formatCode="0.00000%"/>
  </numFmts>
  <fonts count="89">
    <font>
      <sz val="10"/>
      <name val="Arial"/>
    </font>
    <font>
      <sz val="10"/>
      <name val="Arial"/>
    </font>
    <font>
      <sz val="8"/>
      <name val="Arial"/>
      <family val="2"/>
    </font>
    <font>
      <b/>
      <sz val="10"/>
      <name val="Arial"/>
      <family val="2"/>
    </font>
    <font>
      <b/>
      <u/>
      <sz val="10"/>
      <name val="Arial"/>
      <family val="2"/>
    </font>
    <font>
      <u/>
      <sz val="10"/>
      <color indexed="12"/>
      <name val="Arial"/>
      <family val="2"/>
    </font>
    <font>
      <sz val="10"/>
      <name val="Arial"/>
      <family val="2"/>
    </font>
    <font>
      <u/>
      <sz val="10"/>
      <name val="Arial"/>
      <family val="2"/>
    </font>
    <font>
      <sz val="11"/>
      <name val="Arial"/>
      <family val="2"/>
    </font>
    <font>
      <b/>
      <u/>
      <sz val="12"/>
      <name val="Arial"/>
      <family val="2"/>
    </font>
    <font>
      <b/>
      <sz val="11"/>
      <name val="Arial"/>
      <family val="2"/>
    </font>
    <font>
      <b/>
      <sz val="8"/>
      <color indexed="81"/>
      <name val="Tahoma"/>
      <family val="2"/>
    </font>
    <font>
      <sz val="10"/>
      <name val="Arial"/>
      <family val="2"/>
    </font>
    <font>
      <sz val="10"/>
      <name val="Times New Roman"/>
      <family val="1"/>
    </font>
    <font>
      <sz val="5"/>
      <name val="Arial"/>
      <family val="2"/>
    </font>
    <font>
      <i/>
      <sz val="10"/>
      <name val="Arial"/>
      <family val="2"/>
    </font>
    <font>
      <b/>
      <i/>
      <sz val="10"/>
      <name val="Arial"/>
      <family val="2"/>
    </font>
    <font>
      <b/>
      <sz val="9"/>
      <name val="Arial"/>
      <family val="2"/>
    </font>
    <font>
      <sz val="9"/>
      <name val="Arial"/>
      <family val="2"/>
    </font>
    <font>
      <sz val="10"/>
      <color indexed="9"/>
      <name val="Arial"/>
      <family val="2"/>
    </font>
    <font>
      <b/>
      <sz val="10"/>
      <color indexed="9"/>
      <name val="Arial"/>
      <family val="2"/>
    </font>
    <font>
      <b/>
      <sz val="8"/>
      <name val="Tahoma"/>
      <family val="2"/>
    </font>
    <font>
      <b/>
      <sz val="8"/>
      <name val="Arial"/>
      <family val="2"/>
    </font>
    <font>
      <b/>
      <u/>
      <sz val="11"/>
      <name val="Arial"/>
      <family val="2"/>
    </font>
    <font>
      <b/>
      <sz val="14"/>
      <name val="Arial"/>
      <family val="2"/>
    </font>
    <font>
      <b/>
      <sz val="18"/>
      <name val="Arial"/>
      <family val="2"/>
    </font>
    <font>
      <b/>
      <sz val="12"/>
      <name val="Arial"/>
      <family val="2"/>
    </font>
    <font>
      <sz val="12"/>
      <name val="Arial"/>
      <family val="2"/>
    </font>
    <font>
      <i/>
      <sz val="12"/>
      <name val="Arial"/>
      <family val="2"/>
    </font>
    <font>
      <sz val="10"/>
      <name val="Arial"/>
      <family val="2"/>
    </font>
    <font>
      <b/>
      <i/>
      <sz val="12"/>
      <name val="Arial"/>
      <family val="2"/>
    </font>
    <font>
      <sz val="11"/>
      <name val="Tahoma"/>
      <family val="2"/>
    </font>
    <font>
      <i/>
      <sz val="11"/>
      <name val="Tahoma"/>
      <family val="2"/>
    </font>
    <font>
      <b/>
      <i/>
      <sz val="11"/>
      <name val="Tahoma"/>
      <family val="2"/>
    </font>
    <font>
      <b/>
      <sz val="11"/>
      <name val="Tahoma"/>
      <family val="2"/>
    </font>
    <font>
      <b/>
      <i/>
      <sz val="10"/>
      <name val="Tahoma"/>
      <family val="2"/>
    </font>
    <font>
      <sz val="10"/>
      <name val="Tahoma"/>
      <family val="2"/>
    </font>
    <font>
      <b/>
      <sz val="10"/>
      <name val="Tahoma"/>
      <family val="2"/>
    </font>
    <font>
      <b/>
      <u/>
      <sz val="10"/>
      <name val="Tahoma"/>
      <family val="2"/>
    </font>
    <font>
      <i/>
      <sz val="10"/>
      <name val="Tahoma"/>
      <family val="2"/>
    </font>
    <font>
      <sz val="11"/>
      <name val="Calibri"/>
      <family val="2"/>
    </font>
    <font>
      <sz val="11"/>
      <name val="Times New Roman"/>
      <family val="1"/>
    </font>
    <font>
      <vertAlign val="superscript"/>
      <sz val="11"/>
      <name val="Times New Roman"/>
      <family val="1"/>
    </font>
    <font>
      <b/>
      <sz val="11"/>
      <name val="Times New Roman"/>
      <family val="1"/>
    </font>
    <font>
      <i/>
      <sz val="8"/>
      <name val="Arial"/>
      <family val="2"/>
    </font>
    <font>
      <sz val="11"/>
      <color indexed="8"/>
      <name val="Calibri"/>
      <family val="2"/>
    </font>
    <font>
      <sz val="10"/>
      <name val="Times New Roman"/>
      <family val="1"/>
    </font>
    <font>
      <b/>
      <vertAlign val="superscript"/>
      <sz val="11"/>
      <color indexed="8"/>
      <name val="Times New Roman"/>
      <family val="1"/>
    </font>
    <font>
      <b/>
      <sz val="11"/>
      <color indexed="8"/>
      <name val="Times New Roman"/>
      <family val="1"/>
    </font>
    <font>
      <b/>
      <sz val="9"/>
      <color indexed="81"/>
      <name val="Tahoma"/>
      <family val="2"/>
    </font>
    <font>
      <b/>
      <u/>
      <sz val="8"/>
      <name val="Tahoma"/>
      <family val="2"/>
    </font>
    <font>
      <sz val="10"/>
      <name val="Arial MT"/>
    </font>
    <font>
      <b/>
      <sz val="9"/>
      <name val="Cambria"/>
      <family val="1"/>
    </font>
    <font>
      <sz val="9"/>
      <name val="Times New Roman"/>
      <family val="1"/>
    </font>
    <font>
      <b/>
      <sz val="8.5"/>
      <name val="Cambria"/>
      <family val="1"/>
    </font>
    <font>
      <b/>
      <sz val="8"/>
      <name val="Cambria"/>
      <family val="1"/>
    </font>
    <font>
      <sz val="8"/>
      <name val="Times New Roman"/>
      <family val="1"/>
    </font>
    <font>
      <sz val="8"/>
      <name val="Cambria"/>
      <family val="1"/>
    </font>
    <font>
      <b/>
      <sz val="9"/>
      <color indexed="10"/>
      <name val="Cambria"/>
      <family val="1"/>
    </font>
    <font>
      <sz val="9"/>
      <color indexed="10"/>
      <name val="Times New Roman"/>
      <family val="1"/>
    </font>
    <font>
      <b/>
      <sz val="10"/>
      <name val="Arial MT"/>
    </font>
    <font>
      <b/>
      <sz val="11"/>
      <name val="Calibri"/>
      <family val="2"/>
    </font>
    <font>
      <b/>
      <sz val="16"/>
      <name val="Calibri"/>
      <family val="2"/>
    </font>
    <font>
      <sz val="16"/>
      <name val="Times New Roman"/>
      <family val="1"/>
    </font>
    <font>
      <sz val="12"/>
      <name val="Times New Roman"/>
      <family val="1"/>
    </font>
    <font>
      <sz val="11"/>
      <color theme="1"/>
      <name val="Calibri"/>
      <family val="2"/>
      <scheme val="minor"/>
    </font>
    <font>
      <sz val="11"/>
      <color theme="1"/>
      <name val="Adobe Arabic"/>
      <family val="2"/>
    </font>
    <font>
      <b/>
      <sz val="11"/>
      <color theme="1"/>
      <name val="Calibri"/>
      <family val="2"/>
      <scheme val="minor"/>
    </font>
    <font>
      <sz val="10"/>
      <color rgb="FF000000"/>
      <name val="Arial"/>
      <family val="2"/>
    </font>
    <font>
      <sz val="11"/>
      <color rgb="FF000000"/>
      <name val="Times New Roman"/>
      <family val="1"/>
    </font>
    <font>
      <b/>
      <sz val="11"/>
      <color rgb="FF000000"/>
      <name val="Times New Roman"/>
      <family val="1"/>
    </font>
    <font>
      <b/>
      <sz val="10"/>
      <color rgb="FF000000"/>
      <name val="Times New Roman"/>
      <family val="1"/>
    </font>
    <font>
      <sz val="10"/>
      <color rgb="FF000000"/>
      <name val="Times New Roman"/>
      <family val="1"/>
    </font>
    <font>
      <b/>
      <sz val="12"/>
      <color rgb="FF000000"/>
      <name val="Times New Roman"/>
      <family val="1"/>
    </font>
    <font>
      <sz val="12"/>
      <color rgb="FF000000"/>
      <name val="Times New Roman"/>
      <family val="1"/>
    </font>
    <font>
      <sz val="11"/>
      <color rgb="FF000000"/>
      <name val="Arial"/>
      <family val="2"/>
    </font>
    <font>
      <b/>
      <sz val="11"/>
      <color rgb="FF000000"/>
      <name val="Arial"/>
      <family val="2"/>
    </font>
    <font>
      <sz val="11"/>
      <color theme="1"/>
      <name val="Arial"/>
      <family val="2"/>
    </font>
    <font>
      <sz val="11"/>
      <color rgb="FFFF0000"/>
      <name val="Arial"/>
      <family val="2"/>
    </font>
    <font>
      <u/>
      <sz val="10"/>
      <color theme="1"/>
      <name val="Arial"/>
      <family val="2"/>
    </font>
    <font>
      <sz val="8"/>
      <color rgb="FF000000"/>
      <name val="Cambria"/>
      <family val="2"/>
    </font>
    <font>
      <b/>
      <sz val="8"/>
      <color rgb="FF000000"/>
      <name val="Cambria"/>
      <family val="2"/>
    </font>
    <font>
      <i/>
      <sz val="10"/>
      <color theme="1"/>
      <name val="Arial"/>
      <family val="2"/>
    </font>
    <font>
      <b/>
      <sz val="10"/>
      <color rgb="FFFF0000"/>
      <name val="Arial"/>
      <family val="2"/>
    </font>
    <font>
      <b/>
      <sz val="10"/>
      <color theme="0"/>
      <name val="Arial"/>
      <family val="2"/>
    </font>
    <font>
      <sz val="10"/>
      <color theme="0"/>
      <name val="Arial"/>
      <family val="2"/>
    </font>
    <font>
      <sz val="10"/>
      <color rgb="FFFF0000"/>
      <name val="Arial"/>
      <family val="2"/>
    </font>
    <font>
      <sz val="10"/>
      <color theme="1"/>
      <name val="Arial"/>
      <family val="2"/>
    </font>
    <font>
      <b/>
      <sz val="10"/>
      <color theme="1"/>
      <name val="Arial"/>
      <family val="2"/>
    </font>
  </fonts>
  <fills count="9">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7030A0"/>
        <bgColor indexed="64"/>
      </patternFill>
    </fill>
  </fills>
  <borders count="132">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right/>
      <top style="thin">
        <color indexed="64"/>
      </top>
      <bottom style="double">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double">
        <color indexed="64"/>
      </bottom>
      <diagonal/>
    </border>
    <border>
      <left/>
      <right/>
      <top/>
      <bottom style="hair">
        <color indexed="64"/>
      </bottom>
      <diagonal/>
    </border>
    <border>
      <left/>
      <right style="thin">
        <color indexed="64"/>
      </right>
      <top/>
      <bottom style="thin">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hair">
        <color indexed="64"/>
      </left>
      <right/>
      <top/>
      <bottom/>
      <diagonal/>
    </border>
    <border>
      <left style="thin">
        <color indexed="64"/>
      </left>
      <right style="thin">
        <color indexed="64"/>
      </right>
      <top/>
      <bottom/>
      <diagonal/>
    </border>
    <border>
      <left/>
      <right style="thin">
        <color indexed="64"/>
      </right>
      <top/>
      <bottom/>
      <diagonal/>
    </border>
    <border>
      <left style="hair">
        <color indexed="64"/>
      </left>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hair">
        <color indexed="64"/>
      </left>
      <right/>
      <top style="hair">
        <color indexed="64"/>
      </top>
      <bottom style="hair">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double">
        <color indexed="64"/>
      </bottom>
      <diagonal/>
    </border>
    <border>
      <left/>
      <right style="hair">
        <color indexed="64"/>
      </right>
      <top/>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style="double">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style="double">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66">
    <xf numFmtId="0" fontId="0" fillId="0" borderId="0"/>
    <xf numFmtId="165" fontId="1" fillId="0" borderId="0" applyFont="0" applyFill="0" applyBorder="0" applyAlignment="0" applyProtection="0"/>
    <xf numFmtId="165" fontId="6" fillId="0" borderId="0" applyFont="0" applyFill="0" applyBorder="0" applyAlignment="0" applyProtection="0"/>
    <xf numFmtId="165" fontId="13" fillId="0" borderId="0" applyFont="0" applyFill="0" applyBorder="0" applyAlignment="0" applyProtection="0"/>
    <xf numFmtId="165" fontId="29" fillId="0" borderId="0" applyFont="0" applyFill="0" applyBorder="0" applyAlignment="0" applyProtection="0"/>
    <xf numFmtId="164" fontId="6" fillId="0" borderId="0" applyFon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66" fillId="0" borderId="0"/>
    <xf numFmtId="0" fontId="13" fillId="0" borderId="0"/>
    <xf numFmtId="0" fontId="66" fillId="0" borderId="0"/>
    <xf numFmtId="0" fontId="13" fillId="0" borderId="0"/>
    <xf numFmtId="0" fontId="13" fillId="0" borderId="0"/>
    <xf numFmtId="0" fontId="45" fillId="0" borderId="0"/>
    <xf numFmtId="0" fontId="45" fillId="0" borderId="0"/>
    <xf numFmtId="0" fontId="6" fillId="0" borderId="0"/>
    <xf numFmtId="0" fontId="1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6" fillId="0" borderId="0"/>
    <xf numFmtId="0" fontId="13" fillId="0" borderId="0"/>
    <xf numFmtId="0" fontId="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1" fillId="0" borderId="0"/>
    <xf numFmtId="0" fontId="6" fillId="0" borderId="0"/>
    <xf numFmtId="0" fontId="6" fillId="0" borderId="0"/>
    <xf numFmtId="0" fontId="13" fillId="0" borderId="0"/>
    <xf numFmtId="0" fontId="13" fillId="0" borderId="0"/>
    <xf numFmtId="0" fontId="13" fillId="0" borderId="0"/>
    <xf numFmtId="0" fontId="45" fillId="0" borderId="0"/>
    <xf numFmtId="0" fontId="45" fillId="0" borderId="0"/>
    <xf numFmtId="0" fontId="45" fillId="0" borderId="0"/>
    <xf numFmtId="0" fontId="45" fillId="0" borderId="0"/>
    <xf numFmtId="0" fontId="45" fillId="0" borderId="0"/>
    <xf numFmtId="0" fontId="46" fillId="0" borderId="0"/>
    <xf numFmtId="0" fontId="13" fillId="0" borderId="0"/>
    <xf numFmtId="0" fontId="13" fillId="0" borderId="0"/>
    <xf numFmtId="0" fontId="13" fillId="0" borderId="0"/>
    <xf numFmtId="0" fontId="65" fillId="0" borderId="0"/>
    <xf numFmtId="0" fontId="65" fillId="0" borderId="0"/>
    <xf numFmtId="0" fontId="66" fillId="0" borderId="0"/>
    <xf numFmtId="0" fontId="13" fillId="0" borderId="0"/>
    <xf numFmtId="0" fontId="13" fillId="0" borderId="0"/>
    <xf numFmtId="0" fontId="66" fillId="0" borderId="0"/>
    <xf numFmtId="0" fontId="66" fillId="0" borderId="0"/>
    <xf numFmtId="0" fontId="66" fillId="0" borderId="0"/>
    <xf numFmtId="0" fontId="13"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cellStyleXfs>
  <cellXfs count="1208">
    <xf numFmtId="0" fontId="0" fillId="0" borderId="0" xfId="0"/>
    <xf numFmtId="0" fontId="4" fillId="0" borderId="0" xfId="0" applyFont="1"/>
    <xf numFmtId="0" fontId="3" fillId="0" borderId="0" xfId="0" applyFont="1"/>
    <xf numFmtId="2" fontId="0" fillId="0" borderId="0" xfId="0" applyNumberFormat="1"/>
    <xf numFmtId="0" fontId="3" fillId="0" borderId="1" xfId="0" applyFont="1" applyBorder="1"/>
    <xf numFmtId="2" fontId="3" fillId="0" borderId="0" xfId="0" applyNumberFormat="1" applyFont="1"/>
    <xf numFmtId="2" fontId="3" fillId="0" borderId="0" xfId="0" applyNumberFormat="1" applyFont="1" applyFill="1" applyBorder="1"/>
    <xf numFmtId="0" fontId="6" fillId="0" borderId="0" xfId="0" applyFont="1"/>
    <xf numFmtId="2" fontId="0" fillId="0" borderId="1" xfId="0" applyNumberFormat="1" applyBorder="1"/>
    <xf numFmtId="0" fontId="0" fillId="0" borderId="1" xfId="0" applyBorder="1"/>
    <xf numFmtId="2" fontId="6" fillId="0" borderId="2" xfId="0" applyNumberFormat="1" applyFont="1" applyFill="1" applyBorder="1" applyAlignment="1">
      <alignment horizontal="center" vertical="top" wrapText="1"/>
    </xf>
    <xf numFmtId="1" fontId="0" fillId="0" borderId="1" xfId="0" applyNumberFormat="1" applyBorder="1"/>
    <xf numFmtId="14" fontId="0" fillId="0" borderId="1" xfId="0" applyNumberFormat="1" applyBorder="1"/>
    <xf numFmtId="169" fontId="0" fillId="0" borderId="1" xfId="0" applyNumberFormat="1" applyBorder="1"/>
    <xf numFmtId="0" fontId="6" fillId="0" borderId="1" xfId="0" applyFont="1" applyBorder="1"/>
    <xf numFmtId="0" fontId="3" fillId="0" borderId="1" xfId="0" applyFont="1" applyBorder="1" applyAlignment="1">
      <alignment wrapText="1"/>
    </xf>
    <xf numFmtId="0" fontId="0" fillId="0" borderId="3" xfId="0" applyBorder="1"/>
    <xf numFmtId="0" fontId="3" fillId="0" borderId="0" xfId="0" quotePrefix="1" applyFont="1"/>
    <xf numFmtId="0" fontId="6" fillId="0" borderId="0" xfId="61" applyFont="1" applyFill="1"/>
    <xf numFmtId="0" fontId="6" fillId="0" borderId="0" xfId="61" applyFont="1"/>
    <xf numFmtId="0" fontId="3" fillId="0" borderId="4" xfId="61" applyFont="1" applyFill="1" applyBorder="1"/>
    <xf numFmtId="0" fontId="3" fillId="0" borderId="0" xfId="61" applyFont="1" applyFill="1" applyBorder="1"/>
    <xf numFmtId="0" fontId="4" fillId="0" borderId="0" xfId="61" applyFont="1" applyFill="1" applyBorder="1"/>
    <xf numFmtId="0" fontId="3" fillId="0" borderId="5" xfId="61" applyFont="1" applyFill="1" applyBorder="1" applyAlignment="1">
      <alignment horizontal="right" wrapText="1"/>
    </xf>
    <xf numFmtId="0" fontId="6" fillId="0" borderId="4" xfId="61" applyFont="1" applyFill="1" applyBorder="1"/>
    <xf numFmtId="0" fontId="6" fillId="0" borderId="0" xfId="61" applyFont="1" applyFill="1" applyBorder="1"/>
    <xf numFmtId="0" fontId="3" fillId="0" borderId="5" xfId="61" applyFont="1" applyFill="1" applyBorder="1" applyAlignment="1">
      <alignment horizontal="center"/>
    </xf>
    <xf numFmtId="0" fontId="6" fillId="0" borderId="0" xfId="61" applyFont="1" applyAlignment="1">
      <alignment horizontal="right"/>
    </xf>
    <xf numFmtId="0" fontId="6" fillId="0" borderId="4" xfId="61" quotePrefix="1" applyFont="1" applyFill="1" applyBorder="1" applyAlignment="1">
      <alignment horizontal="center"/>
    </xf>
    <xf numFmtId="2" fontId="6" fillId="0" borderId="5" xfId="61" applyNumberFormat="1" applyFont="1" applyFill="1" applyBorder="1"/>
    <xf numFmtId="0" fontId="6" fillId="0" borderId="0" xfId="61" applyFont="1" applyFill="1" applyBorder="1" applyAlignment="1">
      <alignment horizontal="center"/>
    </xf>
    <xf numFmtId="2" fontId="3" fillId="0" borderId="6" xfId="61" applyNumberFormat="1" applyFont="1" applyFill="1" applyBorder="1" applyAlignment="1">
      <alignment horizontal="right"/>
    </xf>
    <xf numFmtId="1" fontId="6" fillId="0" borderId="0" xfId="61" applyNumberFormat="1" applyFont="1" applyFill="1" applyBorder="1" applyAlignment="1">
      <alignment horizontal="right"/>
    </xf>
    <xf numFmtId="2" fontId="6" fillId="0" borderId="0" xfId="61" applyNumberFormat="1" applyFont="1"/>
    <xf numFmtId="0" fontId="6" fillId="0" borderId="7" xfId="61" quotePrefix="1" applyFont="1" applyFill="1" applyBorder="1"/>
    <xf numFmtId="0" fontId="6" fillId="0" borderId="8" xfId="61" applyFont="1" applyFill="1" applyBorder="1"/>
    <xf numFmtId="1" fontId="6" fillId="0" borderId="9" xfId="61" applyNumberFormat="1" applyFont="1" applyFill="1" applyBorder="1"/>
    <xf numFmtId="0" fontId="6" fillId="0" borderId="4" xfId="61" applyFont="1" applyFill="1" applyBorder="1" applyAlignment="1">
      <alignment horizontal="center"/>
    </xf>
    <xf numFmtId="1" fontId="6" fillId="0" borderId="5" xfId="61" applyNumberFormat="1" applyFont="1" applyFill="1" applyBorder="1"/>
    <xf numFmtId="2" fontId="3" fillId="0" borderId="6" xfId="61" applyNumberFormat="1" applyFont="1" applyFill="1" applyBorder="1"/>
    <xf numFmtId="0" fontId="6" fillId="0" borderId="7" xfId="61" applyFont="1" applyFill="1" applyBorder="1"/>
    <xf numFmtId="0" fontId="6" fillId="0" borderId="0" xfId="61" applyFont="1" applyBorder="1"/>
    <xf numFmtId="0" fontId="14" fillId="0" borderId="0" xfId="61" applyFont="1"/>
    <xf numFmtId="2" fontId="6" fillId="0" borderId="0" xfId="0" applyNumberFormat="1" applyFont="1" applyFill="1" applyBorder="1"/>
    <xf numFmtId="0" fontId="6" fillId="0" borderId="2" xfId="0" applyFont="1" applyFill="1" applyBorder="1" applyAlignment="1">
      <alignment horizontal="center" vertical="top" wrapText="1"/>
    </xf>
    <xf numFmtId="0" fontId="6" fillId="0" borderId="2" xfId="0" applyFont="1" applyFill="1" applyBorder="1" applyAlignment="1">
      <alignment horizontal="justify" vertical="top" wrapText="1"/>
    </xf>
    <xf numFmtId="1" fontId="6" fillId="0" borderId="2" xfId="0" applyNumberFormat="1" applyFont="1" applyFill="1" applyBorder="1" applyAlignment="1">
      <alignment horizontal="center" vertical="top" wrapText="1"/>
    </xf>
    <xf numFmtId="2" fontId="6" fillId="0" borderId="2" xfId="0" applyNumberFormat="1" applyFont="1" applyFill="1" applyBorder="1" applyAlignment="1">
      <alignment horizontal="right" vertical="top" wrapText="1"/>
    </xf>
    <xf numFmtId="2" fontId="6" fillId="0" borderId="10" xfId="0" applyNumberFormat="1" applyFont="1" applyFill="1" applyBorder="1" applyAlignment="1">
      <alignment horizontal="center" vertical="top" wrapText="1"/>
    </xf>
    <xf numFmtId="2" fontId="6" fillId="0" borderId="10" xfId="0" applyNumberFormat="1" applyFont="1" applyFill="1" applyBorder="1" applyAlignment="1">
      <alignment horizontal="right" vertical="top" wrapText="1"/>
    </xf>
    <xf numFmtId="0" fontId="3" fillId="0" borderId="0" xfId="0" applyFont="1" applyFill="1"/>
    <xf numFmtId="0" fontId="6" fillId="0" borderId="0" xfId="0" applyFont="1" applyFill="1"/>
    <xf numFmtId="0" fontId="3" fillId="0" borderId="0" xfId="0" applyFont="1" applyFill="1" applyAlignment="1">
      <alignment horizontal="right"/>
    </xf>
    <xf numFmtId="0" fontId="3" fillId="0" borderId="3" xfId="0" applyFont="1" applyFill="1" applyBorder="1"/>
    <xf numFmtId="0" fontId="6" fillId="0" borderId="3" xfId="0" applyFont="1" applyFill="1" applyBorder="1"/>
    <xf numFmtId="2" fontId="3" fillId="0" borderId="3" xfId="0" applyNumberFormat="1" applyFont="1" applyFill="1" applyBorder="1" applyAlignment="1">
      <alignment horizontal="right"/>
    </xf>
    <xf numFmtId="0" fontId="3" fillId="0" borderId="0" xfId="0" applyFont="1" applyFill="1" applyAlignment="1">
      <alignment horizontal="left"/>
    </xf>
    <xf numFmtId="2" fontId="3" fillId="0" borderId="0" xfId="0" applyNumberFormat="1" applyFont="1" applyFill="1"/>
    <xf numFmtId="0" fontId="3" fillId="0" borderId="8" xfId="0" applyFont="1" applyFill="1" applyBorder="1"/>
    <xf numFmtId="2" fontId="3" fillId="0" borderId="8" xfId="0" applyNumberFormat="1" applyFont="1" applyFill="1" applyBorder="1"/>
    <xf numFmtId="0" fontId="3" fillId="0" borderId="11" xfId="0" applyFont="1" applyFill="1" applyBorder="1"/>
    <xf numFmtId="2" fontId="3" fillId="0" borderId="11" xfId="0" applyNumberFormat="1" applyFont="1" applyFill="1" applyBorder="1"/>
    <xf numFmtId="2" fontId="4" fillId="0" borderId="0" xfId="0" applyNumberFormat="1" applyFont="1" applyFill="1" applyBorder="1" applyAlignment="1">
      <alignment horizontal="center"/>
    </xf>
    <xf numFmtId="2" fontId="6" fillId="0" borderId="4" xfId="0" applyNumberFormat="1" applyFont="1" applyFill="1" applyBorder="1"/>
    <xf numFmtId="2" fontId="3" fillId="0" borderId="12" xfId="0" applyNumberFormat="1" applyFont="1" applyFill="1" applyBorder="1"/>
    <xf numFmtId="2" fontId="3" fillId="0" borderId="13" xfId="0" applyNumberFormat="1" applyFont="1" applyFill="1" applyBorder="1"/>
    <xf numFmtId="2" fontId="3" fillId="0" borderId="3" xfId="0" applyNumberFormat="1" applyFont="1" applyFill="1" applyBorder="1"/>
    <xf numFmtId="2" fontId="6" fillId="0" borderId="0" xfId="0" applyNumberFormat="1" applyFont="1" applyFill="1"/>
    <xf numFmtId="2" fontId="6" fillId="0" borderId="5" xfId="0" applyNumberFormat="1" applyFont="1" applyFill="1" applyBorder="1"/>
    <xf numFmtId="168" fontId="6" fillId="0" borderId="0" xfId="0" applyNumberFormat="1" applyFont="1" applyFill="1"/>
    <xf numFmtId="2" fontId="3" fillId="0" borderId="1" xfId="0" applyNumberFormat="1" applyFont="1" applyFill="1" applyBorder="1"/>
    <xf numFmtId="2" fontId="4" fillId="0" borderId="0" xfId="0" applyNumberFormat="1" applyFont="1" applyFill="1" applyBorder="1"/>
    <xf numFmtId="2" fontId="4" fillId="0" borderId="0" xfId="0" applyNumberFormat="1" applyFont="1" applyFill="1"/>
    <xf numFmtId="0" fontId="4" fillId="0" borderId="0" xfId="0" applyFont="1" applyFill="1"/>
    <xf numFmtId="0" fontId="15" fillId="0" borderId="0" xfId="0" applyFont="1" applyFill="1"/>
    <xf numFmtId="0" fontId="6" fillId="0" borderId="0" xfId="0" applyFont="1" applyFill="1" applyAlignment="1">
      <alignment horizontal="center"/>
    </xf>
    <xf numFmtId="0" fontId="7" fillId="0" borderId="0" xfId="0" applyFont="1" applyFill="1" applyAlignment="1">
      <alignment horizontal="center"/>
    </xf>
    <xf numFmtId="0" fontId="3" fillId="0" borderId="14" xfId="0" applyFont="1" applyFill="1" applyBorder="1"/>
    <xf numFmtId="0" fontId="3" fillId="0" borderId="0" xfId="0" applyFont="1" applyFill="1" applyBorder="1"/>
    <xf numFmtId="9" fontId="3" fillId="0" borderId="0" xfId="0" applyNumberFormat="1" applyFont="1" applyFill="1" applyBorder="1"/>
    <xf numFmtId="0" fontId="4" fillId="0" borderId="14" xfId="0" applyFont="1" applyFill="1" applyBorder="1"/>
    <xf numFmtId="0" fontId="3" fillId="0" borderId="15" xfId="0" applyFont="1" applyFill="1" applyBorder="1"/>
    <xf numFmtId="0" fontId="3" fillId="0" borderId="0" xfId="0" applyFont="1" applyFill="1" applyBorder="1" applyAlignment="1">
      <alignment horizontal="center"/>
    </xf>
    <xf numFmtId="0" fontId="6" fillId="0" borderId="14" xfId="0" applyFont="1" applyFill="1" applyBorder="1"/>
    <xf numFmtId="0" fontId="6" fillId="0" borderId="0" xfId="0" applyFont="1" applyFill="1" applyBorder="1"/>
    <xf numFmtId="9" fontId="6" fillId="0" borderId="0" xfId="0" applyNumberFormat="1" applyFont="1" applyFill="1" applyBorder="1"/>
    <xf numFmtId="10" fontId="6" fillId="0" borderId="0" xfId="0" applyNumberFormat="1" applyFont="1" applyFill="1" applyBorder="1"/>
    <xf numFmtId="0" fontId="6" fillId="0" borderId="17" xfId="0" applyFont="1" applyFill="1" applyBorder="1"/>
    <xf numFmtId="0" fontId="6" fillId="0" borderId="18" xfId="0" applyFont="1" applyFill="1" applyBorder="1"/>
    <xf numFmtId="2" fontId="6" fillId="0" borderId="19" xfId="0" applyNumberFormat="1" applyFont="1" applyFill="1" applyBorder="1"/>
    <xf numFmtId="2" fontId="6" fillId="0" borderId="3" xfId="0" applyNumberFormat="1" applyFont="1" applyFill="1" applyBorder="1"/>
    <xf numFmtId="0" fontId="6" fillId="0" borderId="0" xfId="0" applyFont="1" applyFill="1" applyBorder="1" applyAlignment="1">
      <alignment horizontal="center" vertical="top" wrapText="1"/>
    </xf>
    <xf numFmtId="0" fontId="3" fillId="0" borderId="20" xfId="0" applyFont="1" applyFill="1" applyBorder="1" applyAlignment="1">
      <alignment horizontal="center" vertical="top" wrapText="1"/>
    </xf>
    <xf numFmtId="0" fontId="3" fillId="0" borderId="20" xfId="0" applyFont="1" applyFill="1" applyBorder="1" applyAlignment="1">
      <alignment horizontal="justify" vertical="top" wrapText="1"/>
    </xf>
    <xf numFmtId="2" fontId="3" fillId="0" borderId="20" xfId="0" applyNumberFormat="1" applyFont="1" applyFill="1" applyBorder="1" applyAlignment="1">
      <alignment horizontal="center" vertical="top" wrapText="1"/>
    </xf>
    <xf numFmtId="0" fontId="3" fillId="0" borderId="21" xfId="0" applyFont="1" applyFill="1" applyBorder="1" applyAlignment="1">
      <alignment horizontal="center" vertical="top" wrapText="1"/>
    </xf>
    <xf numFmtId="0" fontId="3" fillId="0" borderId="21" xfId="0" applyFont="1" applyFill="1" applyBorder="1" applyAlignment="1">
      <alignment horizontal="justify" vertical="top" wrapText="1"/>
    </xf>
    <xf numFmtId="2" fontId="3" fillId="0" borderId="21" xfId="0" applyNumberFormat="1" applyFont="1" applyFill="1" applyBorder="1" applyAlignment="1">
      <alignment horizontal="center" vertical="top" wrapText="1"/>
    </xf>
    <xf numFmtId="0" fontId="6" fillId="0" borderId="22" xfId="0" applyFont="1" applyFill="1" applyBorder="1" applyAlignment="1">
      <alignment horizontal="center" vertical="top" wrapText="1"/>
    </xf>
    <xf numFmtId="0" fontId="6" fillId="0" borderId="22" xfId="0" applyFont="1" applyFill="1" applyBorder="1" applyAlignment="1">
      <alignment horizontal="justify" vertical="top" wrapText="1"/>
    </xf>
    <xf numFmtId="0" fontId="6" fillId="0" borderId="10" xfId="0" applyFont="1" applyFill="1" applyBorder="1" applyAlignment="1">
      <alignment horizontal="center" vertical="top" wrapText="1"/>
    </xf>
    <xf numFmtId="0" fontId="6" fillId="0" borderId="10" xfId="0" applyFont="1" applyFill="1" applyBorder="1" applyAlignment="1">
      <alignment horizontal="justify" vertical="top" wrapText="1"/>
    </xf>
    <xf numFmtId="2" fontId="6" fillId="0" borderId="23" xfId="0" applyNumberFormat="1" applyFont="1" applyFill="1" applyBorder="1" applyAlignment="1">
      <alignment horizontal="right" vertical="top" wrapText="1"/>
    </xf>
    <xf numFmtId="0" fontId="6" fillId="0" borderId="24" xfId="0" applyFont="1" applyFill="1" applyBorder="1" applyAlignment="1">
      <alignment horizontal="center" vertical="top" wrapText="1"/>
    </xf>
    <xf numFmtId="0" fontId="6" fillId="0" borderId="24" xfId="0" applyFont="1" applyFill="1" applyBorder="1" applyAlignment="1">
      <alignment horizontal="justify" vertical="top" wrapText="1"/>
    </xf>
    <xf numFmtId="1" fontId="6" fillId="0" borderId="24" xfId="0" applyNumberFormat="1" applyFont="1" applyFill="1" applyBorder="1" applyAlignment="1">
      <alignment horizontal="center" vertical="top" wrapText="1"/>
    </xf>
    <xf numFmtId="2" fontId="6" fillId="0" borderId="24" xfId="0" applyNumberFormat="1" applyFont="1" applyFill="1" applyBorder="1" applyAlignment="1">
      <alignment horizontal="center" vertical="top" wrapText="1"/>
    </xf>
    <xf numFmtId="2" fontId="6" fillId="0" borderId="24" xfId="0" applyNumberFormat="1" applyFont="1" applyFill="1" applyBorder="1" applyAlignment="1">
      <alignment horizontal="right" vertical="top" wrapText="1"/>
    </xf>
    <xf numFmtId="0" fontId="3" fillId="0" borderId="1" xfId="0" applyFont="1" applyFill="1" applyBorder="1" applyAlignment="1">
      <alignment horizontal="center" vertical="top" wrapText="1"/>
    </xf>
    <xf numFmtId="0" fontId="3" fillId="0" borderId="1" xfId="0" applyFont="1" applyFill="1" applyBorder="1" applyAlignment="1">
      <alignment horizontal="justify" vertical="top" wrapText="1"/>
    </xf>
    <xf numFmtId="2" fontId="3" fillId="0" borderId="1" xfId="0" applyNumberFormat="1" applyFont="1" applyFill="1" applyBorder="1" applyAlignment="1">
      <alignment horizontal="center" vertical="top" wrapText="1"/>
    </xf>
    <xf numFmtId="0" fontId="6" fillId="0" borderId="0" xfId="0" applyFont="1" applyFill="1" applyBorder="1" applyAlignment="1">
      <alignment horizontal="justify" vertical="top" wrapText="1"/>
    </xf>
    <xf numFmtId="2" fontId="6" fillId="0" borderId="0" xfId="0" applyNumberFormat="1" applyFont="1" applyFill="1" applyBorder="1" applyAlignment="1">
      <alignment horizontal="center" vertical="top" wrapText="1"/>
    </xf>
    <xf numFmtId="2" fontId="6" fillId="0" borderId="0" xfId="0" applyNumberFormat="1" applyFont="1" applyFill="1" applyBorder="1" applyAlignment="1">
      <alignment horizontal="right" vertical="top" wrapText="1"/>
    </xf>
    <xf numFmtId="0" fontId="3" fillId="0" borderId="24" xfId="0" applyFont="1" applyFill="1" applyBorder="1" applyAlignment="1">
      <alignment horizontal="center" vertical="top" wrapText="1"/>
    </xf>
    <xf numFmtId="0" fontId="3" fillId="0" borderId="24" xfId="0" applyFont="1" applyFill="1" applyBorder="1" applyAlignment="1">
      <alignment horizontal="justify" vertical="top" wrapText="1"/>
    </xf>
    <xf numFmtId="2" fontId="3" fillId="0" borderId="24" xfId="0" applyNumberFormat="1" applyFont="1" applyFill="1" applyBorder="1" applyAlignment="1">
      <alignment horizontal="center" vertical="top" wrapText="1"/>
    </xf>
    <xf numFmtId="2" fontId="3" fillId="0" borderId="24" xfId="0" applyNumberFormat="1" applyFont="1" applyFill="1" applyBorder="1" applyAlignment="1">
      <alignment horizontal="right" vertical="top" wrapText="1"/>
    </xf>
    <xf numFmtId="0" fontId="3" fillId="0" borderId="22" xfId="0" applyFont="1" applyFill="1" applyBorder="1" applyAlignment="1">
      <alignment horizontal="center" vertical="top" wrapText="1"/>
    </xf>
    <xf numFmtId="0" fontId="3" fillId="0" borderId="22" xfId="0" applyFont="1" applyFill="1" applyBorder="1" applyAlignment="1">
      <alignment horizontal="justify" vertical="top" wrapText="1"/>
    </xf>
    <xf numFmtId="1" fontId="3" fillId="0" borderId="22" xfId="0" applyNumberFormat="1" applyFont="1" applyFill="1" applyBorder="1" applyAlignment="1">
      <alignment horizontal="center" vertical="top" wrapText="1"/>
    </xf>
    <xf numFmtId="2" fontId="3" fillId="0" borderId="22" xfId="0" applyNumberFormat="1" applyFont="1" applyFill="1" applyBorder="1" applyAlignment="1">
      <alignment horizontal="center" vertical="top" wrapText="1"/>
    </xf>
    <xf numFmtId="0" fontId="3" fillId="0" borderId="2" xfId="0" applyFont="1" applyFill="1" applyBorder="1" applyAlignment="1">
      <alignment horizontal="center" vertical="top" wrapText="1"/>
    </xf>
    <xf numFmtId="0" fontId="3" fillId="0" borderId="2" xfId="0" applyFont="1" applyFill="1" applyBorder="1" applyAlignment="1">
      <alignment horizontal="justify" vertical="top" wrapText="1"/>
    </xf>
    <xf numFmtId="2" fontId="3" fillId="0" borderId="2" xfId="0" applyNumberFormat="1" applyFont="1" applyFill="1" applyBorder="1" applyAlignment="1">
      <alignment horizontal="center" vertical="top" wrapText="1"/>
    </xf>
    <xf numFmtId="2" fontId="3" fillId="0" borderId="2" xfId="0" applyNumberFormat="1" applyFont="1" applyFill="1" applyBorder="1" applyAlignment="1">
      <alignment horizontal="right" vertical="top" wrapText="1"/>
    </xf>
    <xf numFmtId="0" fontId="3" fillId="0" borderId="10" xfId="0" applyFont="1" applyFill="1" applyBorder="1" applyAlignment="1">
      <alignment horizontal="center" vertical="top" wrapText="1"/>
    </xf>
    <xf numFmtId="0" fontId="3" fillId="0" borderId="10" xfId="0" applyFont="1" applyFill="1" applyBorder="1" applyAlignment="1">
      <alignment horizontal="justify" vertical="top" wrapText="1"/>
    </xf>
    <xf numFmtId="1" fontId="3" fillId="0" borderId="10" xfId="0" applyNumberFormat="1" applyFont="1" applyFill="1" applyBorder="1" applyAlignment="1">
      <alignment horizontal="center" vertical="top" wrapText="1"/>
    </xf>
    <xf numFmtId="2" fontId="3" fillId="0" borderId="10" xfId="0" applyNumberFormat="1" applyFont="1" applyFill="1" applyBorder="1" applyAlignment="1">
      <alignment horizontal="center" vertical="top" wrapText="1"/>
    </xf>
    <xf numFmtId="2" fontId="6" fillId="0" borderId="25" xfId="0" applyNumberFormat="1" applyFont="1" applyFill="1" applyBorder="1" applyAlignment="1">
      <alignment horizontal="right" vertical="top" wrapText="1"/>
    </xf>
    <xf numFmtId="2" fontId="3" fillId="0" borderId="10" xfId="0" applyNumberFormat="1" applyFont="1" applyFill="1" applyBorder="1" applyAlignment="1">
      <alignment horizontal="right" vertical="top" wrapText="1"/>
    </xf>
    <xf numFmtId="0" fontId="3" fillId="0" borderId="1" xfId="0" applyFont="1" applyFill="1" applyBorder="1"/>
    <xf numFmtId="0" fontId="4" fillId="0" borderId="1" xfId="0" applyFont="1" applyFill="1" applyBorder="1"/>
    <xf numFmtId="9" fontId="3" fillId="0" borderId="1" xfId="0" applyNumberFormat="1" applyFont="1" applyFill="1" applyBorder="1" applyAlignment="1">
      <alignment horizontal="center"/>
    </xf>
    <xf numFmtId="1" fontId="3" fillId="0" borderId="1" xfId="0" applyNumberFormat="1" applyFont="1" applyFill="1" applyBorder="1"/>
    <xf numFmtId="2" fontId="3" fillId="0" borderId="20" xfId="0" applyNumberFormat="1" applyFont="1" applyFill="1" applyBorder="1"/>
    <xf numFmtId="2" fontId="3" fillId="0" borderId="29" xfId="0" applyNumberFormat="1" applyFont="1" applyFill="1" applyBorder="1"/>
    <xf numFmtId="2" fontId="3" fillId="0" borderId="30" xfId="0" applyNumberFormat="1" applyFont="1" applyFill="1" applyBorder="1"/>
    <xf numFmtId="1" fontId="6" fillId="0" borderId="0" xfId="0" applyNumberFormat="1" applyFont="1" applyFill="1"/>
    <xf numFmtId="1" fontId="4" fillId="0" borderId="0" xfId="0" applyNumberFormat="1" applyFont="1" applyFill="1"/>
    <xf numFmtId="2" fontId="6" fillId="0" borderId="1" xfId="0" applyNumberFormat="1" applyFont="1" applyFill="1" applyBorder="1"/>
    <xf numFmtId="1" fontId="6" fillId="0" borderId="1" xfId="0" applyNumberFormat="1" applyFont="1" applyFill="1" applyBorder="1"/>
    <xf numFmtId="2" fontId="6" fillId="0" borderId="20" xfId="0" applyNumberFormat="1" applyFont="1" applyFill="1" applyBorder="1"/>
    <xf numFmtId="1" fontId="6" fillId="0" borderId="30" xfId="0" applyNumberFormat="1" applyFont="1" applyFill="1" applyBorder="1"/>
    <xf numFmtId="1" fontId="6" fillId="0" borderId="0" xfId="0" applyNumberFormat="1" applyFont="1" applyFill="1" applyBorder="1"/>
    <xf numFmtId="0" fontId="3" fillId="0" borderId="19" xfId="0" applyFont="1" applyFill="1" applyBorder="1" applyAlignment="1">
      <alignment horizontal="center"/>
    </xf>
    <xf numFmtId="2" fontId="4" fillId="0" borderId="4" xfId="0" applyNumberFormat="1" applyFont="1" applyFill="1" applyBorder="1"/>
    <xf numFmtId="0" fontId="6" fillId="0" borderId="31" xfId="0" applyFont="1" applyFill="1" applyBorder="1"/>
    <xf numFmtId="0" fontId="6" fillId="0" borderId="19" xfId="0" applyFont="1" applyFill="1" applyBorder="1"/>
    <xf numFmtId="0" fontId="6" fillId="0" borderId="31" xfId="0" applyFont="1" applyFill="1" applyBorder="1" applyAlignment="1">
      <alignment horizontal="left"/>
    </xf>
    <xf numFmtId="2" fontId="3" fillId="0" borderId="19" xfId="0" applyNumberFormat="1" applyFont="1" applyFill="1" applyBorder="1" applyAlignment="1">
      <alignment horizontal="center" wrapText="1"/>
    </xf>
    <xf numFmtId="2" fontId="3" fillId="0" borderId="32" xfId="0" applyNumberFormat="1" applyFont="1" applyFill="1" applyBorder="1" applyAlignment="1">
      <alignment horizontal="center" wrapText="1"/>
    </xf>
    <xf numFmtId="2" fontId="3" fillId="0" borderId="32" xfId="0" applyNumberFormat="1" applyFont="1" applyFill="1" applyBorder="1" applyAlignment="1">
      <alignment horizontal="center"/>
    </xf>
    <xf numFmtId="0" fontId="3" fillId="0" borderId="31" xfId="0" applyFont="1" applyFill="1" applyBorder="1" applyAlignment="1">
      <alignment horizontal="left"/>
    </xf>
    <xf numFmtId="10" fontId="3" fillId="0" borderId="19" xfId="0" applyNumberFormat="1" applyFont="1" applyFill="1" applyBorder="1" applyAlignment="1">
      <alignment horizontal="center"/>
    </xf>
    <xf numFmtId="10" fontId="3" fillId="0" borderId="32" xfId="0" applyNumberFormat="1" applyFont="1" applyFill="1" applyBorder="1" applyAlignment="1">
      <alignment horizontal="center"/>
    </xf>
    <xf numFmtId="2" fontId="3" fillId="0" borderId="19" xfId="0" applyNumberFormat="1" applyFont="1" applyFill="1" applyBorder="1"/>
    <xf numFmtId="2" fontId="3" fillId="0" borderId="33" xfId="0" applyNumberFormat="1" applyFont="1" applyFill="1" applyBorder="1"/>
    <xf numFmtId="2" fontId="3" fillId="0" borderId="15" xfId="0" applyNumberFormat="1" applyFont="1" applyFill="1" applyBorder="1"/>
    <xf numFmtId="2" fontId="6" fillId="0" borderId="16" xfId="0" applyNumberFormat="1" applyFont="1" applyFill="1" applyBorder="1"/>
    <xf numFmtId="2" fontId="6" fillId="0" borderId="34" xfId="0" applyNumberFormat="1" applyFont="1" applyFill="1" applyBorder="1"/>
    <xf numFmtId="2" fontId="6" fillId="0" borderId="17" xfId="0" applyNumberFormat="1" applyFont="1" applyFill="1" applyBorder="1"/>
    <xf numFmtId="2" fontId="6" fillId="0" borderId="26" xfId="0" applyNumberFormat="1" applyFont="1" applyFill="1" applyBorder="1"/>
    <xf numFmtId="0" fontId="4" fillId="0" borderId="4" xfId="0" applyFont="1" applyFill="1" applyBorder="1"/>
    <xf numFmtId="0" fontId="6" fillId="0" borderId="4" xfId="0" applyFont="1" applyFill="1" applyBorder="1"/>
    <xf numFmtId="0" fontId="3" fillId="0" borderId="4" xfId="0" applyFont="1" applyFill="1" applyBorder="1"/>
    <xf numFmtId="0" fontId="6" fillId="0" borderId="35" xfId="0" applyFont="1" applyFill="1" applyBorder="1" applyAlignment="1"/>
    <xf numFmtId="0" fontId="6" fillId="0" borderId="36" xfId="0" applyFont="1" applyFill="1" applyBorder="1" applyAlignment="1"/>
    <xf numFmtId="0" fontId="6" fillId="0" borderId="8" xfId="0" applyFont="1" applyFill="1" applyBorder="1"/>
    <xf numFmtId="2" fontId="6" fillId="0" borderId="8" xfId="0" applyNumberFormat="1" applyFont="1" applyFill="1" applyBorder="1"/>
    <xf numFmtId="2" fontId="6" fillId="0" borderId="13" xfId="0" applyNumberFormat="1" applyFont="1" applyFill="1" applyBorder="1"/>
    <xf numFmtId="2" fontId="3" fillId="0" borderId="1" xfId="0" applyNumberFormat="1" applyFont="1" applyFill="1" applyBorder="1" applyAlignment="1">
      <alignment horizontal="center"/>
    </xf>
    <xf numFmtId="2" fontId="3" fillId="0" borderId="16" xfId="0" applyNumberFormat="1" applyFont="1" applyFill="1" applyBorder="1"/>
    <xf numFmtId="167" fontId="3" fillId="0" borderId="1" xfId="0" applyNumberFormat="1" applyFont="1" applyFill="1" applyBorder="1" applyAlignment="1">
      <alignment horizontal="center"/>
    </xf>
    <xf numFmtId="167" fontId="3" fillId="0" borderId="16" xfId="0" applyNumberFormat="1" applyFont="1" applyFill="1" applyBorder="1" applyAlignment="1">
      <alignment horizontal="center"/>
    </xf>
    <xf numFmtId="1" fontId="3" fillId="0" borderId="1" xfId="0" applyNumberFormat="1" applyFont="1" applyFill="1" applyBorder="1" applyAlignment="1">
      <alignment horizontal="center"/>
    </xf>
    <xf numFmtId="1" fontId="3" fillId="0" borderId="16" xfId="0" applyNumberFormat="1" applyFont="1" applyFill="1" applyBorder="1" applyAlignment="1">
      <alignment horizontal="center"/>
    </xf>
    <xf numFmtId="4" fontId="3" fillId="0" borderId="1" xfId="0" applyNumberFormat="1" applyFont="1" applyFill="1" applyBorder="1" applyAlignment="1">
      <alignment horizontal="center"/>
    </xf>
    <xf numFmtId="2" fontId="6" fillId="0" borderId="11" xfId="0" applyNumberFormat="1" applyFont="1" applyFill="1" applyBorder="1"/>
    <xf numFmtId="9" fontId="6" fillId="0" borderId="0" xfId="0" applyNumberFormat="1" applyFont="1" applyFill="1"/>
    <xf numFmtId="0" fontId="6" fillId="0" borderId="16" xfId="0" applyFont="1" applyFill="1" applyBorder="1"/>
    <xf numFmtId="0" fontId="6" fillId="0" borderId="11" xfId="0" applyFont="1" applyFill="1" applyBorder="1"/>
    <xf numFmtId="0" fontId="6" fillId="0" borderId="1" xfId="0" applyFont="1" applyFill="1" applyBorder="1"/>
    <xf numFmtId="10" fontId="3" fillId="0" borderId="1" xfId="0" applyNumberFormat="1" applyFont="1" applyFill="1" applyBorder="1" applyAlignment="1">
      <alignment horizontal="center"/>
    </xf>
    <xf numFmtId="0" fontId="8" fillId="0" borderId="0" xfId="0" applyFont="1" applyFill="1"/>
    <xf numFmtId="0" fontId="10" fillId="0" borderId="0" xfId="0" applyFont="1" applyFill="1" applyBorder="1" applyAlignment="1">
      <alignment horizontal="center"/>
    </xf>
    <xf numFmtId="0" fontId="8" fillId="0" borderId="37" xfId="0" applyFont="1" applyFill="1" applyBorder="1"/>
    <xf numFmtId="2" fontId="10" fillId="0" borderId="38" xfId="0" applyNumberFormat="1" applyFont="1" applyFill="1" applyBorder="1" applyAlignment="1">
      <alignment horizontal="center" vertical="top" wrapText="1"/>
    </xf>
    <xf numFmtId="0" fontId="8" fillId="0" borderId="39" xfId="0" applyFont="1" applyFill="1" applyBorder="1" applyAlignment="1">
      <alignment horizontal="center" vertical="top" wrapText="1"/>
    </xf>
    <xf numFmtId="0" fontId="8" fillId="0" borderId="40" xfId="0" applyFont="1" applyFill="1" applyBorder="1" applyAlignment="1">
      <alignment vertical="top"/>
    </xf>
    <xf numFmtId="0" fontId="8" fillId="0" borderId="20" xfId="0" applyFont="1" applyFill="1" applyBorder="1" applyAlignment="1">
      <alignment horizontal="center" vertical="top" wrapText="1"/>
    </xf>
    <xf numFmtId="0" fontId="8" fillId="0" borderId="41" xfId="0" applyFont="1" applyFill="1" applyBorder="1" applyAlignment="1">
      <alignment horizontal="center" vertical="top" wrapText="1"/>
    </xf>
    <xf numFmtId="2" fontId="10" fillId="0" borderId="14" xfId="0" applyNumberFormat="1" applyFont="1" applyFill="1" applyBorder="1" applyAlignment="1">
      <alignment horizontal="center" vertical="top" wrapText="1"/>
    </xf>
    <xf numFmtId="0" fontId="8" fillId="0" borderId="0" xfId="0" applyFont="1" applyFill="1" applyBorder="1" applyAlignment="1">
      <alignment horizontal="center" vertical="top" wrapText="1"/>
    </xf>
    <xf numFmtId="0" fontId="8" fillId="0" borderId="42" xfId="0" applyFont="1" applyFill="1" applyBorder="1" applyAlignment="1">
      <alignment vertical="top"/>
    </xf>
    <xf numFmtId="0" fontId="8" fillId="0" borderId="43" xfId="0" applyFont="1" applyFill="1" applyBorder="1" applyAlignment="1">
      <alignment horizontal="center" vertical="top" wrapText="1"/>
    </xf>
    <xf numFmtId="0" fontId="8" fillId="0" borderId="44" xfId="0" applyFont="1" applyFill="1" applyBorder="1" applyAlignment="1">
      <alignment horizontal="center" vertical="top" wrapText="1"/>
    </xf>
    <xf numFmtId="2" fontId="3" fillId="0" borderId="39" xfId="0" applyNumberFormat="1" applyFont="1" applyFill="1" applyBorder="1" applyAlignment="1">
      <alignment horizontal="center" vertical="top" wrapText="1"/>
    </xf>
    <xf numFmtId="2" fontId="10" fillId="0" borderId="17" xfId="0" applyNumberFormat="1" applyFont="1" applyFill="1" applyBorder="1" applyAlignment="1">
      <alignment horizontal="center" vertical="top" wrapText="1"/>
    </xf>
    <xf numFmtId="0" fontId="8" fillId="0" borderId="18" xfId="0" applyFont="1" applyFill="1" applyBorder="1" applyAlignment="1">
      <alignment horizontal="center" vertical="top" wrapText="1"/>
    </xf>
    <xf numFmtId="0" fontId="8" fillId="0" borderId="45" xfId="0" applyFont="1" applyFill="1" applyBorder="1" applyAlignment="1">
      <alignment vertical="top"/>
    </xf>
    <xf numFmtId="0" fontId="8" fillId="0" borderId="21" xfId="0" applyFont="1" applyFill="1" applyBorder="1" applyAlignment="1">
      <alignment horizontal="center" vertical="top" wrapText="1"/>
    </xf>
    <xf numFmtId="0" fontId="8" fillId="0" borderId="26" xfId="0" applyFont="1" applyFill="1" applyBorder="1" applyAlignment="1">
      <alignment horizontal="center" vertical="top" wrapText="1"/>
    </xf>
    <xf numFmtId="0" fontId="6" fillId="0" borderId="46" xfId="0" applyFont="1" applyFill="1" applyBorder="1" applyAlignment="1">
      <alignment horizontal="center" vertical="top" wrapText="1"/>
    </xf>
    <xf numFmtId="0" fontId="6" fillId="0" borderId="47" xfId="0" applyFont="1" applyFill="1" applyBorder="1" applyAlignment="1">
      <alignment horizontal="justify" vertical="top" wrapText="1"/>
    </xf>
    <xf numFmtId="2" fontId="6" fillId="0" borderId="47" xfId="0" applyNumberFormat="1" applyFont="1" applyFill="1" applyBorder="1" applyAlignment="1">
      <alignment horizontal="center" vertical="top" wrapText="1"/>
    </xf>
    <xf numFmtId="2" fontId="6" fillId="0" borderId="48" xfId="0" applyNumberFormat="1" applyFont="1" applyFill="1" applyBorder="1" applyAlignment="1">
      <alignment horizontal="center" vertical="top" wrapText="1"/>
    </xf>
    <xf numFmtId="2" fontId="6" fillId="0" borderId="28" xfId="0" applyNumberFormat="1" applyFont="1" applyFill="1" applyBorder="1" applyAlignment="1">
      <alignment horizontal="right" vertical="top" wrapText="1"/>
    </xf>
    <xf numFmtId="2" fontId="10" fillId="0" borderId="20" xfId="0" applyNumberFormat="1" applyFont="1" applyFill="1" applyBorder="1" applyAlignment="1">
      <alignment horizontal="center" vertical="top" wrapText="1"/>
    </xf>
    <xf numFmtId="2" fontId="10" fillId="0" borderId="20" xfId="0" applyNumberFormat="1" applyFont="1" applyFill="1" applyBorder="1" applyAlignment="1">
      <alignment horizontal="center"/>
    </xf>
    <xf numFmtId="2" fontId="8" fillId="0" borderId="25" xfId="0" applyNumberFormat="1" applyFont="1" applyFill="1" applyBorder="1"/>
    <xf numFmtId="0" fontId="8" fillId="0" borderId="20" xfId="0" applyFont="1" applyFill="1" applyBorder="1" applyAlignment="1">
      <alignment horizontal="center"/>
    </xf>
    <xf numFmtId="0" fontId="6" fillId="0" borderId="49" xfId="0" applyFont="1" applyFill="1" applyBorder="1" applyAlignment="1">
      <alignment horizontal="center" vertical="top" wrapText="1"/>
    </xf>
    <xf numFmtId="2" fontId="6" fillId="0" borderId="50" xfId="0" applyNumberFormat="1" applyFont="1" applyFill="1" applyBorder="1" applyAlignment="1">
      <alignment horizontal="center" vertical="top" wrapText="1"/>
    </xf>
    <xf numFmtId="49" fontId="8" fillId="0" borderId="43" xfId="0" applyNumberFormat="1" applyFont="1" applyFill="1" applyBorder="1" applyAlignment="1">
      <alignment horizontal="center" vertical="top" wrapText="1"/>
    </xf>
    <xf numFmtId="2" fontId="8" fillId="0" borderId="43" xfId="0" applyNumberFormat="1" applyFont="1" applyFill="1" applyBorder="1" applyAlignment="1">
      <alignment horizontal="justify" vertical="top" wrapText="1"/>
    </xf>
    <xf numFmtId="2" fontId="8" fillId="0" borderId="43" xfId="0" applyNumberFormat="1" applyFont="1" applyFill="1" applyBorder="1" applyAlignment="1">
      <alignment horizontal="right" vertical="top"/>
    </xf>
    <xf numFmtId="0" fontId="8" fillId="0" borderId="43" xfId="0" applyFont="1" applyFill="1" applyBorder="1" applyAlignment="1">
      <alignment horizontal="right" vertical="top"/>
    </xf>
    <xf numFmtId="2" fontId="8" fillId="0" borderId="27" xfId="0" applyNumberFormat="1" applyFont="1" applyFill="1" applyBorder="1" applyAlignment="1">
      <alignment horizontal="right" vertical="top"/>
    </xf>
    <xf numFmtId="2" fontId="10" fillId="0" borderId="43" xfId="0" applyNumberFormat="1" applyFont="1" applyFill="1" applyBorder="1" applyAlignment="1">
      <alignment horizontal="center" vertical="top" wrapText="1"/>
    </xf>
    <xf numFmtId="2" fontId="8" fillId="0" borderId="43" xfId="0" applyNumberFormat="1" applyFont="1" applyFill="1" applyBorder="1" applyAlignment="1">
      <alignment horizontal="center" vertical="top" wrapText="1"/>
    </xf>
    <xf numFmtId="2" fontId="10" fillId="0" borderId="43" xfId="0" applyNumberFormat="1" applyFont="1" applyFill="1" applyBorder="1" applyAlignment="1">
      <alignment horizontal="center"/>
    </xf>
    <xf numFmtId="2" fontId="8" fillId="0" borderId="27" xfId="0" applyNumberFormat="1" applyFont="1" applyFill="1" applyBorder="1"/>
    <xf numFmtId="0" fontId="6" fillId="0" borderId="51" xfId="0" applyFont="1" applyFill="1" applyBorder="1" applyAlignment="1">
      <alignment horizontal="center" vertical="top" wrapText="1"/>
    </xf>
    <xf numFmtId="0" fontId="6" fillId="0" borderId="52" xfId="0" applyFont="1" applyFill="1" applyBorder="1" applyAlignment="1">
      <alignment horizontal="justify" vertical="top" wrapText="1"/>
    </xf>
    <xf numFmtId="2" fontId="6" fillId="0" borderId="52" xfId="0" applyNumberFormat="1" applyFont="1" applyFill="1" applyBorder="1" applyAlignment="1">
      <alignment horizontal="center" vertical="top" wrapText="1"/>
    </xf>
    <xf numFmtId="2" fontId="6" fillId="0" borderId="53" xfId="0" applyNumberFormat="1" applyFont="1" applyFill="1" applyBorder="1" applyAlignment="1">
      <alignment horizontal="center" vertical="top" wrapText="1"/>
    </xf>
    <xf numFmtId="2" fontId="6" fillId="0" borderId="37" xfId="0" applyNumberFormat="1" applyFont="1" applyFill="1" applyBorder="1" applyAlignment="1">
      <alignment horizontal="right" vertical="top" wrapText="1"/>
    </xf>
    <xf numFmtId="2" fontId="8" fillId="0" borderId="43" xfId="0" applyNumberFormat="1" applyFont="1" applyFill="1" applyBorder="1" applyAlignment="1">
      <alignment horizontal="left" vertical="top" wrapText="1"/>
    </xf>
    <xf numFmtId="0" fontId="6" fillId="0" borderId="54" xfId="0" applyFont="1" applyFill="1" applyBorder="1" applyAlignment="1">
      <alignment horizontal="center" vertical="top" wrapText="1"/>
    </xf>
    <xf numFmtId="0" fontId="6" fillId="0" borderId="55" xfId="0" applyFont="1" applyFill="1" applyBorder="1" applyAlignment="1">
      <alignment horizontal="justify" vertical="top" wrapText="1"/>
    </xf>
    <xf numFmtId="2" fontId="6" fillId="0" borderId="55" xfId="0" applyNumberFormat="1" applyFont="1" applyFill="1" applyBorder="1" applyAlignment="1">
      <alignment horizontal="center" vertical="top" wrapText="1"/>
    </xf>
    <xf numFmtId="2" fontId="6" fillId="0" borderId="56" xfId="0" applyNumberFormat="1" applyFont="1" applyFill="1" applyBorder="1" applyAlignment="1">
      <alignment horizontal="center" vertical="top" wrapText="1"/>
    </xf>
    <xf numFmtId="0" fontId="6" fillId="0" borderId="57" xfId="0" applyFont="1" applyFill="1" applyBorder="1" applyAlignment="1">
      <alignment horizontal="center" vertical="top" wrapText="1"/>
    </xf>
    <xf numFmtId="0" fontId="6" fillId="0" borderId="58" xfId="0" applyFont="1" applyFill="1" applyBorder="1" applyAlignment="1">
      <alignment horizontal="justify" vertical="top" wrapText="1"/>
    </xf>
    <xf numFmtId="2" fontId="6" fillId="0" borderId="58" xfId="0" applyNumberFormat="1" applyFont="1" applyFill="1" applyBorder="1" applyAlignment="1">
      <alignment horizontal="center" vertical="top" wrapText="1"/>
    </xf>
    <xf numFmtId="2" fontId="6" fillId="0" borderId="58" xfId="0" applyNumberFormat="1" applyFont="1" applyFill="1" applyBorder="1" applyAlignment="1">
      <alignment horizontal="right" vertical="top" wrapText="1"/>
    </xf>
    <xf numFmtId="2" fontId="6" fillId="0" borderId="59" xfId="0" applyNumberFormat="1" applyFont="1" applyFill="1" applyBorder="1" applyAlignment="1">
      <alignment horizontal="right" vertical="top" wrapText="1"/>
    </xf>
    <xf numFmtId="0" fontId="6" fillId="0" borderId="60" xfId="0" applyNumberFormat="1" applyFont="1" applyFill="1" applyBorder="1" applyAlignment="1">
      <alignment horizontal="center" vertical="top" wrapText="1"/>
    </xf>
    <xf numFmtId="2" fontId="6" fillId="0" borderId="61" xfId="0" applyNumberFormat="1" applyFont="1" applyFill="1" applyBorder="1" applyAlignment="1">
      <alignment horizontal="right" vertical="top" wrapText="1"/>
    </xf>
    <xf numFmtId="0" fontId="6" fillId="0" borderId="60" xfId="0" applyFont="1" applyFill="1" applyBorder="1" applyAlignment="1">
      <alignment horizontal="center" vertical="top" wrapText="1"/>
    </xf>
    <xf numFmtId="2" fontId="8" fillId="0" borderId="43" xfId="0" applyNumberFormat="1" applyFont="1" applyFill="1" applyBorder="1" applyAlignment="1">
      <alignment vertical="top"/>
    </xf>
    <xf numFmtId="2" fontId="10" fillId="0" borderId="43" xfId="0" applyNumberFormat="1" applyFont="1" applyFill="1" applyBorder="1"/>
    <xf numFmtId="0" fontId="6" fillId="0" borderId="62" xfId="0" applyNumberFormat="1" applyFont="1" applyFill="1" applyBorder="1" applyAlignment="1">
      <alignment horizontal="center" vertical="top" wrapText="1"/>
    </xf>
    <xf numFmtId="0" fontId="6" fillId="0" borderId="63" xfId="0" applyFont="1" applyFill="1" applyBorder="1" applyAlignment="1">
      <alignment horizontal="justify" vertical="top" wrapText="1"/>
    </xf>
    <xf numFmtId="2" fontId="6" fillId="0" borderId="63" xfId="0" applyNumberFormat="1" applyFont="1" applyFill="1" applyBorder="1" applyAlignment="1">
      <alignment horizontal="center" vertical="top" wrapText="1"/>
    </xf>
    <xf numFmtId="2" fontId="6" fillId="0" borderId="63" xfId="0" applyNumberFormat="1" applyFont="1" applyFill="1" applyBorder="1" applyAlignment="1">
      <alignment horizontal="right" vertical="top" wrapText="1"/>
    </xf>
    <xf numFmtId="2" fontId="6" fillId="0" borderId="64" xfId="0" applyNumberFormat="1" applyFont="1" applyFill="1" applyBorder="1" applyAlignment="1">
      <alignment horizontal="right" vertical="top" wrapText="1"/>
    </xf>
    <xf numFmtId="2" fontId="10" fillId="0" borderId="43" xfId="0" applyNumberFormat="1" applyFont="1" applyFill="1" applyBorder="1" applyAlignment="1">
      <alignment horizontal="right"/>
    </xf>
    <xf numFmtId="2" fontId="10" fillId="0" borderId="27" xfId="0" applyNumberFormat="1" applyFont="1" applyFill="1" applyBorder="1"/>
    <xf numFmtId="0" fontId="8" fillId="0" borderId="43" xfId="0" applyFont="1" applyFill="1" applyBorder="1"/>
    <xf numFmtId="0" fontId="6" fillId="0" borderId="65" xfId="0" applyFont="1" applyFill="1" applyBorder="1" applyAlignment="1">
      <alignment horizontal="center" vertical="top" wrapText="1"/>
    </xf>
    <xf numFmtId="0" fontId="8" fillId="0" borderId="66" xfId="0" applyFont="1" applyFill="1" applyBorder="1" applyAlignment="1">
      <alignment horizontal="justify" wrapText="1"/>
    </xf>
    <xf numFmtId="2" fontId="10" fillId="0" borderId="43" xfId="0" applyNumberFormat="1" applyFont="1" applyFill="1" applyBorder="1" applyAlignment="1">
      <alignment vertical="top"/>
    </xf>
    <xf numFmtId="0" fontId="8" fillId="0" borderId="2" xfId="0" applyFont="1" applyFill="1" applyBorder="1" applyAlignment="1">
      <alignment horizontal="justify" wrapText="1"/>
    </xf>
    <xf numFmtId="0" fontId="3" fillId="0" borderId="65" xfId="0" applyFont="1" applyFill="1" applyBorder="1" applyAlignment="1">
      <alignment horizontal="center" vertical="top" wrapText="1"/>
    </xf>
    <xf numFmtId="0" fontId="3" fillId="0" borderId="66" xfId="0" applyFont="1" applyFill="1" applyBorder="1" applyAlignment="1">
      <alignment horizontal="justify" vertical="top" wrapText="1"/>
    </xf>
    <xf numFmtId="2" fontId="3" fillId="0" borderId="66" xfId="0" applyNumberFormat="1" applyFont="1" applyFill="1" applyBorder="1" applyAlignment="1">
      <alignment horizontal="center" vertical="top" wrapText="1"/>
    </xf>
    <xf numFmtId="2" fontId="3" fillId="0" borderId="66" xfId="0" applyNumberFormat="1" applyFont="1" applyFill="1" applyBorder="1" applyAlignment="1">
      <alignment horizontal="right" vertical="top" wrapText="1"/>
    </xf>
    <xf numFmtId="2" fontId="3" fillId="0" borderId="67" xfId="0" applyNumberFormat="1" applyFont="1" applyFill="1" applyBorder="1" applyAlignment="1">
      <alignment horizontal="right" vertical="top" wrapText="1"/>
    </xf>
    <xf numFmtId="0" fontId="8" fillId="0" borderId="27" xfId="0" applyFont="1" applyFill="1" applyBorder="1"/>
    <xf numFmtId="0" fontId="6" fillId="0" borderId="68" xfId="0" applyFont="1" applyFill="1" applyBorder="1" applyAlignment="1">
      <alignment horizontal="center" vertical="top" wrapText="1"/>
    </xf>
    <xf numFmtId="2" fontId="3" fillId="0" borderId="69" xfId="0" applyNumberFormat="1" applyFont="1" applyFill="1" applyBorder="1" applyAlignment="1">
      <alignment horizontal="right" vertical="top" wrapText="1"/>
    </xf>
    <xf numFmtId="2" fontId="6" fillId="0" borderId="70" xfId="0" applyNumberFormat="1" applyFont="1" applyFill="1" applyBorder="1" applyAlignment="1">
      <alignment horizontal="right" vertical="top" wrapText="1"/>
    </xf>
    <xf numFmtId="0" fontId="6" fillId="0" borderId="71" xfId="0" applyFont="1" applyFill="1" applyBorder="1" applyAlignment="1">
      <alignment horizontal="center" vertical="top" wrapText="1"/>
    </xf>
    <xf numFmtId="2" fontId="6" fillId="0" borderId="72" xfId="0" applyNumberFormat="1" applyFont="1" applyFill="1" applyBorder="1" applyAlignment="1">
      <alignment horizontal="right" vertical="top" wrapText="1"/>
    </xf>
    <xf numFmtId="49" fontId="8" fillId="0" borderId="21" xfId="0" applyNumberFormat="1" applyFont="1" applyFill="1" applyBorder="1" applyAlignment="1">
      <alignment horizontal="center" vertical="top" wrapText="1"/>
    </xf>
    <xf numFmtId="2" fontId="8" fillId="0" borderId="21" xfId="0" applyNumberFormat="1" applyFont="1" applyFill="1" applyBorder="1" applyAlignment="1">
      <alignment horizontal="justify" vertical="top" wrapText="1"/>
    </xf>
    <xf numFmtId="2" fontId="10" fillId="0" borderId="21" xfId="0" applyNumberFormat="1" applyFont="1" applyFill="1" applyBorder="1" applyAlignment="1">
      <alignment vertical="top"/>
    </xf>
    <xf numFmtId="0" fontId="8" fillId="0" borderId="21" xfId="0" applyFont="1" applyFill="1" applyBorder="1"/>
    <xf numFmtId="0" fontId="6" fillId="0" borderId="66" xfId="0" applyFont="1" applyFill="1" applyBorder="1" applyAlignment="1">
      <alignment horizontal="justify" vertical="top" wrapText="1"/>
    </xf>
    <xf numFmtId="2" fontId="10" fillId="0" borderId="22" xfId="0" applyNumberFormat="1" applyFont="1" applyFill="1" applyBorder="1" applyAlignment="1">
      <alignment horizontal="right" vertical="top" wrapText="1"/>
    </xf>
    <xf numFmtId="0" fontId="4" fillId="0" borderId="0" xfId="0" applyFont="1" applyFill="1" applyBorder="1" applyAlignment="1">
      <alignment horizontal="justify" vertical="top" wrapText="1"/>
    </xf>
    <xf numFmtId="2" fontId="6" fillId="0" borderId="67" xfId="0" applyNumberFormat="1" applyFont="1" applyFill="1" applyBorder="1" applyAlignment="1">
      <alignment horizontal="right" vertical="top" wrapText="1"/>
    </xf>
    <xf numFmtId="2" fontId="10" fillId="0" borderId="67" xfId="0" applyNumberFormat="1" applyFont="1" applyFill="1" applyBorder="1" applyAlignment="1">
      <alignment horizontal="right" vertical="top" wrapText="1"/>
    </xf>
    <xf numFmtId="0" fontId="3" fillId="0" borderId="29" xfId="0" applyFont="1" applyFill="1" applyBorder="1"/>
    <xf numFmtId="0" fontId="3" fillId="0" borderId="30" xfId="0" applyFont="1" applyFill="1" applyBorder="1"/>
    <xf numFmtId="0" fontId="3" fillId="0" borderId="32" xfId="0" applyFont="1" applyFill="1" applyBorder="1"/>
    <xf numFmtId="1" fontId="3" fillId="0" borderId="0" xfId="0" applyNumberFormat="1" applyFont="1" applyFill="1"/>
    <xf numFmtId="2" fontId="7" fillId="0" borderId="0" xfId="0" applyNumberFormat="1" applyFont="1" applyFill="1"/>
    <xf numFmtId="2" fontId="3" fillId="0" borderId="16" xfId="0" applyNumberFormat="1" applyFont="1" applyFill="1" applyBorder="1" applyAlignment="1">
      <alignment horizontal="center"/>
    </xf>
    <xf numFmtId="2" fontId="3" fillId="0" borderId="11" xfId="0" applyNumberFormat="1" applyFont="1" applyFill="1" applyBorder="1" applyAlignment="1">
      <alignment horizontal="center"/>
    </xf>
    <xf numFmtId="2" fontId="3" fillId="0" borderId="34" xfId="0" applyNumberFormat="1" applyFont="1" applyFill="1" applyBorder="1"/>
    <xf numFmtId="10" fontId="3" fillId="0" borderId="0" xfId="0" applyNumberFormat="1" applyFont="1" applyFill="1" applyAlignment="1">
      <alignment horizontal="center"/>
    </xf>
    <xf numFmtId="2" fontId="6" fillId="0" borderId="0" xfId="0" applyNumberFormat="1" applyFont="1" applyFill="1" applyAlignment="1">
      <alignment horizontal="center"/>
    </xf>
    <xf numFmtId="2" fontId="6" fillId="0" borderId="0" xfId="0" applyNumberFormat="1" applyFont="1" applyFill="1" applyAlignment="1">
      <alignment wrapText="1"/>
    </xf>
    <xf numFmtId="10" fontId="6" fillId="0" borderId="0" xfId="0" applyNumberFormat="1" applyFont="1" applyFill="1"/>
    <xf numFmtId="1" fontId="3" fillId="0" borderId="0" xfId="0" applyNumberFormat="1" applyFont="1" applyFill="1" applyAlignment="1">
      <alignment horizontal="center"/>
    </xf>
    <xf numFmtId="10" fontId="6" fillId="0" borderId="0" xfId="0" applyNumberFormat="1" applyFont="1" applyFill="1" applyAlignment="1">
      <alignment horizontal="center"/>
    </xf>
    <xf numFmtId="0" fontId="3" fillId="0" borderId="1" xfId="0" applyFont="1" applyFill="1" applyBorder="1" applyAlignment="1">
      <alignment wrapText="1"/>
    </xf>
    <xf numFmtId="0" fontId="3" fillId="0" borderId="73" xfId="0" applyFont="1" applyFill="1" applyBorder="1" applyAlignment="1">
      <alignment horizontal="center"/>
    </xf>
    <xf numFmtId="0" fontId="3" fillId="0" borderId="13" xfId="0" applyFont="1" applyFill="1" applyBorder="1" applyAlignment="1">
      <alignment horizontal="center"/>
    </xf>
    <xf numFmtId="0" fontId="3" fillId="0" borderId="74" xfId="0" applyFont="1" applyFill="1" applyBorder="1" applyAlignment="1">
      <alignment horizontal="center"/>
    </xf>
    <xf numFmtId="0" fontId="6" fillId="0" borderId="75" xfId="0" applyFont="1" applyFill="1" applyBorder="1"/>
    <xf numFmtId="0" fontId="6" fillId="0" borderId="13" xfId="0" applyFont="1" applyFill="1" applyBorder="1"/>
    <xf numFmtId="0" fontId="6" fillId="0" borderId="43" xfId="0" applyFont="1" applyFill="1" applyBorder="1"/>
    <xf numFmtId="0" fontId="6" fillId="0" borderId="76" xfId="0" applyFont="1" applyFill="1" applyBorder="1"/>
    <xf numFmtId="0" fontId="6" fillId="0" borderId="77" xfId="0" applyFont="1" applyFill="1" applyBorder="1"/>
    <xf numFmtId="2" fontId="6" fillId="0" borderId="43" xfId="0" applyNumberFormat="1" applyFont="1" applyFill="1" applyBorder="1"/>
    <xf numFmtId="2" fontId="6" fillId="0" borderId="44" xfId="0" applyNumberFormat="1" applyFont="1" applyFill="1" applyBorder="1"/>
    <xf numFmtId="2" fontId="3" fillId="0" borderId="43" xfId="0" applyNumberFormat="1" applyFont="1" applyFill="1" applyBorder="1"/>
    <xf numFmtId="2" fontId="3" fillId="0" borderId="44" xfId="0" applyNumberFormat="1" applyFont="1" applyFill="1" applyBorder="1"/>
    <xf numFmtId="0" fontId="6" fillId="0" borderId="44" xfId="0" applyFont="1" applyFill="1" applyBorder="1"/>
    <xf numFmtId="0" fontId="6" fillId="0" borderId="21" xfId="0" applyFont="1" applyFill="1" applyBorder="1"/>
    <xf numFmtId="0" fontId="6" fillId="0" borderId="34" xfId="0" applyFont="1" applyFill="1" applyBorder="1"/>
    <xf numFmtId="0" fontId="16" fillId="0" borderId="0" xfId="0" applyFont="1" applyFill="1" applyAlignment="1"/>
    <xf numFmtId="0" fontId="3" fillId="0" borderId="78" xfId="0" applyFont="1" applyFill="1" applyBorder="1" applyAlignment="1">
      <alignment horizontal="justify" vertical="top" wrapText="1"/>
    </xf>
    <xf numFmtId="1" fontId="3" fillId="0" borderId="27" xfId="0" applyNumberFormat="1" applyFont="1" applyFill="1" applyBorder="1" applyAlignment="1">
      <alignment horizontal="center" vertical="top" wrapText="1"/>
    </xf>
    <xf numFmtId="2" fontId="3" fillId="0" borderId="27" xfId="0" applyNumberFormat="1" applyFont="1" applyFill="1" applyBorder="1" applyAlignment="1">
      <alignment horizontal="center" vertical="top" wrapText="1"/>
    </xf>
    <xf numFmtId="2" fontId="3" fillId="0" borderId="28" xfId="0" applyNumberFormat="1" applyFont="1" applyFill="1" applyBorder="1" applyAlignment="1">
      <alignment horizontal="center" vertical="top" wrapText="1"/>
    </xf>
    <xf numFmtId="0" fontId="6" fillId="0" borderId="5" xfId="0" applyFont="1" applyFill="1" applyBorder="1"/>
    <xf numFmtId="0" fontId="3" fillId="0" borderId="44" xfId="0" applyFont="1" applyFill="1" applyBorder="1"/>
    <xf numFmtId="2" fontId="16" fillId="0" borderId="0" xfId="0" applyNumberFormat="1" applyFont="1" applyFill="1"/>
    <xf numFmtId="0" fontId="6" fillId="0" borderId="0" xfId="0" applyFont="1" applyBorder="1"/>
    <xf numFmtId="0" fontId="6" fillId="0" borderId="35" xfId="0" applyFont="1" applyBorder="1"/>
    <xf numFmtId="0" fontId="3" fillId="0" borderId="36" xfId="0" applyFont="1" applyFill="1" applyBorder="1"/>
    <xf numFmtId="0" fontId="6" fillId="0" borderId="36" xfId="0" applyFont="1" applyFill="1" applyBorder="1"/>
    <xf numFmtId="0" fontId="6" fillId="0" borderId="36" xfId="0" applyFont="1" applyBorder="1"/>
    <xf numFmtId="0" fontId="6" fillId="0" borderId="79" xfId="0" applyFont="1" applyBorder="1"/>
    <xf numFmtId="0" fontId="6" fillId="0" borderId="4" xfId="0" applyFont="1" applyBorder="1"/>
    <xf numFmtId="0" fontId="3" fillId="0" borderId="0" xfId="0" applyFont="1" applyBorder="1"/>
    <xf numFmtId="0" fontId="6" fillId="0" borderId="0" xfId="0" applyFont="1" applyBorder="1" applyAlignment="1">
      <alignment horizontal="right"/>
    </xf>
    <xf numFmtId="0" fontId="16" fillId="0" borderId="0" xfId="0" applyFont="1" applyBorder="1" applyAlignment="1">
      <alignment horizontal="right"/>
    </xf>
    <xf numFmtId="0" fontId="6" fillId="0" borderId="5" xfId="0" applyFont="1" applyBorder="1"/>
    <xf numFmtId="0" fontId="6" fillId="0" borderId="0" xfId="0" applyFont="1" applyBorder="1" applyAlignment="1">
      <alignment horizontal="center"/>
    </xf>
    <xf numFmtId="0" fontId="6" fillId="0" borderId="11" xfId="0" applyFont="1" applyBorder="1" applyAlignment="1">
      <alignment horizontal="center"/>
    </xf>
    <xf numFmtId="171" fontId="6" fillId="0" borderId="0" xfId="0" applyNumberFormat="1" applyFont="1" applyBorder="1" applyAlignment="1" applyProtection="1">
      <alignment horizontal="left"/>
    </xf>
    <xf numFmtId="2" fontId="6" fillId="0" borderId="0" xfId="0" applyNumberFormat="1" applyFont="1" applyBorder="1"/>
    <xf numFmtId="173" fontId="6" fillId="0" borderId="0" xfId="0" applyNumberFormat="1" applyFont="1" applyBorder="1"/>
    <xf numFmtId="0" fontId="19" fillId="0" borderId="0" xfId="0" applyFont="1"/>
    <xf numFmtId="173" fontId="3" fillId="0" borderId="0" xfId="0" applyNumberFormat="1" applyFont="1" applyBorder="1"/>
    <xf numFmtId="0" fontId="20" fillId="0" borderId="0" xfId="0" applyFont="1"/>
    <xf numFmtId="2" fontId="19" fillId="0" borderId="0" xfId="0" applyNumberFormat="1" applyFont="1" applyFill="1" applyBorder="1"/>
    <xf numFmtId="2" fontId="19" fillId="0" borderId="0" xfId="0" applyNumberFormat="1" applyFont="1"/>
    <xf numFmtId="2" fontId="20" fillId="0" borderId="0" xfId="0" applyNumberFormat="1" applyFont="1"/>
    <xf numFmtId="173" fontId="6" fillId="0" borderId="0" xfId="64" applyNumberFormat="1" applyFont="1" applyBorder="1"/>
    <xf numFmtId="0" fontId="6" fillId="0" borderId="0" xfId="0" applyFont="1" applyBorder="1" applyAlignment="1">
      <alignment horizontal="left"/>
    </xf>
    <xf numFmtId="2" fontId="6" fillId="0" borderId="5" xfId="0" applyNumberFormat="1" applyFont="1" applyBorder="1"/>
    <xf numFmtId="0" fontId="6" fillId="0" borderId="7" xfId="0" applyFont="1" applyBorder="1"/>
    <xf numFmtId="0" fontId="6" fillId="0" borderId="8" xfId="0" applyFont="1" applyBorder="1"/>
    <xf numFmtId="0" fontId="6" fillId="0" borderId="9" xfId="0" applyFont="1" applyBorder="1"/>
    <xf numFmtId="2" fontId="6" fillId="0" borderId="0" xfId="0" applyNumberFormat="1" applyFont="1"/>
    <xf numFmtId="172" fontId="6" fillId="0" borderId="0" xfId="0" applyNumberFormat="1" applyFont="1" applyFill="1" applyBorder="1"/>
    <xf numFmtId="0" fontId="6" fillId="0" borderId="35" xfId="0" applyFont="1" applyFill="1" applyBorder="1"/>
    <xf numFmtId="0" fontId="15" fillId="0" borderId="36" xfId="0" applyFont="1" applyFill="1" applyBorder="1"/>
    <xf numFmtId="172" fontId="6" fillId="0" borderId="36" xfId="0" applyNumberFormat="1" applyFont="1" applyFill="1" applyBorder="1"/>
    <xf numFmtId="0" fontId="6" fillId="0" borderId="79" xfId="0" applyFont="1" applyFill="1" applyBorder="1"/>
    <xf numFmtId="0" fontId="16" fillId="0" borderId="0" xfId="0" applyFont="1" applyFill="1" applyBorder="1" applyAlignment="1">
      <alignment horizontal="center"/>
    </xf>
    <xf numFmtId="174" fontId="6" fillId="0" borderId="0" xfId="0" applyNumberFormat="1" applyFont="1" applyFill="1" applyBorder="1" applyAlignment="1">
      <alignment horizontal="right"/>
    </xf>
    <xf numFmtId="0" fontId="17" fillId="0" borderId="39" xfId="0" applyFont="1" applyFill="1" applyBorder="1" applyAlignment="1">
      <alignment horizontal="right"/>
    </xf>
    <xf numFmtId="172" fontId="6" fillId="0" borderId="0" xfId="0" applyNumberFormat="1" applyFont="1" applyFill="1" applyBorder="1" applyAlignment="1">
      <alignment horizontal="right"/>
    </xf>
    <xf numFmtId="174" fontId="6" fillId="0" borderId="0" xfId="0" applyNumberFormat="1" applyFont="1" applyFill="1" applyBorder="1" applyAlignment="1">
      <alignment horizontal="center"/>
    </xf>
    <xf numFmtId="0" fontId="4" fillId="0" borderId="0" xfId="0" applyFont="1" applyFill="1" applyBorder="1"/>
    <xf numFmtId="0" fontId="6" fillId="0" borderId="0" xfId="0" applyFont="1" applyFill="1" applyBorder="1" applyAlignment="1">
      <alignment horizontal="center"/>
    </xf>
    <xf numFmtId="165" fontId="6" fillId="0" borderId="0" xfId="0" applyNumberFormat="1" applyFont="1" applyFill="1" applyBorder="1"/>
    <xf numFmtId="165" fontId="3" fillId="0" borderId="0" xfId="0" applyNumberFormat="1" applyFont="1" applyFill="1" applyBorder="1"/>
    <xf numFmtId="172" fontId="6" fillId="0" borderId="0" xfId="0" applyNumberFormat="1" applyFont="1" applyFill="1"/>
    <xf numFmtId="0" fontId="6" fillId="0" borderId="7" xfId="0" applyFont="1" applyFill="1" applyBorder="1"/>
    <xf numFmtId="0" fontId="6" fillId="0" borderId="8" xfId="0" applyFont="1" applyFill="1" applyBorder="1" applyAlignment="1">
      <alignment horizontal="center"/>
    </xf>
    <xf numFmtId="165" fontId="6" fillId="0" borderId="8" xfId="0" applyNumberFormat="1" applyFont="1" applyFill="1" applyBorder="1"/>
    <xf numFmtId="0" fontId="6" fillId="0" borderId="36" xfId="0" applyFont="1" applyFill="1" applyBorder="1" applyAlignment="1">
      <alignment horizontal="center"/>
    </xf>
    <xf numFmtId="0" fontId="3" fillId="0" borderId="36" xfId="0" applyFont="1" applyFill="1" applyBorder="1" applyAlignment="1">
      <alignment horizontal="left"/>
    </xf>
    <xf numFmtId="165" fontId="6" fillId="0" borderId="36" xfId="0" applyNumberFormat="1" applyFont="1" applyFill="1" applyBorder="1"/>
    <xf numFmtId="0" fontId="15" fillId="0" borderId="0" xfId="0" applyFont="1" applyFill="1" applyBorder="1"/>
    <xf numFmtId="165" fontId="3" fillId="0" borderId="8" xfId="0" applyNumberFormat="1" applyFont="1" applyFill="1" applyBorder="1"/>
    <xf numFmtId="0" fontId="6" fillId="0" borderId="0" xfId="0" applyFont="1" applyFill="1" applyBorder="1" applyAlignment="1">
      <alignment horizontal="right"/>
    </xf>
    <xf numFmtId="0" fontId="6" fillId="0" borderId="80" xfId="0" applyFont="1" applyFill="1" applyBorder="1"/>
    <xf numFmtId="0" fontId="6" fillId="0" borderId="18" xfId="0" applyFont="1" applyFill="1" applyBorder="1" applyAlignment="1">
      <alignment horizontal="center"/>
    </xf>
    <xf numFmtId="165" fontId="6" fillId="0" borderId="18" xfId="0" applyNumberFormat="1" applyFont="1" applyFill="1" applyBorder="1"/>
    <xf numFmtId="165" fontId="6" fillId="0" borderId="0" xfId="0" applyNumberFormat="1" applyFont="1" applyFill="1"/>
    <xf numFmtId="171" fontId="6" fillId="0" borderId="0" xfId="0" applyNumberFormat="1" applyFont="1" applyFill="1" applyBorder="1" applyAlignment="1" applyProtection="1">
      <alignment horizontal="left"/>
    </xf>
    <xf numFmtId="2" fontId="0" fillId="0" borderId="0" xfId="0" quotePrefix="1" applyNumberFormat="1" applyFill="1" applyBorder="1"/>
    <xf numFmtId="0" fontId="19" fillId="0" borderId="0" xfId="0" applyFont="1" applyFill="1"/>
    <xf numFmtId="0" fontId="6" fillId="0" borderId="8" xfId="0" applyFont="1" applyFill="1" applyBorder="1" applyAlignment="1">
      <alignment horizontal="right"/>
    </xf>
    <xf numFmtId="0" fontId="6" fillId="0" borderId="36" xfId="0" applyFont="1" applyFill="1" applyBorder="1" applyAlignment="1">
      <alignment horizontal="right"/>
    </xf>
    <xf numFmtId="0" fontId="6" fillId="0" borderId="9" xfId="0" applyFont="1" applyFill="1" applyBorder="1"/>
    <xf numFmtId="165" fontId="6" fillId="0" borderId="0" xfId="2" applyFont="1" applyFill="1"/>
    <xf numFmtId="0" fontId="0" fillId="0" borderId="0" xfId="0" applyFill="1"/>
    <xf numFmtId="0" fontId="0" fillId="0" borderId="35" xfId="0" applyFill="1" applyBorder="1"/>
    <xf numFmtId="0" fontId="0" fillId="0" borderId="36" xfId="0" applyFill="1" applyBorder="1"/>
    <xf numFmtId="0" fontId="0" fillId="0" borderId="79" xfId="0" applyFill="1" applyBorder="1"/>
    <xf numFmtId="0" fontId="0" fillId="0" borderId="4" xfId="0" applyFill="1" applyBorder="1"/>
    <xf numFmtId="0" fontId="17" fillId="0" borderId="0" xfId="0" applyFont="1" applyFill="1" applyBorder="1"/>
    <xf numFmtId="0" fontId="0" fillId="0" borderId="0" xfId="0" applyFill="1" applyBorder="1"/>
    <xf numFmtId="0" fontId="0" fillId="0" borderId="5" xfId="0" applyFill="1" applyBorder="1"/>
    <xf numFmtId="0" fontId="0" fillId="0" borderId="0" xfId="0" applyFill="1" applyBorder="1" applyAlignment="1">
      <alignment horizontal="right"/>
    </xf>
    <xf numFmtId="0" fontId="3" fillId="0" borderId="0" xfId="0" applyFont="1" applyFill="1" applyBorder="1" applyAlignment="1">
      <alignment horizontal="right"/>
    </xf>
    <xf numFmtId="0" fontId="16" fillId="0" borderId="0" xfId="0" applyFont="1" applyFill="1" applyBorder="1" applyAlignment="1">
      <alignment horizontal="right"/>
    </xf>
    <xf numFmtId="0" fontId="17" fillId="0" borderId="0" xfId="0" applyFont="1" applyFill="1" applyBorder="1" applyAlignment="1">
      <alignment horizontal="center"/>
    </xf>
    <xf numFmtId="174" fontId="0" fillId="0" borderId="18" xfId="0" applyNumberFormat="1" applyFill="1" applyBorder="1" applyAlignment="1">
      <alignment horizontal="right"/>
    </xf>
    <xf numFmtId="165" fontId="0" fillId="0" borderId="0" xfId="0" applyNumberFormat="1" applyFill="1" applyBorder="1"/>
    <xf numFmtId="0" fontId="0" fillId="0" borderId="7" xfId="0" applyFill="1" applyBorder="1"/>
    <xf numFmtId="0" fontId="0" fillId="0" borderId="8" xfId="0" applyFill="1" applyBorder="1" applyAlignment="1">
      <alignment horizontal="right"/>
    </xf>
    <xf numFmtId="0" fontId="0" fillId="0" borderId="8" xfId="0" applyFill="1" applyBorder="1"/>
    <xf numFmtId="165" fontId="0" fillId="0" borderId="8" xfId="0" applyNumberFormat="1" applyFill="1" applyBorder="1"/>
    <xf numFmtId="0" fontId="0" fillId="0" borderId="9" xfId="0" applyFill="1" applyBorder="1"/>
    <xf numFmtId="0" fontId="0" fillId="0" borderId="81" xfId="0" applyFill="1" applyBorder="1"/>
    <xf numFmtId="165" fontId="0" fillId="0" borderId="81" xfId="0" applyNumberFormat="1" applyFill="1" applyBorder="1"/>
    <xf numFmtId="165" fontId="0" fillId="0" borderId="0" xfId="0" applyNumberFormat="1" applyFill="1"/>
    <xf numFmtId="2" fontId="0" fillId="0" borderId="0" xfId="0" applyNumberFormat="1" applyFill="1"/>
    <xf numFmtId="0" fontId="0" fillId="0" borderId="35" xfId="0" applyBorder="1"/>
    <xf numFmtId="0" fontId="0" fillId="0" borderId="36" xfId="0" applyBorder="1"/>
    <xf numFmtId="0" fontId="0" fillId="0" borderId="79" xfId="0" applyBorder="1"/>
    <xf numFmtId="0" fontId="0" fillId="0" borderId="4" xfId="0" applyBorder="1"/>
    <xf numFmtId="0" fontId="3" fillId="0" borderId="39" xfId="0" applyFont="1" applyFill="1" applyBorder="1"/>
    <xf numFmtId="0" fontId="0" fillId="0" borderId="39" xfId="0" applyFill="1" applyBorder="1"/>
    <xf numFmtId="0" fontId="0" fillId="0" borderId="39" xfId="0" applyBorder="1"/>
    <xf numFmtId="0" fontId="0" fillId="0" borderId="5" xfId="0" applyBorder="1"/>
    <xf numFmtId="0" fontId="0" fillId="0" borderId="81" xfId="0" applyBorder="1"/>
    <xf numFmtId="0" fontId="0" fillId="0" borderId="0" xfId="0" applyBorder="1"/>
    <xf numFmtId="0" fontId="0" fillId="0" borderId="0" xfId="0" applyBorder="1" applyAlignment="1">
      <alignment horizontal="center"/>
    </xf>
    <xf numFmtId="0" fontId="3" fillId="0" borderId="0" xfId="0" applyFont="1" applyBorder="1" applyAlignment="1">
      <alignment horizontal="right"/>
    </xf>
    <xf numFmtId="0" fontId="21" fillId="0" borderId="0" xfId="0" applyFont="1" applyBorder="1" applyAlignment="1">
      <alignment horizontal="center"/>
    </xf>
    <xf numFmtId="174" fontId="0" fillId="0" borderId="18" xfId="0" applyNumberFormat="1" applyBorder="1" applyAlignment="1">
      <alignment horizontal="right"/>
    </xf>
    <xf numFmtId="165" fontId="0" fillId="0" borderId="0" xfId="0" applyNumberFormat="1" applyBorder="1"/>
    <xf numFmtId="0" fontId="0" fillId="0" borderId="7" xfId="0" applyBorder="1"/>
    <xf numFmtId="0" fontId="0" fillId="0" borderId="8" xfId="0" applyBorder="1"/>
    <xf numFmtId="0" fontId="0" fillId="0" borderId="9" xfId="0" applyBorder="1"/>
    <xf numFmtId="165" fontId="0" fillId="0" borderId="0" xfId="0" applyNumberFormat="1"/>
    <xf numFmtId="0" fontId="4" fillId="0" borderId="0" xfId="62" applyFont="1" applyFill="1" applyBorder="1"/>
    <xf numFmtId="0" fontId="6" fillId="0" borderId="0" xfId="62" applyFont="1" applyFill="1"/>
    <xf numFmtId="2" fontId="6" fillId="0" borderId="0" xfId="62" applyNumberFormat="1" applyFont="1" applyFill="1"/>
    <xf numFmtId="2" fontId="3" fillId="0" borderId="0" xfId="62" applyNumberFormat="1" applyFont="1" applyFill="1"/>
    <xf numFmtId="0" fontId="6" fillId="0" borderId="18" xfId="0" applyFont="1" applyBorder="1"/>
    <xf numFmtId="0" fontId="6" fillId="0" borderId="3" xfId="0" applyFont="1" applyBorder="1" applyAlignment="1">
      <alignment horizontal="right"/>
    </xf>
    <xf numFmtId="165" fontId="6" fillId="0" borderId="0" xfId="0" applyNumberFormat="1" applyFont="1"/>
    <xf numFmtId="0" fontId="17" fillId="0" borderId="3" xfId="0" applyFont="1" applyFill="1" applyBorder="1" applyAlignment="1">
      <alignment horizontal="right"/>
    </xf>
    <xf numFmtId="0" fontId="22" fillId="0" borderId="18" xfId="0" applyFont="1" applyFill="1" applyBorder="1" applyAlignment="1">
      <alignment horizontal="center"/>
    </xf>
    <xf numFmtId="2" fontId="3" fillId="0" borderId="14" xfId="0" applyNumberFormat="1" applyFont="1" applyFill="1" applyBorder="1"/>
    <xf numFmtId="0" fontId="16" fillId="0" borderId="0" xfId="0" applyFont="1" applyFill="1"/>
    <xf numFmtId="43" fontId="6" fillId="0" borderId="0" xfId="0" applyNumberFormat="1" applyFont="1" applyFill="1"/>
    <xf numFmtId="2" fontId="6" fillId="0" borderId="14" xfId="0" applyNumberFormat="1" applyFont="1" applyFill="1" applyBorder="1"/>
    <xf numFmtId="0" fontId="3" fillId="0" borderId="16" xfId="0" applyFont="1" applyFill="1" applyBorder="1" applyAlignment="1">
      <alignment horizontal="center" vertical="top" wrapText="1"/>
    </xf>
    <xf numFmtId="0" fontId="3" fillId="0" borderId="43" xfId="0" applyFont="1" applyFill="1" applyBorder="1" applyAlignment="1">
      <alignment horizontal="center" vertical="top" wrapText="1"/>
    </xf>
    <xf numFmtId="0" fontId="3" fillId="0" borderId="43" xfId="0" applyFont="1" applyFill="1" applyBorder="1" applyAlignment="1">
      <alignment horizontal="justify" vertical="top" wrapText="1"/>
    </xf>
    <xf numFmtId="2" fontId="3" fillId="0" borderId="43" xfId="0" applyNumberFormat="1" applyFont="1" applyFill="1" applyBorder="1" applyAlignment="1">
      <alignment horizontal="center" vertical="top" wrapText="1"/>
    </xf>
    <xf numFmtId="0" fontId="6" fillId="0" borderId="1" xfId="0" applyFont="1" applyFill="1" applyBorder="1" applyAlignment="1">
      <alignment horizontal="center" vertical="top" wrapText="1"/>
    </xf>
    <xf numFmtId="0" fontId="6" fillId="0" borderId="1" xfId="0" applyFont="1" applyFill="1" applyBorder="1" applyAlignment="1">
      <alignment horizontal="justify" vertical="top" wrapText="1"/>
    </xf>
    <xf numFmtId="1" fontId="6" fillId="0" borderId="1" xfId="0" applyNumberFormat="1" applyFont="1" applyFill="1" applyBorder="1" applyAlignment="1">
      <alignment horizontal="center" vertical="top" wrapText="1"/>
    </xf>
    <xf numFmtId="2" fontId="6" fillId="0" borderId="1" xfId="0" applyNumberFormat="1" applyFont="1" applyFill="1" applyBorder="1" applyAlignment="1">
      <alignment horizontal="center" vertical="top" wrapText="1"/>
    </xf>
    <xf numFmtId="2" fontId="6" fillId="0" borderId="1" xfId="0" applyNumberFormat="1" applyFont="1" applyFill="1" applyBorder="1" applyAlignment="1">
      <alignment horizontal="right" vertical="top" wrapText="1"/>
    </xf>
    <xf numFmtId="0" fontId="6" fillId="0" borderId="33" xfId="0" applyFont="1" applyFill="1" applyBorder="1" applyAlignment="1">
      <alignment horizontal="center" vertical="top" wrapText="1"/>
    </xf>
    <xf numFmtId="0" fontId="6" fillId="0" borderId="33" xfId="0" applyFont="1" applyFill="1" applyBorder="1" applyAlignment="1">
      <alignment horizontal="justify" vertical="top" wrapText="1"/>
    </xf>
    <xf numFmtId="1" fontId="6" fillId="0" borderId="33" xfId="0" applyNumberFormat="1" applyFont="1" applyFill="1" applyBorder="1" applyAlignment="1">
      <alignment horizontal="center" vertical="top" wrapText="1"/>
    </xf>
    <xf numFmtId="2" fontId="6" fillId="0" borderId="33" xfId="0" applyNumberFormat="1" applyFont="1" applyFill="1" applyBorder="1" applyAlignment="1">
      <alignment horizontal="center" vertical="top" wrapText="1"/>
    </xf>
    <xf numFmtId="2" fontId="6" fillId="0" borderId="33" xfId="0" applyNumberFormat="1" applyFont="1" applyFill="1" applyBorder="1" applyAlignment="1">
      <alignment horizontal="right" vertical="top" wrapText="1"/>
    </xf>
    <xf numFmtId="2" fontId="6" fillId="0" borderId="42" xfId="0" applyNumberFormat="1" applyFont="1" applyFill="1" applyBorder="1" applyAlignment="1">
      <alignment horizontal="right" vertical="top" wrapText="1"/>
    </xf>
    <xf numFmtId="2" fontId="6" fillId="0" borderId="42" xfId="0" applyNumberFormat="1" applyFont="1" applyFill="1" applyBorder="1" applyAlignment="1">
      <alignment horizontal="center" vertical="top" wrapText="1"/>
    </xf>
    <xf numFmtId="2" fontId="6" fillId="0" borderId="82" xfId="0" applyNumberFormat="1" applyFont="1" applyFill="1" applyBorder="1" applyAlignment="1">
      <alignment horizontal="right" vertical="top" wrapText="1"/>
    </xf>
    <xf numFmtId="0" fontId="6" fillId="0" borderId="1" xfId="0" applyFont="1" applyFill="1" applyBorder="1" applyAlignment="1">
      <alignment horizontal="left" vertical="top" wrapText="1"/>
    </xf>
    <xf numFmtId="2" fontId="3" fillId="0" borderId="1" xfId="0" applyNumberFormat="1" applyFont="1" applyFill="1" applyBorder="1" applyAlignment="1">
      <alignment horizontal="center" vertical="center" wrapText="1"/>
    </xf>
    <xf numFmtId="0" fontId="4" fillId="0" borderId="1" xfId="0" applyFont="1" applyFill="1" applyBorder="1" applyAlignment="1">
      <alignment horizontal="justify" vertical="top" wrapText="1"/>
    </xf>
    <xf numFmtId="1" fontId="6" fillId="0" borderId="1" xfId="0" applyNumberFormat="1" applyFont="1" applyFill="1" applyBorder="1" applyAlignment="1">
      <alignment horizontal="center" vertical="center" wrapText="1"/>
    </xf>
    <xf numFmtId="9" fontId="3" fillId="0" borderId="3" xfId="0" applyNumberFormat="1" applyFont="1" applyFill="1" applyBorder="1" applyAlignment="1">
      <alignment horizontal="center"/>
    </xf>
    <xf numFmtId="2" fontId="6" fillId="0" borderId="0" xfId="0" quotePrefix="1" applyNumberFormat="1" applyFont="1" applyFill="1"/>
    <xf numFmtId="0" fontId="6" fillId="0" borderId="0" xfId="0" quotePrefix="1" applyFont="1" applyFill="1"/>
    <xf numFmtId="2" fontId="6" fillId="0" borderId="0" xfId="0" quotePrefix="1" applyNumberFormat="1" applyFont="1" applyFill="1" applyAlignment="1">
      <alignment horizontal="center"/>
    </xf>
    <xf numFmtId="0" fontId="8" fillId="0" borderId="1" xfId="0" applyFont="1" applyBorder="1"/>
    <xf numFmtId="1" fontId="6" fillId="0" borderId="2" xfId="0" quotePrefix="1" applyNumberFormat="1" applyFont="1" applyFill="1" applyBorder="1" applyAlignment="1">
      <alignment horizontal="center" vertical="top" wrapText="1"/>
    </xf>
    <xf numFmtId="1" fontId="6" fillId="0" borderId="27" xfId="0" quotePrefix="1" applyNumberFormat="1" applyFont="1" applyFill="1" applyBorder="1" applyAlignment="1">
      <alignment horizontal="center" vertical="top" wrapText="1"/>
    </xf>
    <xf numFmtId="2" fontId="6" fillId="0" borderId="0" xfId="0" quotePrefix="1" applyNumberFormat="1" applyFont="1" applyFill="1" applyBorder="1" applyAlignment="1">
      <alignment horizontal="center"/>
    </xf>
    <xf numFmtId="2" fontId="3" fillId="0" borderId="83" xfId="0" applyNumberFormat="1" applyFont="1" applyFill="1" applyBorder="1" applyAlignment="1">
      <alignment horizontal="center"/>
    </xf>
    <xf numFmtId="2" fontId="6" fillId="0" borderId="84" xfId="0" applyNumberFormat="1" applyFont="1" applyFill="1" applyBorder="1"/>
    <xf numFmtId="2" fontId="3" fillId="0" borderId="85" xfId="0" applyNumberFormat="1" applyFont="1" applyFill="1" applyBorder="1"/>
    <xf numFmtId="2" fontId="3" fillId="0" borderId="74" xfId="0" applyNumberFormat="1" applyFont="1" applyFill="1" applyBorder="1"/>
    <xf numFmtId="0" fontId="6" fillId="0" borderId="86" xfId="0" applyFont="1" applyFill="1" applyBorder="1"/>
    <xf numFmtId="2" fontId="3" fillId="0" borderId="75" xfId="0" applyNumberFormat="1" applyFont="1" applyFill="1" applyBorder="1"/>
    <xf numFmtId="2" fontId="6" fillId="0" borderId="86" xfId="0" applyNumberFormat="1" applyFont="1" applyFill="1" applyBorder="1"/>
    <xf numFmtId="2" fontId="3" fillId="0" borderId="30" xfId="0" applyNumberFormat="1" applyFont="1" applyFill="1" applyBorder="1" applyAlignment="1">
      <alignment horizontal="center"/>
    </xf>
    <xf numFmtId="2" fontId="6" fillId="0" borderId="87" xfId="0" applyNumberFormat="1" applyFont="1" applyFill="1" applyBorder="1"/>
    <xf numFmtId="2" fontId="3" fillId="0" borderId="73" xfId="0" applyNumberFormat="1" applyFont="1" applyFill="1" applyBorder="1"/>
    <xf numFmtId="2" fontId="15" fillId="0" borderId="0" xfId="0" applyNumberFormat="1" applyFont="1" applyFill="1"/>
    <xf numFmtId="0" fontId="8" fillId="0" borderId="0" xfId="0" applyFont="1"/>
    <xf numFmtId="0" fontId="23" fillId="0" borderId="0" xfId="0" applyFont="1" applyAlignment="1">
      <alignment horizontal="center"/>
    </xf>
    <xf numFmtId="0" fontId="10" fillId="0" borderId="1" xfId="0" applyFont="1" applyBorder="1" applyAlignment="1">
      <alignment horizontal="center"/>
    </xf>
    <xf numFmtId="0" fontId="8" fillId="0" borderId="1" xfId="0" applyFont="1" applyBorder="1" applyAlignment="1">
      <alignment horizontal="center"/>
    </xf>
    <xf numFmtId="16" fontId="8" fillId="0" borderId="1" xfId="0" quotePrefix="1" applyNumberFormat="1" applyFont="1" applyBorder="1" applyAlignment="1">
      <alignment horizontal="center"/>
    </xf>
    <xf numFmtId="0" fontId="8" fillId="0" borderId="1" xfId="0" quotePrefix="1" applyFont="1" applyBorder="1" applyAlignment="1">
      <alignment horizontal="center"/>
    </xf>
    <xf numFmtId="0" fontId="8" fillId="0" borderId="11" xfId="0" applyFont="1" applyBorder="1"/>
    <xf numFmtId="0" fontId="25" fillId="0" borderId="31" xfId="0" applyFont="1" applyFill="1" applyBorder="1"/>
    <xf numFmtId="0" fontId="25" fillId="0" borderId="19" xfId="0" applyFont="1" applyFill="1" applyBorder="1"/>
    <xf numFmtId="4" fontId="25" fillId="0" borderId="19" xfId="0" applyNumberFormat="1" applyFont="1" applyFill="1" applyBorder="1"/>
    <xf numFmtId="2" fontId="24" fillId="0" borderId="0" xfId="0" applyNumberFormat="1" applyFont="1" applyFill="1"/>
    <xf numFmtId="2" fontId="10" fillId="0" borderId="0" xfId="0" applyNumberFormat="1" applyFont="1" applyFill="1" applyAlignment="1">
      <alignment horizontal="center"/>
    </xf>
    <xf numFmtId="0" fontId="16" fillId="0" borderId="0" xfId="0" applyFont="1" applyFill="1" applyAlignment="1">
      <alignment horizontal="center"/>
    </xf>
    <xf numFmtId="0" fontId="16" fillId="0" borderId="0" xfId="0" applyFont="1" applyFill="1" applyAlignment="1">
      <alignment horizontal="right"/>
    </xf>
    <xf numFmtId="2" fontId="4" fillId="0" borderId="0" xfId="0" applyNumberFormat="1" applyFont="1" applyFill="1" applyAlignment="1"/>
    <xf numFmtId="2" fontId="6" fillId="0" borderId="0" xfId="0" applyNumberFormat="1" applyFont="1" applyFill="1" applyBorder="1" applyAlignment="1">
      <alignment horizontal="right"/>
    </xf>
    <xf numFmtId="175" fontId="6" fillId="0" borderId="0" xfId="0" applyNumberFormat="1" applyFont="1" applyFill="1" applyBorder="1" applyAlignment="1">
      <alignment horizontal="right"/>
    </xf>
    <xf numFmtId="2" fontId="6" fillId="0" borderId="18" xfId="0" applyNumberFormat="1" applyFont="1" applyFill="1" applyBorder="1" applyAlignment="1">
      <alignment horizontal="right"/>
    </xf>
    <xf numFmtId="0" fontId="15" fillId="0" borderId="0" xfId="0" applyFont="1" applyFill="1" applyAlignment="1">
      <alignment horizontal="left"/>
    </xf>
    <xf numFmtId="2" fontId="6" fillId="3" borderId="0" xfId="0" applyNumberFormat="1" applyFont="1" applyFill="1"/>
    <xf numFmtId="0" fontId="6" fillId="3" borderId="0" xfId="0" applyFont="1" applyFill="1"/>
    <xf numFmtId="0" fontId="26" fillId="0" borderId="0" xfId="0" applyFont="1" applyAlignment="1" applyProtection="1"/>
    <xf numFmtId="0" fontId="8" fillId="0" borderId="0" xfId="0" applyFont="1" applyAlignment="1" applyProtection="1"/>
    <xf numFmtId="0" fontId="27" fillId="0" borderId="0" xfId="0" applyFont="1"/>
    <xf numFmtId="0" fontId="27" fillId="0" borderId="0" xfId="0" applyFont="1" applyAlignment="1" applyProtection="1">
      <alignment horizontal="fill"/>
    </xf>
    <xf numFmtId="0" fontId="27" fillId="0" borderId="0" xfId="0" applyFont="1" applyAlignment="1" applyProtection="1">
      <alignment horizontal="center"/>
    </xf>
    <xf numFmtId="0" fontId="27" fillId="0" borderId="0" xfId="0" applyFont="1" applyAlignment="1">
      <alignment horizontal="left"/>
    </xf>
    <xf numFmtId="0" fontId="27" fillId="0" borderId="0" xfId="0" applyFont="1" applyBorder="1" applyAlignment="1" applyProtection="1">
      <alignment horizontal="left"/>
    </xf>
    <xf numFmtId="0" fontId="27" fillId="0" borderId="0" xfId="0" applyFont="1" applyBorder="1" applyAlignment="1">
      <alignment horizontal="left"/>
    </xf>
    <xf numFmtId="0" fontId="27" fillId="0" borderId="0" xfId="0" applyFont="1" applyBorder="1"/>
    <xf numFmtId="0" fontId="27" fillId="0" borderId="0" xfId="0" applyFont="1" applyAlignment="1" applyProtection="1">
      <alignment horizontal="left"/>
    </xf>
    <xf numFmtId="0" fontId="27" fillId="0" borderId="18" xfId="0" applyFont="1" applyBorder="1" applyAlignment="1" applyProtection="1">
      <alignment horizontal="fill"/>
    </xf>
    <xf numFmtId="0" fontId="15" fillId="0" borderId="18" xfId="0" applyFont="1" applyBorder="1" applyAlignment="1">
      <alignment horizontal="right"/>
    </xf>
    <xf numFmtId="0" fontId="3" fillId="0" borderId="0" xfId="0" applyFont="1" applyAlignment="1">
      <alignment horizontal="center"/>
    </xf>
    <xf numFmtId="0" fontId="28" fillId="0" borderId="18" xfId="0" applyFont="1" applyBorder="1" applyAlignment="1" applyProtection="1">
      <alignment horizontal="center" shrinkToFit="1"/>
    </xf>
    <xf numFmtId="171" fontId="27" fillId="0" borderId="11" xfId="0" applyNumberFormat="1" applyFont="1" applyBorder="1" applyAlignment="1" applyProtection="1">
      <alignment horizontal="center"/>
    </xf>
    <xf numFmtId="171" fontId="27" fillId="0" borderId="11" xfId="0" quotePrefix="1" applyNumberFormat="1" applyFont="1" applyBorder="1" applyAlignment="1" applyProtection="1">
      <alignment horizontal="center"/>
    </xf>
    <xf numFmtId="171" fontId="27" fillId="0" borderId="0" xfId="0" quotePrefix="1" applyNumberFormat="1" applyFont="1" applyBorder="1" applyAlignment="1" applyProtection="1">
      <alignment horizontal="center"/>
    </xf>
    <xf numFmtId="0" fontId="27" fillId="0" borderId="0" xfId="0" applyFont="1" applyBorder="1" applyAlignment="1" applyProtection="1">
      <alignment horizontal="fill"/>
    </xf>
    <xf numFmtId="0" fontId="26" fillId="0" borderId="0" xfId="0" applyFont="1" applyAlignment="1" applyProtection="1">
      <alignment horizontal="left"/>
    </xf>
    <xf numFmtId="0" fontId="27" fillId="0" borderId="0" xfId="0" applyFont="1" applyAlignment="1" applyProtection="1">
      <alignment horizontal="right"/>
    </xf>
    <xf numFmtId="0" fontId="27" fillId="0" borderId="0" xfId="0" applyFont="1" applyAlignment="1">
      <alignment horizontal="right"/>
    </xf>
    <xf numFmtId="0" fontId="27" fillId="0" borderId="0" xfId="0" applyFont="1" applyAlignment="1" applyProtection="1"/>
    <xf numFmtId="171" fontId="27" fillId="0" borderId="0" xfId="0" applyNumberFormat="1" applyFont="1" applyBorder="1" applyAlignment="1" applyProtection="1">
      <alignment horizontal="right"/>
    </xf>
    <xf numFmtId="171" fontId="27" fillId="0" borderId="0" xfId="0" applyNumberFormat="1" applyFont="1" applyAlignment="1" applyProtection="1">
      <alignment horizontal="right"/>
    </xf>
    <xf numFmtId="0" fontId="27" fillId="0" borderId="0" xfId="0" quotePrefix="1" applyFont="1"/>
    <xf numFmtId="171" fontId="27" fillId="0" borderId="0" xfId="0" applyNumberFormat="1" applyFont="1" applyProtection="1"/>
    <xf numFmtId="171" fontId="27" fillId="0" borderId="0" xfId="0" applyNumberFormat="1" applyFont="1"/>
    <xf numFmtId="171" fontId="27" fillId="0" borderId="0" xfId="0" applyNumberFormat="1" applyFont="1" applyBorder="1"/>
    <xf numFmtId="0" fontId="26" fillId="0" borderId="0" xfId="0" applyFont="1" applyBorder="1" applyAlignment="1" applyProtection="1"/>
    <xf numFmtId="164" fontId="26" fillId="0" borderId="0" xfId="5" applyFont="1" applyBorder="1" applyAlignment="1" applyProtection="1"/>
    <xf numFmtId="0" fontId="3" fillId="0" borderId="39" xfId="0" applyFont="1" applyBorder="1" applyAlignment="1" applyProtection="1">
      <alignment horizontal="left"/>
    </xf>
    <xf numFmtId="0" fontId="6" fillId="0" borderId="39" xfId="0" applyFont="1" applyBorder="1"/>
    <xf numFmtId="0" fontId="3" fillId="0" borderId="39" xfId="0" applyFont="1" applyBorder="1" applyAlignment="1" applyProtection="1">
      <alignment horizontal="center"/>
    </xf>
    <xf numFmtId="0" fontId="27" fillId="0" borderId="18" xfId="0" applyFont="1" applyBorder="1" applyAlignment="1" applyProtection="1">
      <alignment horizontal="left"/>
    </xf>
    <xf numFmtId="0" fontId="27" fillId="0" borderId="18" xfId="0" applyFont="1" applyBorder="1"/>
    <xf numFmtId="171" fontId="27" fillId="0" borderId="0" xfId="0" applyNumberFormat="1" applyFont="1" applyBorder="1" applyAlignment="1" applyProtection="1">
      <alignment horizontal="center"/>
    </xf>
    <xf numFmtId="171" fontId="27" fillId="0" borderId="0" xfId="0" quotePrefix="1" applyNumberFormat="1" applyFont="1" applyAlignment="1" applyProtection="1">
      <alignment horizontal="right"/>
    </xf>
    <xf numFmtId="171" fontId="27" fillId="0" borderId="0" xfId="0" applyNumberFormat="1" applyFont="1" applyAlignment="1">
      <alignment horizontal="right"/>
    </xf>
    <xf numFmtId="171" fontId="27" fillId="0" borderId="11" xfId="0" applyNumberFormat="1" applyFont="1" applyBorder="1" applyAlignment="1" applyProtection="1">
      <alignment horizontal="right"/>
    </xf>
    <xf numFmtId="0" fontId="27" fillId="0" borderId="0" xfId="0" quotePrefix="1" applyFont="1" applyAlignment="1" applyProtection="1">
      <alignment horizontal="left"/>
    </xf>
    <xf numFmtId="2" fontId="27" fillId="0" borderId="0" xfId="0" applyNumberFormat="1" applyFont="1"/>
    <xf numFmtId="0" fontId="28" fillId="0" borderId="0" xfId="0" applyFont="1" applyAlignment="1" applyProtection="1">
      <alignment horizontal="left"/>
    </xf>
    <xf numFmtId="171" fontId="26" fillId="0" borderId="3" xfId="0" applyNumberFormat="1" applyFont="1" applyBorder="1" applyAlignment="1" applyProtection="1">
      <alignment horizontal="right"/>
    </xf>
    <xf numFmtId="171" fontId="27" fillId="0" borderId="0" xfId="0" applyNumberFormat="1" applyFont="1" applyAlignment="1" applyProtection="1">
      <alignment horizontal="left"/>
    </xf>
    <xf numFmtId="171" fontId="27" fillId="0" borderId="0" xfId="0" applyNumberFormat="1" applyFont="1" applyAlignment="1" applyProtection="1">
      <alignment horizontal="center"/>
    </xf>
    <xf numFmtId="171" fontId="27" fillId="0" borderId="0" xfId="0" quotePrefix="1" applyNumberFormat="1" applyFont="1" applyAlignment="1" applyProtection="1">
      <alignment horizontal="center"/>
    </xf>
    <xf numFmtId="171" fontId="27" fillId="0" borderId="0" xfId="0" applyNumberFormat="1" applyFont="1" applyAlignment="1" applyProtection="1">
      <alignment horizontal="fill"/>
    </xf>
    <xf numFmtId="171" fontId="27" fillId="0" borderId="11" xfId="0" applyNumberFormat="1" applyFont="1" applyBorder="1" applyProtection="1"/>
    <xf numFmtId="171" fontId="26" fillId="0" borderId="3" xfId="0" applyNumberFormat="1" applyFont="1" applyBorder="1" applyProtection="1"/>
    <xf numFmtId="171" fontId="27" fillId="0" borderId="18" xfId="0" applyNumberFormat="1" applyFont="1" applyBorder="1" applyAlignment="1" applyProtection="1">
      <alignment horizontal="fill"/>
    </xf>
    <xf numFmtId="171" fontId="27" fillId="0" borderId="0" xfId="0" applyNumberFormat="1" applyFont="1" applyBorder="1" applyAlignment="1" applyProtection="1">
      <alignment horizontal="fill"/>
    </xf>
    <xf numFmtId="0" fontId="6" fillId="0" borderId="39" xfId="0" applyFont="1" applyBorder="1" applyAlignment="1" applyProtection="1">
      <alignment horizontal="fill"/>
    </xf>
    <xf numFmtId="0" fontId="27" fillId="0" borderId="0" xfId="0" applyFont="1" applyBorder="1" applyAlignment="1" applyProtection="1">
      <alignment horizontal="right"/>
    </xf>
    <xf numFmtId="0" fontId="27" fillId="0" borderId="18" xfId="0" applyFont="1" applyBorder="1" applyAlignment="1" applyProtection="1">
      <alignment horizontal="center" shrinkToFit="1"/>
    </xf>
    <xf numFmtId="171" fontId="27" fillId="0" borderId="11" xfId="0" applyNumberFormat="1" applyFont="1" applyFill="1" applyBorder="1" applyAlignment="1" applyProtection="1">
      <alignment horizontal="center"/>
    </xf>
    <xf numFmtId="165" fontId="27" fillId="0" borderId="0" xfId="4" applyFont="1" applyAlignment="1" applyProtection="1">
      <alignment horizontal="center"/>
    </xf>
    <xf numFmtId="171" fontId="26" fillId="0" borderId="11" xfId="0" applyNumberFormat="1" applyFont="1" applyBorder="1" applyProtection="1"/>
    <xf numFmtId="171" fontId="28" fillId="0" borderId="0" xfId="0" applyNumberFormat="1" applyFont="1" applyBorder="1" applyAlignment="1" applyProtection="1">
      <alignment horizontal="right"/>
    </xf>
    <xf numFmtId="2" fontId="6" fillId="0" borderId="0" xfId="0" applyNumberFormat="1" applyFont="1" applyAlignment="1" applyProtection="1">
      <alignment horizontal="left"/>
    </xf>
    <xf numFmtId="2" fontId="6" fillId="0" borderId="0" xfId="0" applyNumberFormat="1" applyFont="1" applyAlignment="1" applyProtection="1"/>
    <xf numFmtId="2" fontId="3" fillId="2" borderId="39" xfId="0" applyNumberFormat="1" applyFont="1" applyFill="1" applyBorder="1" applyAlignment="1" applyProtection="1">
      <alignment horizontal="center"/>
    </xf>
    <xf numFmtId="171" fontId="27" fillId="2" borderId="0" xfId="0" applyNumberFormat="1" applyFont="1" applyFill="1" applyBorder="1" applyAlignment="1" applyProtection="1">
      <alignment horizontal="right"/>
    </xf>
    <xf numFmtId="171" fontId="6" fillId="2" borderId="11" xfId="0" applyNumberFormat="1" applyFont="1" applyFill="1" applyBorder="1" applyAlignment="1" applyProtection="1">
      <alignment horizontal="center"/>
    </xf>
    <xf numFmtId="171" fontId="6" fillId="2" borderId="11" xfId="0" quotePrefix="1" applyNumberFormat="1" applyFont="1" applyFill="1" applyBorder="1" applyAlignment="1" applyProtection="1">
      <alignment horizontal="center"/>
    </xf>
    <xf numFmtId="1" fontId="6" fillId="0" borderId="0" xfId="0" applyNumberFormat="1" applyFont="1" applyAlignment="1" applyProtection="1">
      <alignment horizontal="left"/>
    </xf>
    <xf numFmtId="171" fontId="28" fillId="0" borderId="0" xfId="0" applyNumberFormat="1" applyFont="1" applyAlignment="1" applyProtection="1">
      <alignment horizontal="right"/>
    </xf>
    <xf numFmtId="0" fontId="3" fillId="0" borderId="39" xfId="0" applyFont="1" applyBorder="1" applyAlignment="1" applyProtection="1">
      <alignment horizontal="center" shrinkToFit="1"/>
    </xf>
    <xf numFmtId="171" fontId="27" fillId="0" borderId="0" xfId="0" applyNumberFormat="1" applyFont="1" applyBorder="1" applyProtection="1"/>
    <xf numFmtId="0" fontId="26" fillId="0" borderId="0" xfId="0" applyFont="1"/>
    <xf numFmtId="0" fontId="3" fillId="0" borderId="39" xfId="0" applyFont="1" applyBorder="1"/>
    <xf numFmtId="171" fontId="3" fillId="0" borderId="39" xfId="0" applyNumberFormat="1" applyFont="1" applyBorder="1" applyAlignment="1">
      <alignment horizontal="center"/>
    </xf>
    <xf numFmtId="171" fontId="28" fillId="0" borderId="11" xfId="0" applyNumberFormat="1" applyFont="1" applyBorder="1" applyAlignment="1" applyProtection="1">
      <alignment horizontal="center"/>
    </xf>
    <xf numFmtId="171" fontId="28" fillId="0" borderId="0" xfId="0" applyNumberFormat="1" applyFont="1" applyBorder="1" applyAlignment="1" applyProtection="1">
      <alignment horizontal="center"/>
    </xf>
    <xf numFmtId="171" fontId="27" fillId="0" borderId="18" xfId="0" applyNumberFormat="1" applyFont="1" applyBorder="1"/>
    <xf numFmtId="2" fontId="27" fillId="0" borderId="0" xfId="0" applyNumberFormat="1" applyFont="1" applyBorder="1"/>
    <xf numFmtId="0" fontId="0" fillId="0" borderId="18" xfId="0" applyBorder="1"/>
    <xf numFmtId="171" fontId="28" fillId="0" borderId="18" xfId="0" applyNumberFormat="1" applyFont="1" applyBorder="1" applyAlignment="1" applyProtection="1">
      <alignment horizontal="center"/>
    </xf>
    <xf numFmtId="0" fontId="27" fillId="0" borderId="39" xfId="0" applyFont="1" applyBorder="1"/>
    <xf numFmtId="171" fontId="26" fillId="0" borderId="39" xfId="0" applyNumberFormat="1" applyFont="1" applyBorder="1" applyAlignment="1">
      <alignment horizontal="center"/>
    </xf>
    <xf numFmtId="2" fontId="27" fillId="0" borderId="0" xfId="0" applyNumberFormat="1" applyFont="1" applyAlignment="1">
      <alignment horizontal="right"/>
    </xf>
    <xf numFmtId="2" fontId="27" fillId="0" borderId="18" xfId="0" applyNumberFormat="1" applyFont="1" applyBorder="1"/>
    <xf numFmtId="171" fontId="10" fillId="0" borderId="11" xfId="0" applyNumberFormat="1" applyFont="1" applyBorder="1" applyAlignment="1">
      <alignment horizontal="center"/>
    </xf>
    <xf numFmtId="171" fontId="26" fillId="0" borderId="0" xfId="0" applyNumberFormat="1" applyFont="1" applyBorder="1" applyAlignment="1">
      <alignment horizontal="center"/>
    </xf>
    <xf numFmtId="10" fontId="27" fillId="0" borderId="0" xfId="0" applyNumberFormat="1" applyFont="1"/>
    <xf numFmtId="9" fontId="27" fillId="0" borderId="0" xfId="64" applyFont="1"/>
    <xf numFmtId="1" fontId="27" fillId="0" borderId="0" xfId="0" applyNumberFormat="1" applyFont="1"/>
    <xf numFmtId="1" fontId="27" fillId="0" borderId="18" xfId="0" applyNumberFormat="1" applyFont="1" applyBorder="1"/>
    <xf numFmtId="0" fontId="26" fillId="0" borderId="39" xfId="0" applyFont="1" applyBorder="1"/>
    <xf numFmtId="0" fontId="26" fillId="0" borderId="18" xfId="0" applyFont="1" applyBorder="1"/>
    <xf numFmtId="171" fontId="26" fillId="0" borderId="18" xfId="0" applyNumberFormat="1" applyFont="1" applyBorder="1" applyAlignment="1" applyProtection="1">
      <alignment horizontal="right"/>
    </xf>
    <xf numFmtId="2" fontId="6" fillId="0" borderId="0" xfId="61" applyNumberFormat="1" applyFont="1" applyFill="1" applyBorder="1"/>
    <xf numFmtId="1" fontId="3" fillId="0" borderId="3" xfId="0" applyNumberFormat="1" applyFont="1" applyFill="1" applyBorder="1"/>
    <xf numFmtId="0" fontId="31" fillId="0" borderId="0" xfId="0" applyFont="1"/>
    <xf numFmtId="0" fontId="32" fillId="0" borderId="0" xfId="0" applyFont="1"/>
    <xf numFmtId="0" fontId="31" fillId="0" borderId="0" xfId="0" applyFont="1" applyAlignment="1">
      <alignment wrapText="1"/>
    </xf>
    <xf numFmtId="0" fontId="33" fillId="0" borderId="0" xfId="0" applyFont="1" applyBorder="1" applyAlignment="1">
      <alignment horizontal="center" vertical="top" wrapText="1"/>
    </xf>
    <xf numFmtId="2" fontId="31" fillId="0" borderId="1" xfId="0" applyNumberFormat="1" applyFont="1" applyBorder="1" applyAlignment="1">
      <alignment vertical="top" wrapText="1"/>
    </xf>
    <xf numFmtId="165" fontId="31" fillId="0" borderId="0" xfId="0" applyNumberFormat="1" applyFont="1"/>
    <xf numFmtId="0" fontId="31" fillId="0" borderId="0" xfId="0" applyFont="1" applyAlignment="1">
      <alignment horizontal="right" vertical="top" wrapText="1"/>
    </xf>
    <xf numFmtId="0" fontId="34" fillId="0" borderId="0" xfId="0" applyFont="1"/>
    <xf numFmtId="2" fontId="34" fillId="0" borderId="0" xfId="0" applyNumberFormat="1" applyFont="1"/>
    <xf numFmtId="0" fontId="31" fillId="0" borderId="1" xfId="0" applyFont="1" applyBorder="1" applyAlignment="1">
      <alignment horizontal="justify" vertical="top" wrapText="1"/>
    </xf>
    <xf numFmtId="0" fontId="31" fillId="0" borderId="1" xfId="0" applyFont="1" applyBorder="1" applyAlignment="1">
      <alignment horizontal="center" wrapText="1"/>
    </xf>
    <xf numFmtId="165" fontId="31" fillId="0" borderId="1" xfId="0" applyNumberFormat="1" applyFont="1" applyBorder="1" applyAlignment="1">
      <alignment horizontal="right" wrapText="1"/>
    </xf>
    <xf numFmtId="0" fontId="31" fillId="0" borderId="1" xfId="0" applyFont="1" applyBorder="1" applyAlignment="1">
      <alignment horizontal="right" vertical="top" wrapText="1"/>
    </xf>
    <xf numFmtId="0" fontId="34" fillId="0" borderId="1" xfId="0" applyFont="1" applyBorder="1" applyAlignment="1">
      <alignment horizontal="justify" vertical="top" wrapText="1"/>
    </xf>
    <xf numFmtId="0" fontId="34" fillId="0" borderId="1" xfId="0" applyFont="1" applyBorder="1" applyAlignment="1">
      <alignment horizontal="center" vertical="top" wrapText="1"/>
    </xf>
    <xf numFmtId="2" fontId="31" fillId="0" borderId="1" xfId="0" applyNumberFormat="1" applyFont="1" applyBorder="1" applyAlignment="1">
      <alignment horizontal="center" vertical="top" wrapText="1"/>
    </xf>
    <xf numFmtId="2" fontId="34" fillId="0" borderId="1" xfId="0" applyNumberFormat="1" applyFont="1" applyBorder="1" applyAlignment="1">
      <alignment horizontal="center" vertical="top" wrapText="1"/>
    </xf>
    <xf numFmtId="0" fontId="16" fillId="0" borderId="44" xfId="0" applyFont="1" applyFill="1" applyBorder="1" applyAlignment="1">
      <alignment horizontal="right"/>
    </xf>
    <xf numFmtId="0" fontId="6" fillId="0" borderId="44" xfId="0" applyFont="1" applyFill="1" applyBorder="1" applyAlignment="1">
      <alignment horizontal="center"/>
    </xf>
    <xf numFmtId="0" fontId="3" fillId="0" borderId="44" xfId="0" applyFont="1" applyFill="1" applyBorder="1" applyAlignment="1">
      <alignment horizontal="center"/>
    </xf>
    <xf numFmtId="0" fontId="22" fillId="0" borderId="26" xfId="0" applyFont="1" applyFill="1" applyBorder="1" applyAlignment="1">
      <alignment horizontal="center"/>
    </xf>
    <xf numFmtId="174" fontId="6" fillId="0" borderId="44" xfId="0" applyNumberFormat="1" applyFont="1" applyFill="1" applyBorder="1" applyAlignment="1">
      <alignment horizontal="right"/>
    </xf>
    <xf numFmtId="0" fontId="6" fillId="0" borderId="84" xfId="0" applyFont="1" applyFill="1" applyBorder="1"/>
    <xf numFmtId="2" fontId="6" fillId="0" borderId="9" xfId="0" applyNumberFormat="1" applyFont="1" applyFill="1" applyBorder="1"/>
    <xf numFmtId="2" fontId="3" fillId="0" borderId="6" xfId="0" applyNumberFormat="1" applyFont="1" applyFill="1" applyBorder="1"/>
    <xf numFmtId="2" fontId="3" fillId="0" borderId="88" xfId="0" applyNumberFormat="1" applyFont="1" applyFill="1" applyBorder="1"/>
    <xf numFmtId="0" fontId="31" fillId="0" borderId="0" xfId="0" quotePrefix="1" applyNumberFormat="1" applyFont="1"/>
    <xf numFmtId="43" fontId="31" fillId="0" borderId="0" xfId="0" applyNumberFormat="1" applyFont="1"/>
    <xf numFmtId="2" fontId="31" fillId="0" borderId="1" xfId="0" applyNumberFormat="1" applyFont="1" applyBorder="1" applyAlignment="1">
      <alignment horizontal="right" wrapText="1"/>
    </xf>
    <xf numFmtId="10" fontId="31" fillId="0" borderId="1" xfId="0" applyNumberFormat="1" applyFont="1" applyBorder="1" applyAlignment="1">
      <alignment horizontal="center" vertical="top" wrapText="1"/>
    </xf>
    <xf numFmtId="2" fontId="31" fillId="0" borderId="1" xfId="0" applyNumberFormat="1" applyFont="1" applyFill="1" applyBorder="1" applyAlignment="1">
      <alignment horizontal="center" vertical="top" wrapText="1"/>
    </xf>
    <xf numFmtId="167" fontId="3" fillId="0" borderId="11" xfId="0" applyNumberFormat="1" applyFont="1" applyFill="1" applyBorder="1" applyAlignment="1">
      <alignment horizontal="center"/>
    </xf>
    <xf numFmtId="1" fontId="3" fillId="0" borderId="11" xfId="0" applyNumberFormat="1" applyFont="1" applyFill="1" applyBorder="1" applyAlignment="1">
      <alignment horizontal="center"/>
    </xf>
    <xf numFmtId="0" fontId="3" fillId="0" borderId="89" xfId="0" applyFont="1" applyFill="1" applyBorder="1"/>
    <xf numFmtId="0" fontId="0" fillId="0" borderId="90" xfId="0" applyBorder="1"/>
    <xf numFmtId="0" fontId="0" fillId="0" borderId="91" xfId="0" applyBorder="1"/>
    <xf numFmtId="0" fontId="0" fillId="0" borderId="92" xfId="0" applyBorder="1"/>
    <xf numFmtId="0" fontId="3" fillId="0" borderId="5" xfId="0" applyFont="1" applyBorder="1" applyAlignment="1">
      <alignment horizontal="right"/>
    </xf>
    <xf numFmtId="0" fontId="21" fillId="0" borderId="5" xfId="0" applyFont="1" applyBorder="1" applyAlignment="1">
      <alignment horizontal="center"/>
    </xf>
    <xf numFmtId="174" fontId="0" fillId="0" borderId="93" xfId="0" applyNumberFormat="1" applyBorder="1" applyAlignment="1">
      <alignment horizontal="right"/>
    </xf>
    <xf numFmtId="165" fontId="0" fillId="0" borderId="5" xfId="0" applyNumberFormat="1" applyBorder="1"/>
    <xf numFmtId="0" fontId="35" fillId="0" borderId="1" xfId="0" applyFont="1" applyBorder="1" applyAlignment="1">
      <alignment horizontal="center" vertical="top" wrapText="1"/>
    </xf>
    <xf numFmtId="2" fontId="36" fillId="0" borderId="1" xfId="0" applyNumberFormat="1" applyFont="1" applyBorder="1" applyAlignment="1">
      <alignment vertical="top" wrapText="1"/>
    </xf>
    <xf numFmtId="0" fontId="36" fillId="0" borderId="1" xfId="0" applyFont="1" applyBorder="1" applyAlignment="1">
      <alignment vertical="top" wrapText="1"/>
    </xf>
    <xf numFmtId="165" fontId="36" fillId="0" borderId="1" xfId="0" applyNumberFormat="1" applyFont="1" applyBorder="1" applyAlignment="1">
      <alignment vertical="top" wrapText="1"/>
    </xf>
    <xf numFmtId="165" fontId="36" fillId="0" borderId="1" xfId="0" applyNumberFormat="1" applyFont="1" applyBorder="1" applyAlignment="1">
      <alignment horizontal="right" vertical="top" wrapText="1"/>
    </xf>
    <xf numFmtId="2" fontId="36" fillId="0" borderId="1" xfId="0" applyNumberFormat="1" applyFont="1" applyBorder="1" applyAlignment="1">
      <alignment horizontal="right" vertical="top" wrapText="1"/>
    </xf>
    <xf numFmtId="172" fontId="36" fillId="0" borderId="1" xfId="0" applyNumberFormat="1" applyFont="1" applyBorder="1" applyAlignment="1">
      <alignment horizontal="right" vertical="top" wrapText="1"/>
    </xf>
    <xf numFmtId="0" fontId="38" fillId="0" borderId="0" xfId="0" applyFont="1"/>
    <xf numFmtId="0" fontId="36" fillId="0" borderId="0" xfId="0" applyFont="1"/>
    <xf numFmtId="0" fontId="36" fillId="0" borderId="1" xfId="0" applyFont="1" applyBorder="1" applyAlignment="1">
      <alignment vertical="top"/>
    </xf>
    <xf numFmtId="0" fontId="39" fillId="0" borderId="1" xfId="0" applyFont="1" applyBorder="1" applyAlignment="1">
      <alignment vertical="top" wrapText="1"/>
    </xf>
    <xf numFmtId="0" fontId="37" fillId="0" borderId="0" xfId="0" applyFont="1"/>
    <xf numFmtId="0" fontId="37" fillId="0" borderId="0" xfId="0" applyFont="1" applyAlignment="1">
      <alignment horizontal="justify"/>
    </xf>
    <xf numFmtId="0" fontId="36" fillId="0" borderId="1" xfId="0" applyFont="1" applyBorder="1" applyAlignment="1">
      <alignment horizontal="justify" vertical="top" wrapText="1"/>
    </xf>
    <xf numFmtId="0" fontId="36" fillId="0" borderId="0" xfId="0" applyFont="1" applyAlignment="1">
      <alignment horizontal="justify"/>
    </xf>
    <xf numFmtId="0" fontId="37" fillId="0" borderId="1" xfId="0" applyFont="1" applyBorder="1" applyAlignment="1">
      <alignment horizontal="justify" vertical="top" wrapText="1"/>
    </xf>
    <xf numFmtId="0" fontId="37" fillId="0" borderId="1" xfId="0" applyFont="1" applyBorder="1" applyAlignment="1">
      <alignment vertical="top" wrapText="1"/>
    </xf>
    <xf numFmtId="9" fontId="3" fillId="0" borderId="1" xfId="0" applyNumberFormat="1" applyFont="1" applyFill="1" applyBorder="1"/>
    <xf numFmtId="0" fontId="68" fillId="0" borderId="94" xfId="0" applyFont="1" applyBorder="1" applyAlignment="1">
      <alignment vertical="top"/>
    </xf>
    <xf numFmtId="0" fontId="6" fillId="0" borderId="32" xfId="0" applyFont="1" applyBorder="1" applyAlignment="1">
      <alignment horizontal="center"/>
    </xf>
    <xf numFmtId="0" fontId="68" fillId="0" borderId="32" xfId="0" applyFont="1" applyBorder="1" applyAlignment="1">
      <alignment horizontal="center"/>
    </xf>
    <xf numFmtId="0" fontId="68" fillId="0" borderId="95" xfId="0" applyFont="1" applyBorder="1" applyAlignment="1">
      <alignment vertical="top" wrapText="1"/>
    </xf>
    <xf numFmtId="0" fontId="6" fillId="0" borderId="9" xfId="0" applyFont="1" applyBorder="1" applyAlignment="1">
      <alignment horizontal="center"/>
    </xf>
    <xf numFmtId="0" fontId="68" fillId="0" borderId="9" xfId="0" applyFont="1" applyBorder="1" applyAlignment="1">
      <alignment horizontal="center"/>
    </xf>
    <xf numFmtId="0" fontId="40" fillId="0" borderId="9" xfId="0" applyFont="1" applyBorder="1"/>
    <xf numFmtId="0" fontId="68" fillId="0" borderId="95" xfId="0" applyFont="1" applyBorder="1" applyAlignment="1">
      <alignment vertical="top"/>
    </xf>
    <xf numFmtId="2" fontId="6" fillId="0" borderId="9" xfId="0" applyNumberFormat="1" applyFont="1" applyBorder="1" applyAlignment="1">
      <alignment horizontal="center"/>
    </xf>
    <xf numFmtId="0" fontId="41" fillId="0" borderId="31" xfId="0" applyFont="1" applyBorder="1" applyAlignment="1">
      <alignment horizontal="justify" vertical="top" wrapText="1"/>
    </xf>
    <xf numFmtId="14" fontId="43" fillId="0" borderId="32" xfId="0" applyNumberFormat="1" applyFont="1" applyBorder="1" applyAlignment="1">
      <alignment horizontal="center" wrapText="1"/>
    </xf>
    <xf numFmtId="0" fontId="43" fillId="0" borderId="9" xfId="0" applyFont="1" applyBorder="1" applyAlignment="1">
      <alignment horizontal="center" wrapText="1"/>
    </xf>
    <xf numFmtId="14" fontId="43" fillId="0" borderId="9" xfId="0" applyNumberFormat="1" applyFont="1" applyBorder="1" applyAlignment="1">
      <alignment horizontal="center" wrapText="1"/>
    </xf>
    <xf numFmtId="0" fontId="41" fillId="0" borderId="32" xfId="0" applyFont="1" applyBorder="1" applyAlignment="1">
      <alignment horizontal="justify" vertical="top" wrapText="1"/>
    </xf>
    <xf numFmtId="2" fontId="41" fillId="0" borderId="9" xfId="0" applyNumberFormat="1" applyFont="1" applyBorder="1" applyAlignment="1">
      <alignment horizontal="right" wrapText="1"/>
    </xf>
    <xf numFmtId="165" fontId="41" fillId="0" borderId="9" xfId="0" applyNumberFormat="1" applyFont="1" applyBorder="1" applyAlignment="1">
      <alignment horizontal="right" wrapText="1"/>
    </xf>
    <xf numFmtId="14" fontId="43" fillId="0" borderId="94" xfId="0" applyNumberFormat="1" applyFont="1" applyBorder="1" applyAlignment="1">
      <alignment horizontal="center" wrapText="1"/>
    </xf>
    <xf numFmtId="14" fontId="43" fillId="0" borderId="94" xfId="0" applyNumberFormat="1" applyFont="1" applyBorder="1" applyAlignment="1">
      <alignment wrapText="1"/>
    </xf>
    <xf numFmtId="0" fontId="43" fillId="0" borderId="95" xfId="0" applyFont="1" applyBorder="1" applyAlignment="1">
      <alignment horizontal="center" wrapText="1"/>
    </xf>
    <xf numFmtId="2" fontId="41" fillId="0" borderId="95" xfId="0" applyNumberFormat="1" applyFont="1" applyBorder="1" applyAlignment="1">
      <alignment horizontal="right" wrapText="1"/>
    </xf>
    <xf numFmtId="165" fontId="41" fillId="0" borderId="95" xfId="0" applyNumberFormat="1" applyFont="1" applyBorder="1" applyAlignment="1">
      <alignment horizontal="right" wrapText="1"/>
    </xf>
    <xf numFmtId="2" fontId="3" fillId="0" borderId="1" xfId="0" applyNumberFormat="1" applyFont="1" applyFill="1" applyBorder="1" applyAlignment="1">
      <alignment horizontal="center" wrapText="1"/>
    </xf>
    <xf numFmtId="2" fontId="44" fillId="0" borderId="0" xfId="0" applyNumberFormat="1" applyFont="1" applyFill="1" applyAlignment="1">
      <alignment horizontal="center"/>
    </xf>
    <xf numFmtId="2" fontId="6" fillId="0" borderId="0" xfId="0" applyNumberFormat="1" applyFont="1" applyFill="1" applyAlignment="1">
      <alignment horizontal="right"/>
    </xf>
    <xf numFmtId="1" fontId="6" fillId="0" borderId="3" xfId="0" applyNumberFormat="1" applyFont="1" applyFill="1" applyBorder="1"/>
    <xf numFmtId="176" fontId="6" fillId="0" borderId="0" xfId="0" applyNumberFormat="1" applyFont="1" applyFill="1"/>
    <xf numFmtId="2" fontId="3" fillId="0" borderId="0" xfId="0" applyNumberFormat="1" applyFont="1" applyFill="1" applyAlignment="1">
      <alignment horizontal="right"/>
    </xf>
    <xf numFmtId="0" fontId="16" fillId="0" borderId="26" xfId="0" applyFont="1" applyFill="1" applyBorder="1" applyAlignment="1">
      <alignment horizontal="right"/>
    </xf>
    <xf numFmtId="1" fontId="6" fillId="0" borderId="0" xfId="0" quotePrefix="1" applyNumberFormat="1" applyFont="1" applyFill="1" applyAlignment="1">
      <alignment horizontal="left"/>
    </xf>
    <xf numFmtId="1" fontId="8" fillId="0" borderId="1" xfId="0" quotePrefix="1" applyNumberFormat="1" applyFont="1" applyBorder="1" applyAlignment="1">
      <alignment horizontal="center"/>
    </xf>
    <xf numFmtId="1" fontId="6" fillId="0" borderId="0" xfId="0" quotePrefix="1" applyNumberFormat="1" applyFont="1" applyFill="1" applyAlignment="1">
      <alignment horizontal="center"/>
    </xf>
    <xf numFmtId="2" fontId="6" fillId="0" borderId="0" xfId="0" applyNumberFormat="1" applyFont="1" applyFill="1" applyAlignment="1">
      <alignment horizontal="left"/>
    </xf>
    <xf numFmtId="174" fontId="6" fillId="0" borderId="0" xfId="0" applyNumberFormat="1" applyFont="1" applyFill="1" applyBorder="1"/>
    <xf numFmtId="170" fontId="6" fillId="0" borderId="36" xfId="0" applyNumberFormat="1" applyFont="1" applyFill="1" applyBorder="1"/>
    <xf numFmtId="0" fontId="8" fillId="0" borderId="16" xfId="0" applyFont="1" applyBorder="1"/>
    <xf numFmtId="0" fontId="23" fillId="0" borderId="11" xfId="0" applyFont="1" applyBorder="1" applyAlignment="1">
      <alignment horizontal="center"/>
    </xf>
    <xf numFmtId="0" fontId="8" fillId="0" borderId="34" xfId="0" quotePrefix="1" applyFont="1" applyBorder="1" applyAlignment="1">
      <alignment horizontal="center"/>
    </xf>
    <xf numFmtId="0" fontId="13" fillId="0" borderId="94" xfId="49" applyFont="1" applyBorder="1"/>
    <xf numFmtId="0" fontId="13" fillId="0" borderId="32" xfId="49" applyFont="1" applyBorder="1"/>
    <xf numFmtId="0" fontId="46" fillId="0" borderId="0" xfId="49"/>
    <xf numFmtId="0" fontId="13" fillId="0" borderId="95" xfId="49" applyFont="1" applyBorder="1"/>
    <xf numFmtId="2" fontId="13" fillId="0" borderId="9" xfId="49" applyNumberFormat="1" applyFont="1" applyBorder="1" applyAlignment="1">
      <alignment horizontal="right"/>
    </xf>
    <xf numFmtId="0" fontId="69" fillId="0" borderId="94" xfId="49" applyFont="1" applyBorder="1"/>
    <xf numFmtId="0" fontId="69" fillId="0" borderId="32" xfId="49" applyFont="1" applyBorder="1" applyAlignment="1">
      <alignment horizontal="justify"/>
    </xf>
    <xf numFmtId="0" fontId="69" fillId="0" borderId="95" xfId="49" applyFont="1" applyBorder="1" applyAlignment="1">
      <alignment horizontal="justify"/>
    </xf>
    <xf numFmtId="0" fontId="69" fillId="0" borderId="9" xfId="49" applyFont="1" applyBorder="1" applyAlignment="1">
      <alignment horizontal="right"/>
    </xf>
    <xf numFmtId="9" fontId="69" fillId="0" borderId="9" xfId="49" applyNumberFormat="1" applyFont="1" applyBorder="1" applyAlignment="1">
      <alignment horizontal="center"/>
    </xf>
    <xf numFmtId="0" fontId="69" fillId="0" borderId="95" xfId="49" applyFont="1" applyBorder="1" applyAlignment="1">
      <alignment horizontal="center"/>
    </xf>
    <xf numFmtId="0" fontId="69" fillId="0" borderId="9" xfId="49" applyFont="1" applyBorder="1" applyAlignment="1">
      <alignment horizontal="center"/>
    </xf>
    <xf numFmtId="2" fontId="69" fillId="0" borderId="9" xfId="49" applyNumberFormat="1" applyFont="1" applyBorder="1" applyAlignment="1">
      <alignment horizontal="right"/>
    </xf>
    <xf numFmtId="0" fontId="70" fillId="0" borderId="94" xfId="49" applyFont="1" applyBorder="1" applyAlignment="1">
      <alignment horizontal="justify" vertical="top"/>
    </xf>
    <xf numFmtId="0" fontId="71" fillId="0" borderId="32" xfId="49" applyFont="1" applyBorder="1" applyAlignment="1">
      <alignment horizontal="justify" vertical="top" wrapText="1"/>
    </xf>
    <xf numFmtId="0" fontId="69" fillId="0" borderId="9" xfId="49" applyFont="1" applyBorder="1" applyAlignment="1">
      <alignment horizontal="center" vertical="top" wrapText="1"/>
    </xf>
    <xf numFmtId="0" fontId="72" fillId="0" borderId="9" xfId="49" applyFont="1" applyBorder="1" applyAlignment="1">
      <alignment horizontal="center" vertical="top" wrapText="1"/>
    </xf>
    <xf numFmtId="4" fontId="69" fillId="0" borderId="9" xfId="49" applyNumberFormat="1" applyFont="1" applyBorder="1" applyAlignment="1">
      <alignment horizontal="right" vertical="top" wrapText="1"/>
    </xf>
    <xf numFmtId="10" fontId="69" fillId="0" borderId="9" xfId="49" applyNumberFormat="1" applyFont="1" applyBorder="1" applyAlignment="1">
      <alignment horizontal="right" vertical="top" wrapText="1"/>
    </xf>
    <xf numFmtId="2" fontId="46" fillId="0" borderId="0" xfId="49" applyNumberFormat="1"/>
    <xf numFmtId="4" fontId="46" fillId="0" borderId="0" xfId="49" applyNumberFormat="1"/>
    <xf numFmtId="0" fontId="73" fillId="0" borderId="94" xfId="49" applyFont="1" applyBorder="1" applyAlignment="1">
      <alignment horizontal="justify" vertical="top"/>
    </xf>
    <xf numFmtId="0" fontId="74" fillId="0" borderId="32" xfId="49" applyFont="1" applyBorder="1" applyAlignment="1">
      <alignment horizontal="center" vertical="top"/>
    </xf>
    <xf numFmtId="0" fontId="73" fillId="0" borderId="95" xfId="49" applyFont="1" applyBorder="1" applyAlignment="1">
      <alignment horizontal="justify" vertical="top"/>
    </xf>
    <xf numFmtId="0" fontId="74" fillId="0" borderId="9" xfId="49" applyFont="1" applyBorder="1" applyAlignment="1">
      <alignment horizontal="center" vertical="top"/>
    </xf>
    <xf numFmtId="4" fontId="74" fillId="0" borderId="9" xfId="49" applyNumberFormat="1" applyFont="1" applyBorder="1" applyAlignment="1">
      <alignment horizontal="center" vertical="top"/>
    </xf>
    <xf numFmtId="0" fontId="73" fillId="0" borderId="95" xfId="49" applyFont="1" applyBorder="1" applyAlignment="1">
      <alignment horizontal="center" vertical="top"/>
    </xf>
    <xf numFmtId="0" fontId="71" fillId="0" borderId="96" xfId="49" applyFont="1" applyBorder="1" applyAlignment="1">
      <alignment vertical="top"/>
    </xf>
    <xf numFmtId="0" fontId="71" fillId="0" borderId="95" xfId="49" applyFont="1" applyBorder="1" applyAlignment="1">
      <alignment vertical="top"/>
    </xf>
    <xf numFmtId="0" fontId="73" fillId="0" borderId="95" xfId="49" applyFont="1" applyBorder="1" applyAlignment="1">
      <alignment vertical="top"/>
    </xf>
    <xf numFmtId="0" fontId="3" fillId="0" borderId="94" xfId="49" applyFont="1" applyBorder="1" applyAlignment="1"/>
    <xf numFmtId="0" fontId="6" fillId="0" borderId="32" xfId="49" applyFont="1" applyBorder="1" applyAlignment="1">
      <alignment horizontal="center"/>
    </xf>
    <xf numFmtId="0" fontId="3" fillId="0" borderId="95" xfId="49" applyFont="1" applyBorder="1" applyAlignment="1"/>
    <xf numFmtId="0" fontId="2" fillId="0" borderId="9" xfId="49" applyFont="1" applyBorder="1" applyAlignment="1">
      <alignment horizontal="center"/>
    </xf>
    <xf numFmtId="0" fontId="6" fillId="0" borderId="95" xfId="49" applyFont="1" applyBorder="1" applyAlignment="1"/>
    <xf numFmtId="4" fontId="6" fillId="0" borderId="9" xfId="49" applyNumberFormat="1" applyFont="1" applyBorder="1" applyAlignment="1">
      <alignment horizontal="center"/>
    </xf>
    <xf numFmtId="1" fontId="6" fillId="0" borderId="9" xfId="49" applyNumberFormat="1" applyFont="1" applyBorder="1" applyAlignment="1">
      <alignment horizontal="center"/>
    </xf>
    <xf numFmtId="2" fontId="6" fillId="0" borderId="9" xfId="49" applyNumberFormat="1" applyFont="1" applyBorder="1" applyAlignment="1">
      <alignment horizontal="center"/>
    </xf>
    <xf numFmtId="0" fontId="6" fillId="0" borderId="95" xfId="49" applyFont="1" applyBorder="1" applyAlignment="1">
      <alignment wrapText="1"/>
    </xf>
    <xf numFmtId="0" fontId="6" fillId="0" borderId="9" xfId="49" applyFont="1" applyBorder="1" applyAlignment="1">
      <alignment horizontal="center"/>
    </xf>
    <xf numFmtId="0" fontId="69" fillId="0" borderId="94" xfId="49" applyFont="1" applyBorder="1" applyAlignment="1">
      <alignment horizontal="center" vertical="top"/>
    </xf>
    <xf numFmtId="0" fontId="69" fillId="0" borderId="32" xfId="49" applyFont="1" applyBorder="1" applyAlignment="1">
      <alignment horizontal="center" vertical="top"/>
    </xf>
    <xf numFmtId="0" fontId="41" fillId="0" borderId="97" xfId="49" applyFont="1" applyBorder="1" applyAlignment="1">
      <alignment horizontal="center" vertical="top"/>
    </xf>
    <xf numFmtId="0" fontId="72" fillId="0" borderId="9" xfId="49" applyFont="1" applyBorder="1" applyAlignment="1">
      <alignment horizontal="center" vertical="top"/>
    </xf>
    <xf numFmtId="0" fontId="41" fillId="0" borderId="95" xfId="49" applyFont="1" applyBorder="1" applyAlignment="1">
      <alignment vertical="top"/>
    </xf>
    <xf numFmtId="0" fontId="69" fillId="0" borderId="95" xfId="49" applyFont="1" applyBorder="1" applyAlignment="1">
      <alignment horizontal="center" vertical="top"/>
    </xf>
    <xf numFmtId="0" fontId="70" fillId="0" borderId="9" xfId="49" applyFont="1" applyBorder="1" applyAlignment="1">
      <alignment horizontal="justify" vertical="top"/>
    </xf>
    <xf numFmtId="0" fontId="13" fillId="0" borderId="95" xfId="49" applyFont="1" applyBorder="1" applyAlignment="1"/>
    <xf numFmtId="0" fontId="69" fillId="0" borderId="9" xfId="49" applyFont="1" applyBorder="1" applyAlignment="1">
      <alignment horizontal="justify"/>
    </xf>
    <xf numFmtId="4" fontId="75" fillId="0" borderId="9" xfId="49" applyNumberFormat="1" applyFont="1" applyBorder="1" applyAlignment="1">
      <alignment horizontal="center"/>
    </xf>
    <xf numFmtId="0" fontId="75" fillId="0" borderId="9" xfId="49" applyFont="1" applyBorder="1" applyAlignment="1">
      <alignment horizontal="center"/>
    </xf>
    <xf numFmtId="0" fontId="69" fillId="0" borderId="9" xfId="49" applyFont="1" applyBorder="1" applyAlignment="1">
      <alignment horizontal="justify" vertical="top"/>
    </xf>
    <xf numFmtId="4" fontId="69" fillId="0" borderId="9" xfId="49" applyNumberFormat="1" applyFont="1" applyBorder="1" applyAlignment="1">
      <alignment horizontal="center" vertical="top"/>
    </xf>
    <xf numFmtId="0" fontId="69" fillId="0" borderId="9" xfId="49" applyFont="1" applyBorder="1" applyAlignment="1">
      <alignment horizontal="center" vertical="top"/>
    </xf>
    <xf numFmtId="2" fontId="75" fillId="0" borderId="9" xfId="49" applyNumberFormat="1" applyFont="1" applyBorder="1" applyAlignment="1">
      <alignment horizontal="center"/>
    </xf>
    <xf numFmtId="0" fontId="70" fillId="0" borderId="9" xfId="49" applyFont="1" applyBorder="1" applyAlignment="1">
      <alignment horizontal="justify"/>
    </xf>
    <xf numFmtId="4" fontId="69" fillId="0" borderId="9" xfId="49" applyNumberFormat="1" applyFont="1" applyBorder="1" applyAlignment="1">
      <alignment horizontal="center"/>
    </xf>
    <xf numFmtId="2" fontId="69" fillId="0" borderId="9" xfId="49" applyNumberFormat="1" applyFont="1" applyBorder="1" applyAlignment="1">
      <alignment horizontal="center"/>
    </xf>
    <xf numFmtId="0" fontId="69" fillId="0" borderId="96" xfId="49" applyFont="1" applyBorder="1" applyAlignment="1">
      <alignment horizontal="center"/>
    </xf>
    <xf numFmtId="0" fontId="70" fillId="0" borderId="5" xfId="49" applyFont="1" applyBorder="1" applyAlignment="1">
      <alignment horizontal="justify"/>
    </xf>
    <xf numFmtId="4" fontId="69" fillId="0" borderId="5" xfId="49" applyNumberFormat="1" applyFont="1" applyBorder="1" applyAlignment="1">
      <alignment horizontal="center"/>
    </xf>
    <xf numFmtId="2" fontId="69" fillId="0" borderId="5" xfId="49" applyNumberFormat="1" applyFont="1" applyBorder="1" applyAlignment="1">
      <alignment horizontal="center"/>
    </xf>
    <xf numFmtId="0" fontId="69" fillId="0" borderId="94" xfId="49" applyFont="1" applyBorder="1" applyAlignment="1">
      <alignment horizontal="center"/>
    </xf>
    <xf numFmtId="4" fontId="75" fillId="0" borderId="32" xfId="49" applyNumberFormat="1" applyFont="1" applyBorder="1" applyAlignment="1">
      <alignment horizontal="center"/>
    </xf>
    <xf numFmtId="2" fontId="75" fillId="0" borderId="32" xfId="49" applyNumberFormat="1" applyFont="1" applyBorder="1" applyAlignment="1">
      <alignment horizontal="center"/>
    </xf>
    <xf numFmtId="0" fontId="69" fillId="0" borderId="97" xfId="49" applyFont="1" applyBorder="1" applyAlignment="1">
      <alignment horizontal="center"/>
    </xf>
    <xf numFmtId="0" fontId="41" fillId="0" borderId="97" xfId="49" applyFont="1" applyBorder="1" applyAlignment="1"/>
    <xf numFmtId="4" fontId="75" fillId="0" borderId="9" xfId="49" applyNumberFormat="1" applyFont="1" applyBorder="1" applyAlignment="1">
      <alignment horizontal="left"/>
    </xf>
    <xf numFmtId="0" fontId="19" fillId="0" borderId="0" xfId="0" applyFont="1" applyBorder="1"/>
    <xf numFmtId="0" fontId="16" fillId="0" borderId="18" xfId="0" applyFont="1" applyFill="1" applyBorder="1" applyAlignment="1">
      <alignment horizontal="right"/>
    </xf>
    <xf numFmtId="2" fontId="3" fillId="0" borderId="83" xfId="0" applyNumberFormat="1" applyFont="1" applyFill="1" applyBorder="1"/>
    <xf numFmtId="1" fontId="6" fillId="0" borderId="20" xfId="0" applyNumberFormat="1" applyFont="1" applyFill="1" applyBorder="1"/>
    <xf numFmtId="2" fontId="6" fillId="0" borderId="30" xfId="0" applyNumberFormat="1" applyFont="1" applyFill="1" applyBorder="1"/>
    <xf numFmtId="2" fontId="3" fillId="0" borderId="98" xfId="0" applyNumberFormat="1" applyFont="1" applyFill="1" applyBorder="1"/>
    <xf numFmtId="0" fontId="76" fillId="0" borderId="119" xfId="0" applyFont="1" applyBorder="1" applyAlignment="1">
      <alignment horizontal="center" wrapText="1"/>
    </xf>
    <xf numFmtId="0" fontId="76" fillId="0" borderId="120" xfId="0" applyFont="1" applyBorder="1" applyAlignment="1">
      <alignment horizontal="center" wrapText="1"/>
    </xf>
    <xf numFmtId="0" fontId="75" fillId="0" borderId="121" xfId="0" applyFont="1" applyBorder="1" applyAlignment="1">
      <alignment wrapText="1"/>
    </xf>
    <xf numFmtId="0" fontId="8" fillId="0" borderId="120" xfId="0" applyFont="1" applyBorder="1" applyAlignment="1">
      <alignment horizontal="right" wrapText="1"/>
    </xf>
    <xf numFmtId="0" fontId="8" fillId="0" borderId="121" xfId="0" applyFont="1" applyBorder="1" applyAlignment="1">
      <alignment wrapText="1"/>
    </xf>
    <xf numFmtId="2" fontId="8" fillId="0" borderId="120" xfId="0" applyNumberFormat="1" applyFont="1" applyBorder="1" applyAlignment="1">
      <alignment horizontal="right" wrapText="1"/>
    </xf>
    <xf numFmtId="0" fontId="76" fillId="0" borderId="121" xfId="0" applyFont="1" applyBorder="1" applyAlignment="1">
      <alignment wrapText="1"/>
    </xf>
    <xf numFmtId="2" fontId="3" fillId="0" borderId="0" xfId="0" applyNumberFormat="1" applyFont="1" applyFill="1" applyBorder="1" applyAlignment="1">
      <alignment horizontal="center"/>
    </xf>
    <xf numFmtId="0" fontId="25" fillId="0" borderId="0" xfId="0" applyFont="1" applyFill="1" applyBorder="1"/>
    <xf numFmtId="0" fontId="8" fillId="0" borderId="1" xfId="0" applyFont="1" applyFill="1" applyBorder="1" applyAlignment="1">
      <alignment horizontal="center"/>
    </xf>
    <xf numFmtId="0" fontId="8" fillId="0" borderId="1" xfId="0" applyFont="1" applyFill="1" applyBorder="1"/>
    <xf numFmtId="16" fontId="8" fillId="0" borderId="1" xfId="0" quotePrefix="1" applyNumberFormat="1" applyFont="1" applyFill="1" applyBorder="1" applyAlignment="1">
      <alignment horizontal="center"/>
    </xf>
    <xf numFmtId="0" fontId="17" fillId="0" borderId="0" xfId="0" applyFont="1" applyFill="1"/>
    <xf numFmtId="1" fontId="3" fillId="0" borderId="0" xfId="0" applyNumberFormat="1" applyFont="1" applyFill="1" applyAlignment="1">
      <alignment horizontal="left"/>
    </xf>
    <xf numFmtId="2" fontId="6" fillId="0" borderId="21" xfId="0" applyNumberFormat="1" applyFont="1" applyFill="1" applyBorder="1"/>
    <xf numFmtId="2" fontId="3" fillId="0" borderId="3" xfId="61" applyNumberFormat="1" applyFont="1" applyFill="1" applyBorder="1"/>
    <xf numFmtId="1" fontId="6" fillId="0" borderId="21" xfId="0" applyNumberFormat="1" applyFont="1" applyFill="1" applyBorder="1"/>
    <xf numFmtId="1" fontId="6" fillId="0" borderId="73" xfId="0" applyNumberFormat="1" applyFont="1" applyFill="1" applyBorder="1"/>
    <xf numFmtId="2" fontId="6" fillId="0" borderId="73" xfId="0" applyNumberFormat="1" applyFont="1" applyFill="1" applyBorder="1"/>
    <xf numFmtId="0" fontId="67" fillId="0" borderId="0" xfId="0" applyFont="1"/>
    <xf numFmtId="0" fontId="6" fillId="0" borderId="14" xfId="0" applyFont="1" applyFill="1" applyBorder="1" applyAlignment="1">
      <alignment vertical="top" wrapText="1"/>
    </xf>
    <xf numFmtId="0" fontId="6" fillId="0" borderId="43" xfId="0" applyFont="1" applyFill="1" applyBorder="1" applyAlignment="1">
      <alignment vertical="top"/>
    </xf>
    <xf numFmtId="0" fontId="6" fillId="0" borderId="44" xfId="0" applyFont="1" applyFill="1" applyBorder="1" applyAlignment="1">
      <alignment vertical="top" wrapText="1"/>
    </xf>
    <xf numFmtId="0" fontId="6" fillId="0" borderId="43" xfId="0" applyFont="1" applyFill="1" applyBorder="1" applyAlignment="1">
      <alignment vertical="top" wrapText="1"/>
    </xf>
    <xf numFmtId="2" fontId="6" fillId="0" borderId="14" xfId="0" applyNumberFormat="1" applyFont="1" applyFill="1" applyBorder="1" applyAlignment="1">
      <alignment vertical="top"/>
    </xf>
    <xf numFmtId="0" fontId="6" fillId="0" borderId="14" xfId="0" applyFont="1" applyFill="1" applyBorder="1" applyAlignment="1">
      <alignment vertical="top"/>
    </xf>
    <xf numFmtId="0" fontId="3" fillId="0" borderId="43" xfId="0" applyFont="1" applyFill="1" applyBorder="1"/>
    <xf numFmtId="0" fontId="3" fillId="0" borderId="33" xfId="0" applyFont="1" applyFill="1" applyBorder="1"/>
    <xf numFmtId="0" fontId="3" fillId="0" borderId="85" xfId="0" applyFont="1" applyFill="1" applyBorder="1"/>
    <xf numFmtId="0" fontId="3" fillId="0" borderId="43" xfId="0" applyFont="1" applyFill="1" applyBorder="1" applyAlignment="1">
      <alignment horizontal="center"/>
    </xf>
    <xf numFmtId="9" fontId="6" fillId="0" borderId="43" xfId="0" applyNumberFormat="1" applyFont="1" applyFill="1" applyBorder="1"/>
    <xf numFmtId="0" fontId="0" fillId="0" borderId="44" xfId="0" applyBorder="1"/>
    <xf numFmtId="0" fontId="0" fillId="0" borderId="43" xfId="0" applyBorder="1"/>
    <xf numFmtId="9" fontId="6" fillId="0" borderId="44" xfId="0" applyNumberFormat="1" applyFont="1" applyFill="1" applyBorder="1"/>
    <xf numFmtId="0" fontId="6" fillId="0" borderId="44" xfId="0" applyFont="1" applyFill="1" applyBorder="1" applyAlignment="1">
      <alignment wrapText="1"/>
    </xf>
    <xf numFmtId="0" fontId="67" fillId="0" borderId="16" xfId="0" applyFont="1" applyBorder="1" applyAlignment="1">
      <alignment vertical="top"/>
    </xf>
    <xf numFmtId="0" fontId="67" fillId="0" borderId="1" xfId="0" applyFont="1" applyBorder="1" applyAlignment="1">
      <alignment vertical="top"/>
    </xf>
    <xf numFmtId="0" fontId="67" fillId="0" borderId="34" xfId="0" applyFont="1" applyBorder="1" applyAlignment="1">
      <alignment vertical="top" wrapText="1"/>
    </xf>
    <xf numFmtId="0" fontId="0" fillId="0" borderId="14" xfId="0" applyBorder="1"/>
    <xf numFmtId="0" fontId="0" fillId="0" borderId="43" xfId="0" applyFont="1" applyBorder="1"/>
    <xf numFmtId="0" fontId="67" fillId="0" borderId="16" xfId="0" applyFont="1" applyBorder="1"/>
    <xf numFmtId="0" fontId="67" fillId="0" borderId="1" xfId="0" applyFont="1" applyBorder="1"/>
    <xf numFmtId="0" fontId="67" fillId="0" borderId="34" xfId="0" applyFont="1" applyBorder="1"/>
    <xf numFmtId="0" fontId="0" fillId="0" borderId="16" xfId="0" applyBorder="1"/>
    <xf numFmtId="0" fontId="0" fillId="0" borderId="34" xfId="0" applyBorder="1"/>
    <xf numFmtId="0" fontId="0" fillId="0" borderId="17" xfId="0" applyBorder="1"/>
    <xf numFmtId="0" fontId="0" fillId="0" borderId="21" xfId="0" applyFont="1" applyBorder="1"/>
    <xf numFmtId="0" fontId="0" fillId="0" borderId="21" xfId="0" applyBorder="1"/>
    <xf numFmtId="0" fontId="0" fillId="0" borderId="26" xfId="0" applyBorder="1"/>
    <xf numFmtId="0" fontId="6" fillId="0" borderId="44" xfId="0" applyFont="1" applyBorder="1" applyAlignment="1">
      <alignment wrapText="1"/>
    </xf>
    <xf numFmtId="9" fontId="6" fillId="0" borderId="43" xfId="0" applyNumberFormat="1" applyFont="1" applyFill="1" applyBorder="1" applyAlignment="1">
      <alignment vertical="top"/>
    </xf>
    <xf numFmtId="166" fontId="10" fillId="0" borderId="99" xfId="0" applyNumberFormat="1" applyFont="1" applyBorder="1" applyAlignment="1">
      <alignment horizontal="center" vertical="center"/>
    </xf>
    <xf numFmtId="0" fontId="10" fillId="0" borderId="1" xfId="0" applyFont="1" applyBorder="1" applyAlignment="1">
      <alignment horizontal="left" vertical="center"/>
    </xf>
    <xf numFmtId="166" fontId="8" fillId="0" borderId="1" xfId="0" applyNumberFormat="1" applyFont="1" applyBorder="1" applyAlignment="1">
      <alignment horizontal="center" vertical="center"/>
    </xf>
    <xf numFmtId="0" fontId="8" fillId="0" borderId="1" xfId="0" applyFont="1" applyBorder="1" applyAlignment="1">
      <alignment horizontal="center" vertical="center"/>
    </xf>
    <xf numFmtId="166" fontId="8" fillId="0" borderId="100" xfId="0" applyNumberFormat="1" applyFont="1" applyBorder="1" applyAlignment="1">
      <alignment horizontal="center" vertical="center"/>
    </xf>
    <xf numFmtId="0" fontId="10" fillId="0" borderId="1" xfId="0" applyFont="1" applyBorder="1" applyAlignment="1">
      <alignment horizontal="left" vertical="center" wrapText="1"/>
    </xf>
    <xf numFmtId="166" fontId="10" fillId="0" borderId="101" xfId="0" applyNumberFormat="1" applyFont="1" applyBorder="1" applyAlignment="1">
      <alignment horizontal="center" vertical="center"/>
    </xf>
    <xf numFmtId="0" fontId="10" fillId="4" borderId="1" xfId="0" applyFont="1" applyFill="1" applyBorder="1" applyAlignment="1">
      <alignment horizontal="left" vertical="center" wrapText="1"/>
    </xf>
    <xf numFmtId="0" fontId="8" fillId="0" borderId="1" xfId="0" quotePrefix="1" applyFont="1" applyBorder="1" applyAlignment="1">
      <alignment horizontal="center" vertical="center"/>
    </xf>
    <xf numFmtId="166" fontId="7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8" fillId="0" borderId="99" xfId="0" applyFont="1" applyBorder="1" applyAlignment="1">
      <alignment horizontal="center" vertical="center"/>
    </xf>
    <xf numFmtId="0" fontId="8" fillId="0" borderId="20"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78" fillId="0" borderId="1" xfId="0" applyFont="1" applyBorder="1" applyAlignment="1">
      <alignment horizontal="left" vertical="center"/>
    </xf>
    <xf numFmtId="0" fontId="8" fillId="0" borderId="100" xfId="0" applyFont="1" applyBorder="1" applyAlignment="1">
      <alignment horizontal="center" vertical="center"/>
    </xf>
    <xf numFmtId="0" fontId="10" fillId="0" borderId="16" xfId="0" applyFont="1" applyBorder="1" applyAlignment="1">
      <alignment horizontal="left" vertical="center"/>
    </xf>
    <xf numFmtId="0" fontId="8" fillId="0" borderId="34" xfId="0" applyFont="1" applyBorder="1" applyAlignment="1">
      <alignment horizontal="center" vertical="center"/>
    </xf>
    <xf numFmtId="2" fontId="10" fillId="0" borderId="1" xfId="0" applyNumberFormat="1" applyFont="1" applyBorder="1" applyAlignment="1">
      <alignment horizontal="center" vertical="center"/>
    </xf>
    <xf numFmtId="0" fontId="10" fillId="0" borderId="34" xfId="0" applyFont="1" applyBorder="1" applyAlignment="1">
      <alignment horizontal="left" vertical="center"/>
    </xf>
    <xf numFmtId="2" fontId="10" fillId="0" borderId="100" xfId="0" applyNumberFormat="1" applyFont="1" applyFill="1" applyBorder="1" applyAlignment="1">
      <alignment horizontal="center" vertical="center"/>
    </xf>
    <xf numFmtId="0" fontId="8" fillId="0" borderId="16" xfId="0" applyFont="1" applyBorder="1" applyAlignment="1">
      <alignment vertical="center" wrapText="1"/>
    </xf>
    <xf numFmtId="0" fontId="8" fillId="0" borderId="34" xfId="0" applyFont="1" applyBorder="1" applyAlignment="1">
      <alignment vertical="center" wrapText="1"/>
    </xf>
    <xf numFmtId="2" fontId="10" fillId="0" borderId="100" xfId="0" applyNumberFormat="1" applyFont="1" applyBorder="1" applyAlignment="1">
      <alignment horizontal="center" vertical="center"/>
    </xf>
    <xf numFmtId="0" fontId="10" fillId="0" borderId="99" xfId="0" applyFont="1" applyBorder="1" applyAlignment="1">
      <alignment horizontal="left" vertical="center"/>
    </xf>
    <xf numFmtId="2" fontId="8" fillId="0" borderId="100" xfId="0" applyNumberFormat="1" applyFont="1" applyBorder="1" applyAlignment="1">
      <alignment horizontal="center" vertical="center"/>
    </xf>
    <xf numFmtId="0" fontId="10" fillId="0" borderId="99" xfId="0" applyFont="1" applyBorder="1" applyAlignment="1">
      <alignment horizontal="center" vertical="center"/>
    </xf>
    <xf numFmtId="0" fontId="8" fillId="0" borderId="102" xfId="0" applyFont="1" applyBorder="1" applyAlignment="1">
      <alignment horizontal="center" vertical="center"/>
    </xf>
    <xf numFmtId="0" fontId="10" fillId="5" borderId="102" xfId="0" applyFont="1" applyFill="1" applyBorder="1" applyAlignment="1">
      <alignment horizontal="left" vertical="center"/>
    </xf>
    <xf numFmtId="2" fontId="10" fillId="5" borderId="100" xfId="0" applyNumberFormat="1" applyFont="1" applyFill="1" applyBorder="1" applyAlignment="1">
      <alignment horizontal="center" vertical="center"/>
    </xf>
    <xf numFmtId="2" fontId="8" fillId="4" borderId="100" xfId="0" applyNumberFormat="1" applyFont="1" applyFill="1" applyBorder="1" applyAlignment="1">
      <alignment horizontal="center" vertical="center"/>
    </xf>
    <xf numFmtId="2" fontId="10" fillId="4" borderId="100" xfId="0" applyNumberFormat="1" applyFont="1" applyFill="1" applyBorder="1" applyAlignment="1">
      <alignment horizontal="center" vertical="center"/>
    </xf>
    <xf numFmtId="0" fontId="10" fillId="5" borderId="103" xfId="0" applyFont="1" applyFill="1" applyBorder="1" applyAlignment="1">
      <alignment vertical="center" wrapText="1"/>
    </xf>
    <xf numFmtId="2" fontId="8" fillId="5" borderId="104" xfId="0" applyNumberFormat="1" applyFont="1" applyFill="1" applyBorder="1" applyAlignment="1">
      <alignment horizontal="center" vertical="center"/>
    </xf>
    <xf numFmtId="166" fontId="10" fillId="5" borderId="100" xfId="0" applyNumberFormat="1" applyFont="1" applyFill="1" applyBorder="1" applyAlignment="1">
      <alignment horizontal="center" vertical="center"/>
    </xf>
    <xf numFmtId="0" fontId="36" fillId="0" borderId="0" xfId="17" applyFont="1" applyFill="1"/>
    <xf numFmtId="0" fontId="36" fillId="0" borderId="0" xfId="17" quotePrefix="1" applyFont="1" applyFill="1" applyAlignment="1">
      <alignment horizontal="center"/>
    </xf>
    <xf numFmtId="0" fontId="50" fillId="0" borderId="0" xfId="0" applyFont="1" applyFill="1" applyAlignment="1">
      <alignment horizontal="center"/>
    </xf>
    <xf numFmtId="0" fontId="37" fillId="0" borderId="0" xfId="17" applyFont="1" applyFill="1" applyAlignment="1">
      <alignment horizontal="center"/>
    </xf>
    <xf numFmtId="0" fontId="37" fillId="0" borderId="1" xfId="17" applyFont="1" applyFill="1" applyBorder="1"/>
    <xf numFmtId="0" fontId="37" fillId="0" borderId="16" xfId="17" applyFont="1" applyFill="1" applyBorder="1" applyAlignment="1">
      <alignment horizontal="center" wrapText="1"/>
    </xf>
    <xf numFmtId="0" fontId="37" fillId="0" borderId="0" xfId="17" applyFont="1" applyFill="1" applyBorder="1"/>
    <xf numFmtId="0" fontId="36" fillId="0" borderId="1" xfId="17" applyFont="1" applyFill="1" applyBorder="1"/>
    <xf numFmtId="0" fontId="36" fillId="0" borderId="16" xfId="17" applyFont="1" applyFill="1" applyBorder="1"/>
    <xf numFmtId="0" fontId="37" fillId="0" borderId="0" xfId="17" applyFont="1" applyFill="1" applyBorder="1" applyAlignment="1"/>
    <xf numFmtId="0" fontId="36" fillId="0" borderId="16" xfId="17" applyFont="1" applyFill="1" applyBorder="1" applyAlignment="1">
      <alignment horizontal="center"/>
    </xf>
    <xf numFmtId="2" fontId="36" fillId="0" borderId="0" xfId="17" applyNumberFormat="1" applyFont="1" applyFill="1" applyBorder="1" applyAlignment="1"/>
    <xf numFmtId="2" fontId="37" fillId="0" borderId="0" xfId="17" applyNumberFormat="1" applyFont="1" applyFill="1" applyBorder="1" applyAlignment="1"/>
    <xf numFmtId="0" fontId="38" fillId="0" borderId="0" xfId="17" applyFont="1" applyFill="1"/>
    <xf numFmtId="2" fontId="36" fillId="0" borderId="0" xfId="17" applyNumberFormat="1" applyFont="1" applyFill="1"/>
    <xf numFmtId="2" fontId="21" fillId="0" borderId="0" xfId="17" applyNumberFormat="1" applyFont="1" applyFill="1" applyAlignment="1">
      <alignment horizontal="center" wrapText="1"/>
    </xf>
    <xf numFmtId="0" fontId="37" fillId="0" borderId="0" xfId="17" applyFont="1" applyFill="1"/>
    <xf numFmtId="2" fontId="37" fillId="0" borderId="3" xfId="17" applyNumberFormat="1" applyFont="1" applyFill="1" applyBorder="1" applyAlignment="1">
      <alignment horizontal="right"/>
    </xf>
    <xf numFmtId="0" fontId="38" fillId="0" borderId="0" xfId="17" applyFont="1" applyFill="1" applyAlignment="1">
      <alignment horizontal="center"/>
    </xf>
    <xf numFmtId="0" fontId="36" fillId="0" borderId="34" xfId="17" applyFont="1" applyFill="1" applyBorder="1" applyAlignment="1">
      <alignment horizontal="center"/>
    </xf>
    <xf numFmtId="9" fontId="36" fillId="0" borderId="1" xfId="17" applyNumberFormat="1" applyFont="1" applyFill="1" applyBorder="1" applyAlignment="1">
      <alignment horizontal="center"/>
    </xf>
    <xf numFmtId="2" fontId="36" fillId="0" borderId="1" xfId="17" applyNumberFormat="1" applyFont="1" applyFill="1" applyBorder="1" applyAlignment="1">
      <alignment horizontal="center"/>
    </xf>
    <xf numFmtId="2" fontId="36" fillId="0" borderId="16" xfId="17" applyNumberFormat="1" applyFont="1" applyFill="1" applyBorder="1" applyAlignment="1">
      <alignment horizontal="center"/>
    </xf>
    <xf numFmtId="2" fontId="36" fillId="0" borderId="34" xfId="17" applyNumberFormat="1" applyFont="1" applyFill="1" applyBorder="1" applyAlignment="1">
      <alignment horizontal="center"/>
    </xf>
    <xf numFmtId="167" fontId="36" fillId="0" borderId="1" xfId="17" applyNumberFormat="1" applyFont="1" applyFill="1" applyBorder="1" applyAlignment="1">
      <alignment horizontal="center"/>
    </xf>
    <xf numFmtId="167" fontId="36" fillId="0" borderId="16" xfId="17" applyNumberFormat="1" applyFont="1" applyFill="1" applyBorder="1" applyAlignment="1">
      <alignment horizontal="center"/>
    </xf>
    <xf numFmtId="167" fontId="36" fillId="0" borderId="34" xfId="17" applyNumberFormat="1" applyFont="1" applyFill="1" applyBorder="1" applyAlignment="1">
      <alignment horizontal="center"/>
    </xf>
    <xf numFmtId="0" fontId="36" fillId="0" borderId="34" xfId="17" applyFont="1" applyFill="1" applyBorder="1"/>
    <xf numFmtId="2" fontId="37" fillId="0" borderId="1" xfId="17" applyNumberFormat="1" applyFont="1" applyFill="1" applyBorder="1" applyAlignment="1">
      <alignment horizontal="center"/>
    </xf>
    <xf numFmtId="2" fontId="37" fillId="0" borderId="16" xfId="17" applyNumberFormat="1" applyFont="1" applyFill="1" applyBorder="1" applyAlignment="1">
      <alignment horizontal="center"/>
    </xf>
    <xf numFmtId="2" fontId="37" fillId="0" borderId="34" xfId="17" applyNumberFormat="1" applyFont="1" applyFill="1" applyBorder="1" applyAlignment="1">
      <alignment horizontal="center"/>
    </xf>
    <xf numFmtId="0" fontId="3" fillId="0" borderId="0" xfId="0" applyNumberFormat="1" applyFont="1" applyFill="1"/>
    <xf numFmtId="0" fontId="6" fillId="0" borderId="44" xfId="0" applyFont="1" applyBorder="1"/>
    <xf numFmtId="9" fontId="3" fillId="0" borderId="0" xfId="0" applyNumberFormat="1" applyFont="1" applyFill="1" applyBorder="1" applyAlignment="1">
      <alignment horizontal="center"/>
    </xf>
    <xf numFmtId="0" fontId="0" fillId="0" borderId="122" xfId="0" applyFill="1" applyBorder="1" applyAlignment="1">
      <alignment horizontal="left" wrapText="1"/>
    </xf>
    <xf numFmtId="0" fontId="51" fillId="0" borderId="123" xfId="0" applyFont="1" applyFill="1" applyBorder="1" applyAlignment="1">
      <alignment horizontal="left" vertical="top" wrapText="1"/>
    </xf>
    <xf numFmtId="0" fontId="54" fillId="0" borderId="122" xfId="0" applyFont="1" applyFill="1" applyBorder="1" applyAlignment="1">
      <alignment horizontal="center" vertical="top" wrapText="1"/>
    </xf>
    <xf numFmtId="0" fontId="0" fillId="0" borderId="122" xfId="0" applyFill="1" applyBorder="1" applyAlignment="1">
      <alignment horizontal="center" vertical="top" wrapText="1"/>
    </xf>
    <xf numFmtId="0" fontId="51" fillId="0" borderId="0" xfId="0" applyFont="1" applyFill="1" applyBorder="1" applyAlignment="1">
      <alignment horizontal="left" vertical="top" wrapText="1"/>
    </xf>
    <xf numFmtId="0" fontId="51" fillId="0" borderId="1" xfId="0" applyFont="1" applyFill="1" applyBorder="1" applyAlignment="1">
      <alignment horizontal="right" wrapText="1"/>
    </xf>
    <xf numFmtId="0" fontId="6" fillId="0" borderId="1" xfId="0" applyFont="1" applyFill="1" applyBorder="1" applyAlignment="1">
      <alignment wrapText="1"/>
    </xf>
    <xf numFmtId="0" fontId="0" fillId="0" borderId="1" xfId="0" applyFill="1" applyBorder="1"/>
    <xf numFmtId="0" fontId="60" fillId="0" borderId="1" xfId="0" applyFont="1" applyFill="1" applyBorder="1" applyAlignment="1">
      <alignment horizontal="left" vertical="top" wrapText="1"/>
    </xf>
    <xf numFmtId="2" fontId="51" fillId="0" borderId="0" xfId="0" applyNumberFormat="1" applyFont="1" applyFill="1" applyBorder="1" applyAlignment="1">
      <alignment horizontal="left" vertical="top" wrapText="1"/>
    </xf>
    <xf numFmtId="0" fontId="3" fillId="0" borderId="3" xfId="0" applyFont="1" applyFill="1" applyBorder="1" applyAlignment="1">
      <alignment horizontal="center"/>
    </xf>
    <xf numFmtId="2" fontId="0" fillId="0" borderId="1" xfId="0" applyNumberFormat="1" applyFill="1" applyBorder="1"/>
    <xf numFmtId="0" fontId="3" fillId="0" borderId="1" xfId="0" applyFont="1" applyFill="1" applyBorder="1" applyAlignment="1">
      <alignment horizontal="right"/>
    </xf>
    <xf numFmtId="2" fontId="0" fillId="0" borderId="0" xfId="0" applyNumberFormat="1" applyFill="1" applyBorder="1"/>
    <xf numFmtId="0" fontId="0" fillId="0" borderId="0" xfId="0" applyNumberFormat="1" applyFill="1"/>
    <xf numFmtId="0" fontId="6" fillId="0" borderId="1" xfId="0" applyFont="1" applyFill="1" applyBorder="1" applyAlignment="1">
      <alignment horizontal="right"/>
    </xf>
    <xf numFmtId="0" fontId="0" fillId="0" borderId="1" xfId="0" applyFill="1" applyBorder="1" applyAlignment="1">
      <alignment horizontal="right"/>
    </xf>
    <xf numFmtId="0" fontId="54" fillId="0" borderId="122" xfId="0" applyFont="1" applyFill="1" applyBorder="1" applyAlignment="1">
      <alignment horizontal="left" vertical="top" wrapText="1" indent="2"/>
    </xf>
    <xf numFmtId="0" fontId="79" fillId="0" borderId="1" xfId="6" applyFont="1" applyFill="1" applyBorder="1" applyAlignment="1" applyProtection="1"/>
    <xf numFmtId="0" fontId="0" fillId="0" borderId="38" xfId="0" applyFill="1" applyBorder="1"/>
    <xf numFmtId="0" fontId="0" fillId="0" borderId="41" xfId="0" applyFill="1" applyBorder="1"/>
    <xf numFmtId="0" fontId="0" fillId="0" borderId="14" xfId="0" applyFill="1" applyBorder="1"/>
    <xf numFmtId="0" fontId="0" fillId="0" borderId="44" xfId="0" applyFill="1" applyBorder="1"/>
    <xf numFmtId="0" fontId="0" fillId="0" borderId="17" xfId="0" applyFill="1" applyBorder="1"/>
    <xf numFmtId="0" fontId="0" fillId="0" borderId="18" xfId="0" applyFill="1" applyBorder="1"/>
    <xf numFmtId="0" fontId="0" fillId="0" borderId="26" xfId="0" applyFill="1" applyBorder="1"/>
    <xf numFmtId="0" fontId="3" fillId="0" borderId="124" xfId="0" applyFont="1" applyFill="1" applyBorder="1" applyAlignment="1">
      <alignment horizontal="center" vertical="top" wrapText="1"/>
    </xf>
    <xf numFmtId="2" fontId="0" fillId="0" borderId="33" xfId="0" applyNumberFormat="1" applyFill="1" applyBorder="1"/>
    <xf numFmtId="0" fontId="0" fillId="0" borderId="125" xfId="0" applyFill="1" applyBorder="1" applyAlignment="1">
      <alignment horizontal="left" wrapText="1"/>
    </xf>
    <xf numFmtId="1" fontId="80" fillId="5" borderId="122" xfId="0" applyNumberFormat="1" applyFont="1" applyFill="1" applyBorder="1" applyAlignment="1">
      <alignment horizontal="center" vertical="center" shrinkToFit="1"/>
    </xf>
    <xf numFmtId="0" fontId="0" fillId="5" borderId="122" xfId="0" applyFill="1" applyBorder="1" applyAlignment="1">
      <alignment horizontal="left" vertical="top" wrapText="1"/>
    </xf>
    <xf numFmtId="0" fontId="0" fillId="5" borderId="122" xfId="0" applyFill="1" applyBorder="1" applyAlignment="1">
      <alignment horizontal="center" vertical="center" wrapText="1"/>
    </xf>
    <xf numFmtId="166" fontId="80" fillId="5" borderId="122" xfId="0" applyNumberFormat="1" applyFont="1" applyFill="1" applyBorder="1" applyAlignment="1">
      <alignment horizontal="left" vertical="center" indent="2" shrinkToFit="1"/>
    </xf>
    <xf numFmtId="0" fontId="0" fillId="5" borderId="122" xfId="0" applyFill="1" applyBorder="1" applyAlignment="1">
      <alignment horizontal="left" vertical="center" wrapText="1" indent="1"/>
    </xf>
    <xf numFmtId="0" fontId="0" fillId="5" borderId="126" xfId="0" applyFill="1" applyBorder="1" applyAlignment="1">
      <alignment horizontal="center" vertical="center" wrapText="1"/>
    </xf>
    <xf numFmtId="0" fontId="0" fillId="5" borderId="0" xfId="0" applyFill="1"/>
    <xf numFmtId="0" fontId="0" fillId="5" borderId="122" xfId="0" applyFill="1" applyBorder="1" applyAlignment="1">
      <alignment horizontal="center" vertical="top" wrapText="1"/>
    </xf>
    <xf numFmtId="0" fontId="54" fillId="5" borderId="122" xfId="0" applyFont="1" applyFill="1" applyBorder="1" applyAlignment="1">
      <alignment horizontal="center" vertical="top" wrapText="1"/>
    </xf>
    <xf numFmtId="0" fontId="0" fillId="5" borderId="122" xfId="0" applyFill="1" applyBorder="1" applyAlignment="1">
      <alignment horizontal="left" wrapText="1"/>
    </xf>
    <xf numFmtId="1" fontId="80" fillId="5" borderId="122" xfId="0" applyNumberFormat="1" applyFont="1" applyFill="1" applyBorder="1" applyAlignment="1">
      <alignment horizontal="center" vertical="top" shrinkToFit="1"/>
    </xf>
    <xf numFmtId="0" fontId="0" fillId="5" borderId="122" xfId="0" applyFill="1" applyBorder="1" applyAlignment="1">
      <alignment horizontal="right" vertical="top" wrapText="1" indent="1"/>
    </xf>
    <xf numFmtId="0" fontId="57" fillId="5" borderId="122" xfId="0" applyFont="1" applyFill="1" applyBorder="1" applyAlignment="1">
      <alignment horizontal="center" vertical="center" wrapText="1"/>
    </xf>
    <xf numFmtId="0" fontId="0" fillId="5" borderId="122" xfId="0" applyFill="1" applyBorder="1" applyAlignment="1">
      <alignment horizontal="left" vertical="top" wrapText="1" indent="1"/>
    </xf>
    <xf numFmtId="0" fontId="71" fillId="5" borderId="122" xfId="0" applyFont="1" applyFill="1" applyBorder="1" applyAlignment="1">
      <alignment horizontal="right" vertical="top" wrapText="1" indent="1"/>
    </xf>
    <xf numFmtId="0" fontId="0" fillId="5" borderId="126" xfId="0" applyFill="1" applyBorder="1" applyAlignment="1">
      <alignment horizontal="center" vertical="top" wrapText="1"/>
    </xf>
    <xf numFmtId="0" fontId="0" fillId="5" borderId="124" xfId="0" applyFill="1" applyBorder="1" applyAlignment="1">
      <alignment horizontal="center" vertical="top" wrapText="1"/>
    </xf>
    <xf numFmtId="0" fontId="0" fillId="5" borderId="125" xfId="0" applyFill="1" applyBorder="1" applyAlignment="1">
      <alignment horizontal="left" wrapText="1"/>
    </xf>
    <xf numFmtId="0" fontId="0" fillId="5" borderId="122" xfId="0" applyFill="1" applyBorder="1" applyAlignment="1">
      <alignment horizontal="left" vertical="center" wrapText="1"/>
    </xf>
    <xf numFmtId="166" fontId="81" fillId="5" borderId="122" xfId="0" applyNumberFormat="1" applyFont="1" applyFill="1" applyBorder="1" applyAlignment="1">
      <alignment horizontal="center" vertical="top" shrinkToFit="1"/>
    </xf>
    <xf numFmtId="0" fontId="3" fillId="5" borderId="124" xfId="0" applyFont="1" applyFill="1" applyBorder="1" applyAlignment="1">
      <alignment horizontal="center" vertical="top" wrapText="1"/>
    </xf>
    <xf numFmtId="0" fontId="72" fillId="5" borderId="122" xfId="0" applyFont="1" applyFill="1" applyBorder="1" applyAlignment="1">
      <alignment horizontal="center" vertical="center" wrapText="1"/>
    </xf>
    <xf numFmtId="0" fontId="0" fillId="5" borderId="126" xfId="0" applyFill="1" applyBorder="1" applyAlignment="1">
      <alignment horizontal="left" wrapText="1"/>
    </xf>
    <xf numFmtId="0" fontId="55" fillId="5" borderId="122" xfId="0" applyFont="1" applyFill="1" applyBorder="1" applyAlignment="1">
      <alignment horizontal="left" vertical="top" wrapText="1"/>
    </xf>
    <xf numFmtId="0" fontId="57" fillId="5" borderId="122" xfId="0" applyFont="1" applyFill="1" applyBorder="1" applyAlignment="1">
      <alignment horizontal="center" vertical="top" wrapText="1"/>
    </xf>
    <xf numFmtId="0" fontId="6" fillId="5" borderId="122" xfId="0" applyFont="1" applyFill="1" applyBorder="1" applyAlignment="1">
      <alignment horizontal="right" vertical="top" wrapText="1" indent="1"/>
    </xf>
    <xf numFmtId="0" fontId="6" fillId="0" borderId="3" xfId="0" applyFont="1" applyFill="1" applyBorder="1" applyAlignment="1">
      <alignment horizontal="center"/>
    </xf>
    <xf numFmtId="0" fontId="6" fillId="0" borderId="0" xfId="0" applyFont="1" applyFill="1" applyAlignment="1">
      <alignment wrapText="1"/>
    </xf>
    <xf numFmtId="0" fontId="3" fillId="6" borderId="0" xfId="0" applyFont="1" applyFill="1"/>
    <xf numFmtId="0" fontId="6" fillId="6" borderId="0" xfId="0" applyFont="1" applyFill="1"/>
    <xf numFmtId="0" fontId="0" fillId="6" borderId="0" xfId="0" applyFill="1"/>
    <xf numFmtId="2" fontId="3" fillId="0" borderId="105" xfId="0" applyNumberFormat="1" applyFont="1" applyFill="1" applyBorder="1" applyAlignment="1">
      <alignment wrapText="1"/>
    </xf>
    <xf numFmtId="0" fontId="0" fillId="0" borderId="0" xfId="0" applyAlignment="1">
      <alignment horizontal="center"/>
    </xf>
    <xf numFmtId="0" fontId="0" fillId="0" borderId="1" xfId="0" applyBorder="1" applyAlignment="1">
      <alignment horizontal="center"/>
    </xf>
    <xf numFmtId="0" fontId="62" fillId="0" borderId="0" xfId="0" applyFont="1" applyBorder="1" applyAlignment="1">
      <alignment horizontal="center" vertical="top" wrapText="1"/>
    </xf>
    <xf numFmtId="0" fontId="61" fillId="0" borderId="0" xfId="0" applyFont="1" applyBorder="1" applyAlignment="1">
      <alignment horizontal="left" vertical="top" wrapText="1" indent="9"/>
    </xf>
    <xf numFmtId="0" fontId="63" fillId="0" borderId="0" xfId="0" applyFont="1" applyBorder="1" applyAlignment="1">
      <alignment horizontal="left" vertical="top" wrapText="1"/>
    </xf>
    <xf numFmtId="0" fontId="41" fillId="0" borderId="0" xfId="0" applyFont="1" applyBorder="1" applyAlignment="1">
      <alignment horizontal="left" vertical="top" wrapText="1"/>
    </xf>
    <xf numFmtId="0" fontId="61" fillId="0" borderId="0" xfId="0" applyFont="1" applyBorder="1" applyAlignment="1">
      <alignment horizontal="center" vertical="top" wrapText="1"/>
    </xf>
    <xf numFmtId="0" fontId="0" fillId="0" borderId="0" xfId="0" applyBorder="1" applyAlignment="1">
      <alignment vertical="top" wrapText="1"/>
    </xf>
    <xf numFmtId="0" fontId="64" fillId="0" borderId="0" xfId="0" applyFont="1" applyBorder="1" applyAlignment="1">
      <alignment horizontal="left" vertical="top" wrapText="1"/>
    </xf>
    <xf numFmtId="0" fontId="3" fillId="0" borderId="1"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center" wrapText="1"/>
    </xf>
    <xf numFmtId="2" fontId="82" fillId="0" borderId="0" xfId="0" applyNumberFormat="1" applyFont="1" applyFill="1"/>
    <xf numFmtId="0" fontId="6" fillId="3" borderId="0" xfId="0" applyFont="1" applyFill="1" applyAlignment="1">
      <alignment horizontal="center"/>
    </xf>
    <xf numFmtId="2" fontId="6" fillId="3" borderId="0" xfId="0" applyNumberFormat="1" applyFont="1" applyFill="1" applyAlignment="1">
      <alignment horizontal="right"/>
    </xf>
    <xf numFmtId="0" fontId="0" fillId="3" borderId="0" xfId="0" applyFill="1"/>
    <xf numFmtId="2" fontId="6" fillId="3" borderId="81" xfId="0" applyNumberFormat="1" applyFont="1" applyFill="1" applyBorder="1"/>
    <xf numFmtId="0" fontId="3" fillId="6" borderId="1" xfId="0" applyFont="1" applyFill="1" applyBorder="1" applyAlignment="1">
      <alignment horizontal="center"/>
    </xf>
    <xf numFmtId="0" fontId="0" fillId="6" borderId="1" xfId="0" applyFill="1" applyBorder="1"/>
    <xf numFmtId="0" fontId="6" fillId="6" borderId="1" xfId="0" applyFont="1" applyFill="1" applyBorder="1"/>
    <xf numFmtId="2" fontId="0" fillId="6" borderId="1" xfId="0" applyNumberFormat="1" applyFill="1" applyBorder="1"/>
    <xf numFmtId="0" fontId="3" fillId="6" borderId="1" xfId="0" applyFont="1" applyFill="1" applyBorder="1" applyAlignment="1">
      <alignment horizontal="right"/>
    </xf>
    <xf numFmtId="2" fontId="3" fillId="6" borderId="1" xfId="0" applyNumberFormat="1" applyFont="1" applyFill="1" applyBorder="1"/>
    <xf numFmtId="2" fontId="3" fillId="6" borderId="3" xfId="0" applyNumberFormat="1" applyFont="1" applyFill="1" applyBorder="1"/>
    <xf numFmtId="0" fontId="6" fillId="6" borderId="0" xfId="0" applyFont="1" applyFill="1" applyBorder="1"/>
    <xf numFmtId="0" fontId="0" fillId="6" borderId="0" xfId="0" applyFill="1" applyBorder="1"/>
    <xf numFmtId="0" fontId="3" fillId="6" borderId="3" xfId="0" applyFont="1" applyFill="1" applyBorder="1"/>
    <xf numFmtId="2" fontId="83" fillId="0" borderId="1" xfId="0" applyNumberFormat="1" applyFont="1" applyFill="1" applyBorder="1"/>
    <xf numFmtId="2" fontId="84" fillId="0" borderId="1" xfId="0" applyNumberFormat="1" applyFont="1" applyFill="1" applyBorder="1" applyAlignment="1">
      <alignment horizontal="center"/>
    </xf>
    <xf numFmtId="2" fontId="6" fillId="0" borderId="1" xfId="0" applyNumberFormat="1" applyFont="1" applyFill="1" applyBorder="1" applyAlignment="1">
      <alignment horizontal="center"/>
    </xf>
    <xf numFmtId="2" fontId="85" fillId="0" borderId="1" xfId="0" applyNumberFormat="1" applyFont="1" applyFill="1" applyBorder="1" applyAlignment="1">
      <alignment horizontal="center"/>
    </xf>
    <xf numFmtId="2" fontId="86" fillId="0" borderId="1" xfId="0" applyNumberFormat="1" applyFont="1" applyFill="1" applyBorder="1"/>
    <xf numFmtId="9" fontId="6" fillId="0" borderId="1" xfId="63" applyFont="1" applyFill="1" applyBorder="1"/>
    <xf numFmtId="2" fontId="6" fillId="0" borderId="1" xfId="0" applyNumberFormat="1" applyFont="1" applyFill="1" applyBorder="1" applyAlignment="1">
      <alignment horizontal="right"/>
    </xf>
    <xf numFmtId="0" fontId="87" fillId="0" borderId="35" xfId="0" applyFont="1" applyBorder="1" applyAlignment="1">
      <alignment horizontal="left" vertical="center" wrapText="1"/>
    </xf>
    <xf numFmtId="0" fontId="87" fillId="0" borderId="36" xfId="0" applyFont="1" applyBorder="1" applyAlignment="1">
      <alignment horizontal="left" vertical="center" wrapText="1"/>
    </xf>
    <xf numFmtId="0" fontId="84" fillId="8" borderId="36" xfId="0" applyFont="1" applyFill="1" applyBorder="1" applyAlignment="1">
      <alignment horizontal="center"/>
    </xf>
    <xf numFmtId="0" fontId="87" fillId="0" borderId="36" xfId="0" applyFont="1" applyBorder="1" applyAlignment="1">
      <alignment wrapText="1"/>
    </xf>
    <xf numFmtId="0" fontId="87" fillId="0" borderId="36" xfId="0" applyFont="1" applyBorder="1" applyAlignment="1">
      <alignment horizontal="center" vertical="center"/>
    </xf>
    <xf numFmtId="0" fontId="85" fillId="8" borderId="79" xfId="0" applyFont="1" applyFill="1" applyBorder="1" applyAlignment="1">
      <alignment horizontal="center" vertical="center"/>
    </xf>
    <xf numFmtId="0" fontId="87" fillId="0" borderId="4" xfId="0" applyFont="1" applyBorder="1" applyAlignment="1">
      <alignment horizontal="left" vertical="center" wrapText="1"/>
    </xf>
    <xf numFmtId="0" fontId="87" fillId="0" borderId="0" xfId="0" applyFont="1" applyAlignment="1">
      <alignment horizontal="left" vertical="center" wrapText="1"/>
    </xf>
    <xf numFmtId="0" fontId="84" fillId="8" borderId="0" xfId="0" applyFont="1" applyFill="1" applyAlignment="1">
      <alignment horizontal="center"/>
    </xf>
    <xf numFmtId="0" fontId="87" fillId="0" borderId="0" xfId="0" applyFont="1" applyAlignment="1">
      <alignment wrapText="1"/>
    </xf>
    <xf numFmtId="0" fontId="87" fillId="0" borderId="0" xfId="0" applyFont="1" applyAlignment="1">
      <alignment horizontal="center" vertical="center"/>
    </xf>
    <xf numFmtId="0" fontId="85" fillId="8" borderId="5" xfId="0" applyFont="1" applyFill="1" applyBorder="1" applyAlignment="1">
      <alignment horizontal="center" vertical="center"/>
    </xf>
    <xf numFmtId="2" fontId="88" fillId="4" borderId="3" xfId="0" applyNumberFormat="1" applyFont="1" applyFill="1" applyBorder="1" applyAlignment="1">
      <alignment horizontal="center"/>
    </xf>
    <xf numFmtId="2" fontId="85" fillId="8" borderId="5" xfId="0" applyNumberFormat="1" applyFont="1" applyFill="1" applyBorder="1" applyAlignment="1">
      <alignment horizontal="center" vertical="center"/>
    </xf>
    <xf numFmtId="2" fontId="88" fillId="4" borderId="0" xfId="0" applyNumberFormat="1" applyFont="1" applyFill="1" applyAlignment="1">
      <alignment horizontal="center"/>
    </xf>
    <xf numFmtId="43" fontId="88" fillId="4" borderId="0" xfId="0" applyNumberFormat="1" applyFont="1" applyFill="1" applyAlignment="1">
      <alignment horizontal="center"/>
    </xf>
    <xf numFmtId="0" fontId="87" fillId="0" borderId="7" xfId="0" applyFont="1" applyBorder="1" applyAlignment="1">
      <alignment horizontal="left" vertical="center" wrapText="1"/>
    </xf>
    <xf numFmtId="0" fontId="87" fillId="0" borderId="8" xfId="0" applyFont="1" applyBorder="1" applyAlignment="1">
      <alignment horizontal="left" vertical="center" wrapText="1"/>
    </xf>
    <xf numFmtId="0" fontId="87" fillId="8" borderId="8" xfId="0" applyFont="1" applyFill="1" applyBorder="1" applyAlignment="1">
      <alignment horizontal="center"/>
    </xf>
    <xf numFmtId="0" fontId="87" fillId="0" borderId="8" xfId="0" applyFont="1" applyBorder="1" applyAlignment="1">
      <alignment wrapText="1"/>
    </xf>
    <xf numFmtId="0" fontId="87" fillId="0" borderId="8" xfId="0" applyFont="1" applyBorder="1" applyAlignment="1">
      <alignment horizontal="center" vertical="center" wrapText="1"/>
    </xf>
    <xf numFmtId="2" fontId="85" fillId="8" borderId="9" xfId="0" applyNumberFormat="1" applyFont="1" applyFill="1" applyBorder="1" applyAlignment="1">
      <alignment horizontal="center" vertical="center"/>
    </xf>
    <xf numFmtId="2" fontId="24" fillId="0" borderId="0" xfId="0" applyNumberFormat="1" applyFont="1" applyFill="1" applyAlignment="1">
      <alignment horizontal="center"/>
    </xf>
    <xf numFmtId="2" fontId="3" fillId="0" borderId="0" xfId="0" applyNumberFormat="1" applyFont="1" applyFill="1" applyAlignment="1">
      <alignment horizontal="center"/>
    </xf>
    <xf numFmtId="2" fontId="3" fillId="0" borderId="19" xfId="0" applyNumberFormat="1" applyFont="1" applyFill="1" applyBorder="1" applyAlignment="1">
      <alignment horizontal="center"/>
    </xf>
    <xf numFmtId="0" fontId="4" fillId="0" borderId="1" xfId="0" applyFont="1" applyFill="1" applyBorder="1" applyAlignment="1">
      <alignment horizontal="left"/>
    </xf>
    <xf numFmtId="0" fontId="3" fillId="0" borderId="1" xfId="0" applyFont="1" applyFill="1" applyBorder="1" applyAlignment="1">
      <alignment horizontal="center"/>
    </xf>
    <xf numFmtId="0" fontId="3" fillId="0" borderId="0" xfId="0" applyFont="1" applyFill="1" applyAlignment="1">
      <alignment horizontal="center"/>
    </xf>
    <xf numFmtId="0" fontId="4" fillId="0" borderId="0" xfId="0" applyFont="1" applyFill="1" applyAlignment="1">
      <alignment horizontal="center"/>
    </xf>
    <xf numFmtId="0" fontId="4" fillId="0" borderId="0" xfId="0" applyFont="1" applyFill="1" applyBorder="1" applyAlignment="1">
      <alignment horizontal="left"/>
    </xf>
    <xf numFmtId="0" fontId="3" fillId="0" borderId="0" xfId="0" applyFont="1" applyFill="1" applyBorder="1" applyAlignment="1">
      <alignment horizontal="left"/>
    </xf>
    <xf numFmtId="0" fontId="76" fillId="0" borderId="118" xfId="0" applyFont="1" applyBorder="1" applyAlignment="1">
      <alignment horizontal="center" wrapText="1"/>
    </xf>
    <xf numFmtId="0" fontId="6" fillId="0" borderId="0" xfId="0" applyFont="1" applyFill="1" applyAlignment="1">
      <alignment horizontal="left"/>
    </xf>
    <xf numFmtId="2" fontId="3" fillId="0" borderId="27" xfId="0" applyNumberFormat="1" applyFont="1" applyFill="1" applyBorder="1" applyAlignment="1">
      <alignment horizontal="right" vertical="top" wrapText="1"/>
    </xf>
    <xf numFmtId="2" fontId="3" fillId="0" borderId="28" xfId="0" applyNumberFormat="1" applyFont="1" applyFill="1" applyBorder="1" applyAlignment="1">
      <alignment horizontal="right" vertical="top" wrapText="1"/>
    </xf>
    <xf numFmtId="0" fontId="6" fillId="0" borderId="26" xfId="0" applyFont="1" applyFill="1" applyBorder="1"/>
    <xf numFmtId="0" fontId="3" fillId="0" borderId="0" xfId="0" applyFont="1" applyFill="1" applyAlignment="1"/>
    <xf numFmtId="0" fontId="6" fillId="0" borderId="0" xfId="0" quotePrefix="1" applyFont="1" applyFill="1" applyAlignment="1">
      <alignment horizontal="center"/>
    </xf>
    <xf numFmtId="2" fontId="6" fillId="0" borderId="1" xfId="0" applyNumberFormat="1" applyFont="1" applyFill="1" applyBorder="1" applyAlignment="1">
      <alignment horizontal="center" vertical="center" wrapText="1"/>
    </xf>
    <xf numFmtId="0" fontId="3" fillId="0" borderId="16" xfId="0" applyFont="1" applyFill="1" applyBorder="1" applyAlignment="1">
      <alignment horizontal="center"/>
    </xf>
    <xf numFmtId="0" fontId="3" fillId="0" borderId="11" xfId="0" applyFont="1" applyFill="1" applyBorder="1" applyAlignment="1">
      <alignment horizontal="center"/>
    </xf>
    <xf numFmtId="0" fontId="3" fillId="0" borderId="34" xfId="0" applyFont="1" applyFill="1" applyBorder="1" applyAlignment="1">
      <alignment horizontal="center"/>
    </xf>
    <xf numFmtId="0" fontId="6" fillId="0" borderId="0" xfId="0" applyFont="1" applyFill="1" applyAlignment="1">
      <alignment horizontal="center"/>
    </xf>
    <xf numFmtId="0" fontId="26" fillId="0" borderId="0" xfId="0" applyFont="1" applyAlignment="1" applyProtection="1">
      <alignment horizontal="center"/>
    </xf>
    <xf numFmtId="171" fontId="26" fillId="0" borderId="0" xfId="0" applyNumberFormat="1" applyFont="1" applyAlignment="1" applyProtection="1">
      <alignment horizontal="center"/>
    </xf>
    <xf numFmtId="0" fontId="8" fillId="0" borderId="0" xfId="0" applyFont="1" applyAlignment="1" applyProtection="1">
      <alignment horizontal="left"/>
    </xf>
    <xf numFmtId="0" fontId="6" fillId="0" borderId="18" xfId="0" applyFont="1" applyBorder="1" applyAlignment="1">
      <alignment horizontal="center"/>
    </xf>
    <xf numFmtId="0" fontId="70" fillId="0" borderId="95" xfId="49" applyFont="1" applyBorder="1" applyAlignment="1">
      <alignment horizontal="justify" vertical="top"/>
    </xf>
    <xf numFmtId="0" fontId="36" fillId="0" borderId="1" xfId="17" applyFont="1" applyFill="1" applyBorder="1" applyAlignment="1">
      <alignment horizontal="center"/>
    </xf>
    <xf numFmtId="0" fontId="3" fillId="0" borderId="0" xfId="0" applyFont="1" applyFill="1" applyAlignment="1">
      <alignment horizontal="center"/>
    </xf>
    <xf numFmtId="0" fontId="3" fillId="0" borderId="0" xfId="0" applyFont="1" applyFill="1" applyAlignment="1"/>
    <xf numFmtId="0" fontId="6" fillId="0" borderId="0" xfId="0" quotePrefix="1" applyFont="1" applyFill="1" applyAlignment="1">
      <alignment horizontal="center"/>
    </xf>
    <xf numFmtId="10" fontId="31" fillId="0" borderId="16" xfId="0" applyNumberFormat="1" applyFont="1" applyBorder="1" applyAlignment="1">
      <alignment horizontal="center" wrapText="1"/>
    </xf>
    <xf numFmtId="0" fontId="31" fillId="0" borderId="11" xfId="0" applyFont="1" applyBorder="1" applyAlignment="1">
      <alignment horizontal="center" wrapText="1"/>
    </xf>
    <xf numFmtId="0" fontId="31" fillId="0" borderId="34" xfId="0" applyFont="1" applyBorder="1" applyAlignment="1">
      <alignment horizontal="center" wrapText="1"/>
    </xf>
    <xf numFmtId="2" fontId="31" fillId="0" borderId="16" xfId="0" applyNumberFormat="1" applyFont="1" applyBorder="1" applyAlignment="1">
      <alignment horizontal="center" vertical="top" wrapText="1"/>
    </xf>
    <xf numFmtId="0" fontId="31" fillId="0" borderId="11" xfId="0" applyFont="1" applyBorder="1" applyAlignment="1">
      <alignment horizontal="center" vertical="top" wrapText="1"/>
    </xf>
    <xf numFmtId="0" fontId="31" fillId="0" borderId="34" xfId="0" applyFont="1" applyBorder="1" applyAlignment="1">
      <alignment horizontal="center" vertical="top" wrapText="1"/>
    </xf>
    <xf numFmtId="0" fontId="33" fillId="0" borderId="1" xfId="0" applyFont="1" applyBorder="1" applyAlignment="1">
      <alignment horizontal="center" vertical="top" wrapText="1"/>
    </xf>
    <xf numFmtId="10" fontId="31" fillId="0" borderId="16" xfId="0" applyNumberFormat="1" applyFont="1" applyBorder="1" applyAlignment="1">
      <alignment horizontal="center" vertical="top" wrapText="1"/>
    </xf>
    <xf numFmtId="0" fontId="3" fillId="0" borderId="1" xfId="0" applyFont="1" applyFill="1" applyBorder="1" applyAlignment="1">
      <alignment horizontal="left"/>
    </xf>
    <xf numFmtId="0" fontId="6" fillId="0" borderId="1" xfId="0" applyFont="1" applyFill="1" applyBorder="1" applyAlignment="1">
      <alignment horizontal="left"/>
    </xf>
    <xf numFmtId="0" fontId="3" fillId="0" borderId="1" xfId="0" applyFont="1" applyFill="1" applyBorder="1" applyAlignment="1">
      <alignment horizontal="center"/>
    </xf>
    <xf numFmtId="0" fontId="6" fillId="0" borderId="1" xfId="0" applyFont="1" applyFill="1" applyBorder="1" applyAlignment="1">
      <alignment horizontal="center"/>
    </xf>
    <xf numFmtId="0" fontId="4" fillId="0" borderId="1" xfId="0" applyFont="1" applyFill="1" applyBorder="1" applyAlignment="1">
      <alignment horizontal="left"/>
    </xf>
    <xf numFmtId="2" fontId="24" fillId="0" borderId="0" xfId="0" applyNumberFormat="1" applyFont="1" applyFill="1" applyAlignment="1">
      <alignment horizontal="center"/>
    </xf>
    <xf numFmtId="2" fontId="3" fillId="0" borderId="0" xfId="0" applyNumberFormat="1" applyFont="1" applyFill="1" applyAlignment="1">
      <alignment horizontal="center"/>
    </xf>
    <xf numFmtId="2" fontId="3" fillId="0" borderId="31" xfId="0" applyNumberFormat="1" applyFont="1" applyFill="1" applyBorder="1" applyAlignment="1">
      <alignment horizontal="center"/>
    </xf>
    <xf numFmtId="2" fontId="3" fillId="0" borderId="19" xfId="0" applyNumberFormat="1" applyFont="1" applyFill="1" applyBorder="1" applyAlignment="1">
      <alignment horizontal="center"/>
    </xf>
    <xf numFmtId="2" fontId="4" fillId="0" borderId="1" xfId="0" applyNumberFormat="1" applyFont="1" applyFill="1" applyBorder="1" applyAlignment="1">
      <alignment horizontal="left"/>
    </xf>
    <xf numFmtId="2" fontId="4" fillId="0" borderId="16" xfId="0" applyNumberFormat="1" applyFont="1" applyFill="1" applyBorder="1" applyAlignment="1">
      <alignment horizontal="left"/>
    </xf>
    <xf numFmtId="0" fontId="4" fillId="0" borderId="0" xfId="0" applyFont="1" applyFill="1" applyAlignment="1">
      <alignment horizontal="center"/>
    </xf>
    <xf numFmtId="0" fontId="6" fillId="0" borderId="0" xfId="61" quotePrefix="1" applyFont="1" applyFill="1" applyAlignment="1">
      <alignment horizontal="center"/>
    </xf>
    <xf numFmtId="0" fontId="6" fillId="0" borderId="0" xfId="61" applyFont="1" applyFill="1" applyAlignment="1">
      <alignment horizontal="center"/>
    </xf>
    <xf numFmtId="0" fontId="4" fillId="0" borderId="0" xfId="61" applyFont="1" applyFill="1" applyAlignment="1">
      <alignment horizontal="center"/>
    </xf>
    <xf numFmtId="0" fontId="3" fillId="0" borderId="0" xfId="61" applyFont="1" applyFill="1" applyAlignment="1">
      <alignment horizontal="center"/>
    </xf>
    <xf numFmtId="0" fontId="10" fillId="0" borderId="106" xfId="61" applyFont="1" applyFill="1" applyBorder="1" applyAlignment="1">
      <alignment horizontal="center"/>
    </xf>
    <xf numFmtId="0" fontId="10" fillId="0" borderId="107" xfId="61" applyFont="1" applyFill="1" applyBorder="1" applyAlignment="1">
      <alignment horizontal="center"/>
    </xf>
    <xf numFmtId="0" fontId="10" fillId="0" borderId="108" xfId="61" applyFont="1" applyFill="1" applyBorder="1" applyAlignment="1">
      <alignment horizontal="center"/>
    </xf>
    <xf numFmtId="0" fontId="3" fillId="0" borderId="106" xfId="61" applyFont="1" applyFill="1" applyBorder="1" applyAlignment="1">
      <alignment horizontal="center"/>
    </xf>
    <xf numFmtId="0" fontId="3" fillId="0" borderId="107" xfId="61" applyFont="1" applyFill="1" applyBorder="1" applyAlignment="1">
      <alignment horizontal="center"/>
    </xf>
    <xf numFmtId="0" fontId="3" fillId="0" borderId="108" xfId="61" applyFont="1" applyFill="1" applyBorder="1" applyAlignment="1">
      <alignment horizontal="center"/>
    </xf>
    <xf numFmtId="10" fontId="6" fillId="0" borderId="0" xfId="0" applyNumberFormat="1" applyFont="1" applyFill="1" applyBorder="1" applyAlignment="1">
      <alignment horizontal="center"/>
    </xf>
    <xf numFmtId="0" fontId="4" fillId="0" borderId="4" xfId="0" applyFont="1" applyFill="1" applyBorder="1" applyAlignment="1">
      <alignment horizontal="left"/>
    </xf>
    <xf numFmtId="0" fontId="4" fillId="0" borderId="0" xfId="0" applyFont="1" applyFill="1" applyBorder="1" applyAlignment="1">
      <alignment horizontal="left"/>
    </xf>
    <xf numFmtId="0" fontId="3" fillId="0" borderId="109"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0" xfId="0" applyFont="1" applyFill="1" applyBorder="1" applyAlignment="1">
      <alignment horizontal="left"/>
    </xf>
    <xf numFmtId="0" fontId="6" fillId="0" borderId="7" xfId="0" applyFont="1" applyFill="1" applyBorder="1" applyAlignment="1">
      <alignment horizontal="left"/>
    </xf>
    <xf numFmtId="0" fontId="6" fillId="0" borderId="8" xfId="0" applyFont="1" applyFill="1" applyBorder="1" applyAlignment="1">
      <alignment horizontal="left"/>
    </xf>
    <xf numFmtId="0" fontId="6" fillId="0" borderId="4" xfId="0" applyFont="1" applyFill="1" applyBorder="1" applyAlignment="1">
      <alignment horizontal="left"/>
    </xf>
    <xf numFmtId="0" fontId="6" fillId="0" borderId="0" xfId="0" applyFont="1" applyFill="1" applyBorder="1" applyAlignment="1">
      <alignment horizontal="left"/>
    </xf>
    <xf numFmtId="0" fontId="76" fillId="0" borderId="118" xfId="0" applyFont="1" applyBorder="1" applyAlignment="1">
      <alignment horizontal="center" wrapText="1"/>
    </xf>
    <xf numFmtId="0" fontId="76" fillId="0" borderId="121" xfId="0" applyFont="1" applyBorder="1" applyAlignment="1">
      <alignment horizontal="center" wrapText="1"/>
    </xf>
    <xf numFmtId="2" fontId="6" fillId="0" borderId="0" xfId="0" applyNumberFormat="1" applyFont="1" applyFill="1" applyAlignment="1">
      <alignment horizontal="left" wrapText="1"/>
    </xf>
    <xf numFmtId="0" fontId="4" fillId="0" borderId="0" xfId="0" applyFont="1" applyFill="1" applyAlignment="1">
      <alignment horizontal="center" wrapText="1"/>
    </xf>
    <xf numFmtId="0" fontId="6" fillId="0" borderId="0" xfId="0" applyFont="1" applyFill="1" applyAlignment="1">
      <alignment horizontal="center" wrapText="1"/>
    </xf>
    <xf numFmtId="0" fontId="6" fillId="0" borderId="0" xfId="0" applyFont="1" applyFill="1" applyAlignment="1">
      <alignment horizontal="left"/>
    </xf>
    <xf numFmtId="0" fontId="4" fillId="0" borderId="0" xfId="0" applyFont="1" applyFill="1" applyBorder="1" applyAlignment="1">
      <alignment horizontal="center" vertical="top" wrapText="1"/>
    </xf>
    <xf numFmtId="0" fontId="3" fillId="0" borderId="11" xfId="0" applyFont="1" applyFill="1" applyBorder="1" applyAlignment="1">
      <alignment horizontal="left" vertical="top" wrapText="1"/>
    </xf>
    <xf numFmtId="0" fontId="3" fillId="0" borderId="34" xfId="0" applyFont="1" applyFill="1" applyBorder="1" applyAlignment="1">
      <alignment horizontal="left" vertical="top" wrapText="1"/>
    </xf>
    <xf numFmtId="2" fontId="3" fillId="0" borderId="43" xfId="0" applyNumberFormat="1" applyFont="1" applyFill="1" applyBorder="1" applyAlignment="1">
      <alignment horizontal="center" vertical="center" wrapText="1"/>
    </xf>
    <xf numFmtId="2" fontId="3" fillId="0" borderId="21" xfId="0" applyNumberFormat="1" applyFont="1" applyFill="1" applyBorder="1" applyAlignment="1">
      <alignment horizontal="center" vertical="center" wrapText="1"/>
    </xf>
    <xf numFmtId="0" fontId="3" fillId="0" borderId="41" xfId="0" applyFont="1" applyFill="1" applyBorder="1" applyAlignment="1">
      <alignment horizontal="center" vertical="top" wrapText="1"/>
    </xf>
    <xf numFmtId="2" fontId="3" fillId="0" borderId="20" xfId="0" applyNumberFormat="1" applyFont="1" applyFill="1" applyBorder="1" applyAlignment="1">
      <alignment horizontal="center" vertical="center" wrapText="1"/>
    </xf>
    <xf numFmtId="0" fontId="3" fillId="0" borderId="20" xfId="0" applyFont="1" applyFill="1" applyBorder="1" applyAlignment="1">
      <alignment horizontal="left" vertical="top" wrapText="1"/>
    </xf>
    <xf numFmtId="0" fontId="6" fillId="0" borderId="21" xfId="0" applyFont="1" applyFill="1" applyBorder="1" applyAlignment="1">
      <alignment horizontal="left"/>
    </xf>
    <xf numFmtId="0" fontId="3" fillId="0" borderId="78" xfId="0" applyFont="1" applyFill="1" applyBorder="1" applyAlignment="1">
      <alignment horizontal="left" vertical="top" wrapText="1"/>
    </xf>
    <xf numFmtId="0" fontId="3" fillId="0" borderId="27" xfId="0" applyFont="1" applyFill="1" applyBorder="1" applyAlignment="1">
      <alignment horizontal="left" vertical="top" wrapText="1"/>
    </xf>
    <xf numFmtId="0" fontId="3" fillId="0" borderId="28" xfId="0" applyFont="1" applyFill="1" applyBorder="1" applyAlignment="1">
      <alignment horizontal="left" vertical="top" wrapText="1"/>
    </xf>
    <xf numFmtId="0" fontId="6" fillId="0" borderId="78" xfId="0" applyFont="1" applyFill="1" applyBorder="1" applyAlignment="1">
      <alignment horizontal="right" vertical="top" wrapText="1"/>
    </xf>
    <xf numFmtId="0" fontId="6" fillId="0" borderId="27" xfId="0" applyFont="1" applyFill="1" applyBorder="1" applyAlignment="1">
      <alignment horizontal="right" vertical="top" wrapText="1"/>
    </xf>
    <xf numFmtId="0" fontId="6" fillId="0" borderId="28" xfId="0" applyFont="1" applyFill="1" applyBorder="1" applyAlignment="1">
      <alignment horizontal="right" vertical="top" wrapText="1"/>
    </xf>
    <xf numFmtId="2" fontId="3" fillId="0" borderId="78" xfId="0" applyNumberFormat="1" applyFont="1" applyFill="1" applyBorder="1" applyAlignment="1">
      <alignment horizontal="right" vertical="top" wrapText="1"/>
    </xf>
    <xf numFmtId="2" fontId="3" fillId="0" borderId="27" xfId="0" applyNumberFormat="1" applyFont="1" applyFill="1" applyBorder="1" applyAlignment="1">
      <alignment horizontal="right" vertical="top" wrapText="1"/>
    </xf>
    <xf numFmtId="2" fontId="3" fillId="0" borderId="28" xfId="0" applyNumberFormat="1" applyFont="1" applyFill="1" applyBorder="1" applyAlignment="1">
      <alignment horizontal="right" vertical="top" wrapText="1"/>
    </xf>
    <xf numFmtId="0" fontId="3" fillId="0" borderId="78" xfId="0" applyFont="1" applyFill="1" applyBorder="1" applyAlignment="1">
      <alignment horizontal="right" vertical="top" wrapText="1"/>
    </xf>
    <xf numFmtId="0" fontId="3" fillId="0" borderId="27" xfId="0" applyFont="1" applyFill="1" applyBorder="1" applyAlignment="1">
      <alignment horizontal="right" vertical="top" wrapText="1"/>
    </xf>
    <xf numFmtId="0" fontId="3" fillId="0" borderId="28" xfId="0" applyFont="1" applyFill="1" applyBorder="1" applyAlignment="1">
      <alignment horizontal="right" vertical="top" wrapText="1"/>
    </xf>
    <xf numFmtId="2" fontId="6" fillId="0" borderId="1" xfId="0" applyNumberFormat="1" applyFont="1" applyFill="1" applyBorder="1" applyAlignment="1">
      <alignment horizontal="center" vertical="center" wrapText="1"/>
    </xf>
    <xf numFmtId="2" fontId="3" fillId="0" borderId="0" xfId="0" applyNumberFormat="1" applyFont="1" applyFill="1" applyAlignment="1">
      <alignment horizontal="left"/>
    </xf>
    <xf numFmtId="2" fontId="4" fillId="0" borderId="0" xfId="0" applyNumberFormat="1" applyFont="1" applyFill="1" applyAlignment="1">
      <alignment horizontal="center"/>
    </xf>
    <xf numFmtId="0" fontId="3" fillId="0" borderId="0" xfId="0" applyFont="1" applyFill="1" applyAlignment="1">
      <alignment horizontal="center" wrapText="1"/>
    </xf>
    <xf numFmtId="0" fontId="3" fillId="0" borderId="16" xfId="0" applyFont="1" applyFill="1" applyBorder="1" applyAlignment="1">
      <alignment horizontal="center"/>
    </xf>
    <xf numFmtId="0" fontId="3" fillId="0" borderId="11" xfId="0" applyFont="1" applyFill="1" applyBorder="1" applyAlignment="1">
      <alignment horizontal="center"/>
    </xf>
    <xf numFmtId="0" fontId="3" fillId="0" borderId="34" xfId="0" applyFont="1" applyFill="1" applyBorder="1" applyAlignment="1">
      <alignment horizontal="center"/>
    </xf>
    <xf numFmtId="0" fontId="6" fillId="0" borderId="0" xfId="0" applyFont="1" applyFill="1" applyAlignment="1">
      <alignment horizontal="center"/>
    </xf>
    <xf numFmtId="0" fontId="3" fillId="0" borderId="0" xfId="0" applyFont="1" applyFill="1" applyBorder="1" applyAlignment="1">
      <alignment horizontal="center" vertical="top" wrapText="1"/>
    </xf>
    <xf numFmtId="2" fontId="8" fillId="0" borderId="17" xfId="0" applyNumberFormat="1" applyFont="1" applyFill="1" applyBorder="1" applyAlignment="1">
      <alignment horizontal="center" vertical="top" wrapText="1"/>
    </xf>
    <xf numFmtId="2" fontId="8" fillId="0" borderId="26" xfId="0" applyNumberFormat="1" applyFont="1" applyFill="1" applyBorder="1" applyAlignment="1">
      <alignment horizontal="center" vertical="top" wrapText="1"/>
    </xf>
    <xf numFmtId="0" fontId="8" fillId="0" borderId="0" xfId="0" applyFont="1" applyFill="1" applyAlignment="1">
      <alignment horizontal="right"/>
    </xf>
    <xf numFmtId="0" fontId="9" fillId="0" borderId="0" xfId="0" applyFont="1" applyFill="1" applyBorder="1" applyAlignment="1">
      <alignment horizontal="center"/>
    </xf>
    <xf numFmtId="2" fontId="8" fillId="0" borderId="38" xfId="0" applyNumberFormat="1" applyFont="1" applyFill="1" applyBorder="1" applyAlignment="1">
      <alignment horizontal="center" vertical="top" wrapText="1"/>
    </xf>
    <xf numFmtId="2" fontId="8" fillId="0" borderId="41" xfId="0" applyNumberFormat="1" applyFont="1" applyFill="1" applyBorder="1" applyAlignment="1">
      <alignment horizontal="center" vertical="top" wrapText="1"/>
    </xf>
    <xf numFmtId="2" fontId="8" fillId="0" borderId="14" xfId="0" applyNumberFormat="1" applyFont="1" applyFill="1" applyBorder="1" applyAlignment="1">
      <alignment horizontal="center" vertical="top" wrapText="1"/>
    </xf>
    <xf numFmtId="2" fontId="8" fillId="0" borderId="44" xfId="0" applyNumberFormat="1" applyFont="1" applyFill="1" applyBorder="1" applyAlignment="1">
      <alignment horizontal="center" vertical="top" wrapText="1"/>
    </xf>
    <xf numFmtId="0" fontId="3" fillId="0" borderId="20" xfId="0" applyFont="1" applyFill="1" applyBorder="1" applyAlignment="1">
      <alignment horizontal="center" vertical="center" wrapText="1"/>
    </xf>
    <xf numFmtId="0" fontId="3" fillId="0" borderId="21" xfId="0" applyFont="1" applyFill="1" applyBorder="1" applyAlignment="1">
      <alignment horizontal="center" vertical="center" wrapText="1"/>
    </xf>
    <xf numFmtId="2" fontId="3" fillId="0" borderId="110" xfId="0" applyNumberFormat="1" applyFont="1" applyFill="1" applyBorder="1" applyAlignment="1">
      <alignment horizontal="right" vertical="top" wrapText="1"/>
    </xf>
    <xf numFmtId="2" fontId="3" fillId="0" borderId="11" xfId="0" applyNumberFormat="1" applyFont="1" applyFill="1" applyBorder="1" applyAlignment="1">
      <alignment horizontal="right" vertical="top" wrapText="1"/>
    </xf>
    <xf numFmtId="2" fontId="3" fillId="0" borderId="111" xfId="0" applyNumberFormat="1" applyFont="1" applyFill="1" applyBorder="1" applyAlignment="1">
      <alignment horizontal="right" vertical="top" wrapText="1"/>
    </xf>
    <xf numFmtId="0" fontId="6" fillId="0" borderId="5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60" xfId="0" applyFont="1" applyFill="1" applyBorder="1" applyAlignment="1">
      <alignment horizontal="left" vertical="top" wrapText="1"/>
    </xf>
    <xf numFmtId="0" fontId="6" fillId="0" borderId="10" xfId="0" applyFont="1" applyFill="1" applyBorder="1" applyAlignment="1">
      <alignment horizontal="left" vertical="top" wrapText="1"/>
    </xf>
    <xf numFmtId="0" fontId="6" fillId="0" borderId="61" xfId="0" applyFont="1" applyFill="1" applyBorder="1" applyAlignment="1">
      <alignment horizontal="left" vertical="top" wrapText="1"/>
    </xf>
    <xf numFmtId="2" fontId="10" fillId="0" borderId="110" xfId="0" applyNumberFormat="1" applyFont="1" applyFill="1" applyBorder="1" applyAlignment="1">
      <alignment horizontal="right" vertical="top" wrapText="1"/>
    </xf>
    <xf numFmtId="2" fontId="10" fillId="0" borderId="11" xfId="0" applyNumberFormat="1" applyFont="1" applyFill="1" applyBorder="1" applyAlignment="1">
      <alignment horizontal="right" vertical="top" wrapText="1"/>
    </xf>
    <xf numFmtId="2" fontId="10" fillId="0" borderId="111" xfId="0" applyNumberFormat="1" applyFont="1" applyFill="1" applyBorder="1" applyAlignment="1">
      <alignment horizontal="right" vertical="top" wrapText="1"/>
    </xf>
    <xf numFmtId="2" fontId="10" fillId="0" borderId="112" xfId="0" applyNumberFormat="1" applyFont="1" applyFill="1" applyBorder="1" applyAlignment="1">
      <alignment horizontal="right" vertical="top" wrapText="1"/>
    </xf>
    <xf numFmtId="2" fontId="10" fillId="0" borderId="25" xfId="0" applyNumberFormat="1" applyFont="1" applyFill="1" applyBorder="1" applyAlignment="1">
      <alignment horizontal="right" vertical="top" wrapText="1"/>
    </xf>
    <xf numFmtId="2" fontId="10" fillId="0" borderId="113" xfId="0" applyNumberFormat="1" applyFont="1" applyFill="1" applyBorder="1" applyAlignment="1">
      <alignment horizontal="right" vertical="top" wrapText="1"/>
    </xf>
    <xf numFmtId="0" fontId="10" fillId="0" borderId="78" xfId="0" applyFont="1" applyFill="1" applyBorder="1" applyAlignment="1">
      <alignment horizontal="right" vertical="top" wrapText="1"/>
    </xf>
    <xf numFmtId="0" fontId="10" fillId="0" borderId="27" xfId="0" applyFont="1" applyFill="1" applyBorder="1" applyAlignment="1">
      <alignment horizontal="right" vertical="top" wrapText="1"/>
    </xf>
    <xf numFmtId="0" fontId="10" fillId="0" borderId="28" xfId="0" applyFont="1" applyFill="1" applyBorder="1" applyAlignment="1">
      <alignment horizontal="right" vertical="top" wrapText="1"/>
    </xf>
    <xf numFmtId="0" fontId="6" fillId="0" borderId="62" xfId="0" applyFont="1" applyFill="1" applyBorder="1" applyAlignment="1">
      <alignment horizontal="left" vertical="top" wrapText="1"/>
    </xf>
    <xf numFmtId="0" fontId="6" fillId="0" borderId="63" xfId="0" applyFont="1" applyFill="1" applyBorder="1" applyAlignment="1">
      <alignment horizontal="left" vertical="top" wrapText="1"/>
    </xf>
    <xf numFmtId="0" fontId="6" fillId="0" borderId="64" xfId="0" applyFont="1" applyFill="1" applyBorder="1" applyAlignment="1">
      <alignment horizontal="left" vertical="top" wrapText="1"/>
    </xf>
    <xf numFmtId="0" fontId="26" fillId="0" borderId="0" xfId="0" applyFont="1" applyAlignment="1" applyProtection="1">
      <alignment horizontal="center"/>
    </xf>
    <xf numFmtId="0" fontId="8" fillId="0" borderId="0" xfId="0" applyFont="1" applyAlignment="1" applyProtection="1">
      <alignment horizontal="center"/>
    </xf>
    <xf numFmtId="0" fontId="26" fillId="0" borderId="0" xfId="0" applyFont="1" applyBorder="1" applyAlignment="1" applyProtection="1">
      <alignment horizontal="left"/>
    </xf>
    <xf numFmtId="0" fontId="8" fillId="0" borderId="0" xfId="0" applyFont="1" applyAlignment="1" applyProtection="1">
      <alignment horizontal="left"/>
    </xf>
    <xf numFmtId="164" fontId="26" fillId="0" borderId="0" xfId="5" applyFont="1" applyAlignment="1" applyProtection="1">
      <alignment horizontal="center"/>
    </xf>
    <xf numFmtId="0" fontId="26" fillId="0" borderId="0" xfId="0" applyFont="1" applyAlignment="1" applyProtection="1">
      <alignment horizontal="left" shrinkToFit="1"/>
    </xf>
    <xf numFmtId="0" fontId="26" fillId="0" borderId="0" xfId="0" applyFont="1" applyAlignment="1" applyProtection="1">
      <alignment shrinkToFit="1"/>
    </xf>
    <xf numFmtId="0" fontId="0" fillId="0" borderId="0" xfId="0" applyAlignment="1">
      <alignment shrinkToFit="1"/>
    </xf>
    <xf numFmtId="171" fontId="26" fillId="0" borderId="0" xfId="0" applyNumberFormat="1" applyFont="1" applyAlignment="1" applyProtection="1">
      <alignment horizontal="center"/>
    </xf>
    <xf numFmtId="2" fontId="3" fillId="0" borderId="0" xfId="0" applyNumberFormat="1" applyFont="1" applyAlignment="1">
      <alignment horizontal="center"/>
    </xf>
    <xf numFmtId="0" fontId="15" fillId="2" borderId="0" xfId="0" applyFont="1" applyFill="1" applyBorder="1" applyAlignment="1" applyProtection="1">
      <alignment horizontal="center" wrapText="1" shrinkToFit="1"/>
    </xf>
    <xf numFmtId="0" fontId="6" fillId="0" borderId="18" xfId="0" applyFont="1" applyBorder="1" applyAlignment="1">
      <alignment horizontal="center"/>
    </xf>
    <xf numFmtId="4" fontId="74" fillId="0" borderId="97" xfId="49" applyNumberFormat="1" applyFont="1" applyBorder="1" applyAlignment="1">
      <alignment horizontal="center" vertical="top"/>
    </xf>
    <xf numFmtId="4" fontId="74" fillId="0" borderId="127" xfId="49" applyNumberFormat="1" applyFont="1" applyBorder="1" applyAlignment="1">
      <alignment horizontal="center" vertical="top"/>
    </xf>
    <xf numFmtId="0" fontId="70" fillId="0" borderId="97" xfId="49" applyFont="1" applyBorder="1" applyAlignment="1">
      <alignment horizontal="justify" vertical="top"/>
    </xf>
    <xf numFmtId="0" fontId="70" fillId="0" borderId="95" xfId="49" applyFont="1" applyBorder="1" applyAlignment="1">
      <alignment horizontal="justify" vertical="top"/>
    </xf>
    <xf numFmtId="0" fontId="70" fillId="0" borderId="97" xfId="49" applyFont="1" applyBorder="1" applyAlignment="1">
      <alignment horizontal="center" vertical="top" wrapText="1"/>
    </xf>
    <xf numFmtId="0" fontId="70" fillId="0" borderId="95" xfId="49" applyFont="1" applyBorder="1" applyAlignment="1">
      <alignment horizontal="center" vertical="top" wrapText="1"/>
    </xf>
    <xf numFmtId="0" fontId="8" fillId="0" borderId="16" xfId="0" applyFont="1" applyBorder="1" applyAlignment="1">
      <alignment horizontal="left" vertical="center" wrapText="1"/>
    </xf>
    <xf numFmtId="0" fontId="8" fillId="0" borderId="11" xfId="0" applyFont="1" applyBorder="1" applyAlignment="1">
      <alignment horizontal="left" vertical="center" wrapText="1"/>
    </xf>
    <xf numFmtId="0" fontId="8" fillId="0" borderId="34" xfId="0" applyFont="1" applyBorder="1" applyAlignment="1">
      <alignment horizontal="left" vertical="center" wrapText="1"/>
    </xf>
    <xf numFmtId="0" fontId="8" fillId="4" borderId="16" xfId="0" applyFont="1" applyFill="1" applyBorder="1" applyAlignment="1">
      <alignment horizontal="left" vertical="center" wrapText="1"/>
    </xf>
    <xf numFmtId="0" fontId="8" fillId="4" borderId="11" xfId="0" applyFont="1" applyFill="1" applyBorder="1" applyAlignment="1">
      <alignment horizontal="left" vertical="center" wrapText="1"/>
    </xf>
    <xf numFmtId="0" fontId="8" fillId="4" borderId="34" xfId="0" applyFont="1" applyFill="1" applyBorder="1" applyAlignment="1">
      <alignment horizontal="left" vertical="center" wrapText="1"/>
    </xf>
    <xf numFmtId="0" fontId="10" fillId="5" borderId="13" xfId="0" applyFont="1" applyFill="1" applyBorder="1" applyAlignment="1">
      <alignment horizontal="left" vertical="center" wrapText="1"/>
    </xf>
    <xf numFmtId="0" fontId="10" fillId="0" borderId="16" xfId="0" applyFont="1" applyBorder="1" applyAlignment="1">
      <alignment horizontal="left" vertical="center" wrapText="1"/>
    </xf>
    <xf numFmtId="0" fontId="10" fillId="0" borderId="11" xfId="0" applyFont="1" applyBorder="1" applyAlignment="1">
      <alignment horizontal="left" vertical="center" wrapText="1"/>
    </xf>
    <xf numFmtId="0" fontId="10" fillId="0" borderId="34" xfId="0" applyFont="1" applyBorder="1" applyAlignment="1">
      <alignment horizontal="left" vertical="center" wrapText="1"/>
    </xf>
    <xf numFmtId="0" fontId="10" fillId="5" borderId="16" xfId="0" applyFont="1" applyFill="1" applyBorder="1" applyAlignment="1">
      <alignment horizontal="left" vertical="center"/>
    </xf>
    <xf numFmtId="0" fontId="10" fillId="5" borderId="11" xfId="0" applyFont="1" applyFill="1" applyBorder="1" applyAlignment="1">
      <alignment horizontal="left" vertical="center"/>
    </xf>
    <xf numFmtId="0" fontId="10" fillId="5" borderId="34" xfId="0" applyFont="1" applyFill="1" applyBorder="1" applyAlignment="1">
      <alignment horizontal="left" vertical="center"/>
    </xf>
    <xf numFmtId="0" fontId="8" fillId="0" borderId="16"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34" xfId="0" applyFont="1" applyBorder="1" applyAlignment="1">
      <alignment horizontal="center" vertical="center" wrapText="1"/>
    </xf>
    <xf numFmtId="0" fontId="10" fillId="7" borderId="114" xfId="0" applyFont="1" applyFill="1" applyBorder="1" applyAlignment="1">
      <alignment horizontal="center" vertical="center"/>
    </xf>
    <xf numFmtId="0" fontId="10" fillId="7" borderId="115" xfId="0" applyFont="1" applyFill="1" applyBorder="1" applyAlignment="1">
      <alignment horizontal="center" vertical="center"/>
    </xf>
    <xf numFmtId="0" fontId="10" fillId="7" borderId="76" xfId="0" applyFont="1" applyFill="1" applyBorder="1" applyAlignment="1">
      <alignment horizontal="center" vertical="center"/>
    </xf>
    <xf numFmtId="0" fontId="10" fillId="7" borderId="21" xfId="0" applyFont="1" applyFill="1" applyBorder="1" applyAlignment="1">
      <alignment horizontal="center" vertical="center"/>
    </xf>
    <xf numFmtId="0" fontId="10" fillId="7" borderId="76"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116" xfId="0" applyFont="1" applyFill="1" applyBorder="1" applyAlignment="1">
      <alignment horizontal="center" vertical="center"/>
    </xf>
    <xf numFmtId="0" fontId="10" fillId="7" borderId="117" xfId="0" applyFont="1" applyFill="1" applyBorder="1" applyAlignment="1">
      <alignment horizontal="center" vertical="center"/>
    </xf>
    <xf numFmtId="0" fontId="37" fillId="0" borderId="16" xfId="17" applyFont="1" applyFill="1" applyBorder="1" applyAlignment="1">
      <alignment horizontal="left"/>
    </xf>
    <xf numFmtId="0" fontId="37" fillId="0" borderId="11" xfId="17" applyFont="1" applyFill="1" applyBorder="1" applyAlignment="1">
      <alignment horizontal="left"/>
    </xf>
    <xf numFmtId="0" fontId="37" fillId="0" borderId="34" xfId="17" applyFont="1" applyFill="1" applyBorder="1" applyAlignment="1">
      <alignment horizontal="left"/>
    </xf>
    <xf numFmtId="0" fontId="37" fillId="0" borderId="38" xfId="17" applyFont="1" applyFill="1" applyBorder="1" applyAlignment="1">
      <alignment horizontal="center" wrapText="1"/>
    </xf>
    <xf numFmtId="0" fontId="37" fillId="0" borderId="41" xfId="17" applyFont="1" applyFill="1" applyBorder="1" applyAlignment="1">
      <alignment horizontal="center" wrapText="1"/>
    </xf>
    <xf numFmtId="0" fontId="36" fillId="0" borderId="1" xfId="17" applyFont="1" applyFill="1" applyBorder="1" applyAlignment="1">
      <alignment horizontal="left"/>
    </xf>
    <xf numFmtId="0" fontId="37" fillId="0" borderId="14" xfId="17" applyFont="1" applyFill="1" applyBorder="1" applyAlignment="1">
      <alignment horizontal="center"/>
    </xf>
    <xf numFmtId="0" fontId="37" fillId="0" borderId="44" xfId="17" applyFont="1" applyFill="1" applyBorder="1" applyAlignment="1">
      <alignment horizontal="center"/>
    </xf>
    <xf numFmtId="2" fontId="36" fillId="0" borderId="14" xfId="17" applyNumberFormat="1" applyFont="1" applyFill="1" applyBorder="1" applyAlignment="1">
      <alignment horizontal="center"/>
    </xf>
    <xf numFmtId="2" fontId="36" fillId="0" borderId="44" xfId="17" applyNumberFormat="1" applyFont="1" applyFill="1" applyBorder="1" applyAlignment="1">
      <alignment horizontal="center"/>
    </xf>
    <xf numFmtId="0" fontId="37" fillId="0" borderId="1" xfId="17" applyFont="1" applyFill="1" applyBorder="1" applyAlignment="1">
      <alignment horizontal="left"/>
    </xf>
    <xf numFmtId="2" fontId="37" fillId="0" borderId="17" xfId="17" applyNumberFormat="1" applyFont="1" applyFill="1" applyBorder="1" applyAlignment="1">
      <alignment horizontal="center"/>
    </xf>
    <xf numFmtId="2" fontId="37" fillId="0" borderId="26" xfId="17" applyNumberFormat="1" applyFont="1" applyFill="1" applyBorder="1" applyAlignment="1">
      <alignment horizontal="center"/>
    </xf>
    <xf numFmtId="0" fontId="36" fillId="0" borderId="1" xfId="17" applyFont="1" applyFill="1" applyBorder="1" applyAlignment="1">
      <alignment horizontal="center"/>
    </xf>
    <xf numFmtId="0" fontId="0" fillId="5" borderId="128" xfId="0" applyFill="1" applyBorder="1" applyAlignment="1">
      <alignment horizontal="center" vertical="top" wrapText="1"/>
    </xf>
    <xf numFmtId="0" fontId="0" fillId="5" borderId="129" xfId="0" applyFill="1" applyBorder="1" applyAlignment="1">
      <alignment horizontal="center" vertical="top" wrapText="1"/>
    </xf>
    <xf numFmtId="0" fontId="0" fillId="5" borderId="130" xfId="0" applyFill="1" applyBorder="1" applyAlignment="1">
      <alignment horizontal="center" vertical="top" wrapText="1"/>
    </xf>
    <xf numFmtId="0" fontId="18" fillId="5" borderId="128" xfId="0" applyFont="1" applyFill="1" applyBorder="1" applyAlignment="1">
      <alignment horizontal="center" vertical="top" wrapText="1"/>
    </xf>
    <xf numFmtId="0" fontId="0" fillId="5" borderId="128" xfId="0" applyFill="1" applyBorder="1" applyAlignment="1">
      <alignment horizontal="left" vertical="top" wrapText="1" indent="4"/>
    </xf>
    <xf numFmtId="0" fontId="0" fillId="5" borderId="130" xfId="0" applyFill="1" applyBorder="1" applyAlignment="1">
      <alignment horizontal="left" vertical="top" wrapText="1" indent="4"/>
    </xf>
    <xf numFmtId="0" fontId="55" fillId="5" borderId="128" xfId="0" applyFont="1" applyFill="1" applyBorder="1" applyAlignment="1">
      <alignment horizontal="center" vertical="top" wrapText="1"/>
    </xf>
    <xf numFmtId="0" fontId="55" fillId="5" borderId="129" xfId="0" applyFont="1" applyFill="1" applyBorder="1" applyAlignment="1">
      <alignment horizontal="center" vertical="top" wrapText="1"/>
    </xf>
    <xf numFmtId="0" fontId="55" fillId="5" borderId="130" xfId="0" applyFont="1" applyFill="1" applyBorder="1" applyAlignment="1">
      <alignment horizontal="center" vertical="top" wrapText="1"/>
    </xf>
    <xf numFmtId="0" fontId="0" fillId="5" borderId="128" xfId="0" applyFill="1" applyBorder="1" applyAlignment="1">
      <alignment horizontal="left" vertical="top" wrapText="1" indent="5"/>
    </xf>
    <xf numFmtId="0" fontId="0" fillId="5" borderId="130" xfId="0" applyFill="1" applyBorder="1" applyAlignment="1">
      <alignment horizontal="left" vertical="top" wrapText="1" indent="5"/>
    </xf>
    <xf numFmtId="0" fontId="18" fillId="0" borderId="128" xfId="0" applyFont="1" applyFill="1" applyBorder="1" applyAlignment="1">
      <alignment horizontal="center" vertical="top" wrapText="1"/>
    </xf>
    <xf numFmtId="0" fontId="0" fillId="0" borderId="129" xfId="0" applyFill="1" applyBorder="1" applyAlignment="1">
      <alignment horizontal="center" vertical="top" wrapText="1"/>
    </xf>
    <xf numFmtId="0" fontId="0" fillId="0" borderId="130" xfId="0" applyFill="1" applyBorder="1" applyAlignment="1">
      <alignment horizontal="center" vertical="top" wrapText="1"/>
    </xf>
    <xf numFmtId="0" fontId="0" fillId="0" borderId="128" xfId="0" applyFill="1" applyBorder="1" applyAlignment="1">
      <alignment horizontal="center" vertical="top" wrapText="1"/>
    </xf>
    <xf numFmtId="0" fontId="3" fillId="6" borderId="18" xfId="0" applyFont="1" applyFill="1" applyBorder="1" applyAlignment="1">
      <alignment horizontal="center"/>
    </xf>
    <xf numFmtId="0" fontId="3" fillId="0" borderId="131" xfId="0" applyFont="1" applyFill="1" applyBorder="1" applyAlignment="1">
      <alignment horizontal="center"/>
    </xf>
    <xf numFmtId="0" fontId="3" fillId="5" borderId="0" xfId="0" applyFont="1" applyFill="1" applyAlignment="1"/>
    <xf numFmtId="0" fontId="6" fillId="0" borderId="26" xfId="0" applyFont="1" applyFill="1" applyBorder="1" applyAlignment="1"/>
    <xf numFmtId="2" fontId="1" fillId="5" borderId="122" xfId="1" applyNumberFormat="1" applyFont="1" applyFill="1" applyBorder="1" applyAlignment="1">
      <alignment horizontal="center" vertical="top" wrapText="1"/>
    </xf>
  </cellXfs>
  <cellStyles count="66">
    <cellStyle name="Comma" xfId="1" builtinId="3"/>
    <cellStyle name="Comma 2" xfId="2" xr:uid="{4A4657CA-F2AE-4BF1-8AD7-EF07CD70D35F}"/>
    <cellStyle name="Comma 2 2" xfId="3" xr:uid="{84FD44FF-CBD8-4CEE-A257-F1E96A029DC1}"/>
    <cellStyle name="Comma 3" xfId="4" xr:uid="{CFB1828C-8B9A-4AF4-BDBE-6342ACA065EC}"/>
    <cellStyle name="Currency 2" xfId="5" xr:uid="{B022F7A4-1E42-4121-9F8E-975868380A25}"/>
    <cellStyle name="Hyperlink" xfId="6" builtinId="8"/>
    <cellStyle name="Hyperlink 2" xfId="7" xr:uid="{F3D980CC-E4DC-4529-B432-D1BF7EBDD195}"/>
    <cellStyle name="Normal" xfId="0" builtinId="0"/>
    <cellStyle name="Normal 10" xfId="8" xr:uid="{E8A2F1E6-2934-4CA0-A019-88B1D21A6D0B}"/>
    <cellStyle name="Normal 10 2" xfId="9" xr:uid="{6B091510-E6A2-43CD-AE2B-C6B6CCD63079}"/>
    <cellStyle name="Normal 100" xfId="10" xr:uid="{307ABDAF-9B19-41E9-AECE-B14C7A4B82FE}"/>
    <cellStyle name="Normal 101" xfId="11" xr:uid="{2B257534-C6FC-4D24-9083-4690B6319E78}"/>
    <cellStyle name="Normal 12 2" xfId="12" xr:uid="{D0CAB5E8-2450-48E1-9F13-10E11ACE863B}"/>
    <cellStyle name="Normal 14" xfId="13" xr:uid="{BD4997B2-6988-47E4-919B-03AA3A743053}"/>
    <cellStyle name="Normal 16" xfId="14" xr:uid="{F9C20736-E644-4805-87B9-2729D7B1B6E7}"/>
    <cellStyle name="Normal 19" xfId="15" xr:uid="{AF3B1A0D-29F5-4DC2-849B-48F1B4E49F14}"/>
    <cellStyle name="Normal 2" xfId="16" xr:uid="{3FA16942-2E0B-485F-903D-73584F15FE2C}"/>
    <cellStyle name="Normal 2 2" xfId="17" xr:uid="{F91D02DE-7B69-400A-AA9C-94240D9FF35B}"/>
    <cellStyle name="Normal 2 2 2" xfId="18" xr:uid="{38A0D1A3-B4A3-4375-AC05-1EB6A1E12263}"/>
    <cellStyle name="Normal 2 2 3" xfId="19" xr:uid="{7B85A773-832E-49F7-9856-3B0778EAA6B1}"/>
    <cellStyle name="Normal 2 3" xfId="20" xr:uid="{8ED66720-F059-46DC-BC55-A845F36D44C2}"/>
    <cellStyle name="Normal 2 3 2" xfId="21" xr:uid="{DC719420-DA48-490F-94F3-5E2E008D5024}"/>
    <cellStyle name="Normal 2 4" xfId="22" xr:uid="{DC0F636A-E0CF-4118-B0BB-BF26221DDA7E}"/>
    <cellStyle name="Normal 2 4 2" xfId="23" xr:uid="{5BF805E9-EE63-45DC-8131-ABA6D8899C21}"/>
    <cellStyle name="Normal 2 5" xfId="24" xr:uid="{EE652B66-ADAE-4163-BDD5-FA01703B4B28}"/>
    <cellStyle name="Normal 2 5 2" xfId="25" xr:uid="{BA504C7E-BCA4-4968-BCD4-066B6EC9B7B7}"/>
    <cellStyle name="Normal 2 6" xfId="26" xr:uid="{D8C35E78-07B7-4F4A-876D-C7DD2B01FC53}"/>
    <cellStyle name="Normal 2 7" xfId="27" xr:uid="{E7DB6494-67C9-4CCA-8ED1-F19926513A83}"/>
    <cellStyle name="Normal 2_REPORT_ATCO_2011-12_Vivek" xfId="28" xr:uid="{BD386968-E458-4381-9C89-44C628DBFA7D}"/>
    <cellStyle name="Normal 20" xfId="29" xr:uid="{E3123D3B-B8BC-4F68-A963-D3439C3BACE3}"/>
    <cellStyle name="Normal 3" xfId="30" xr:uid="{95ADF2CB-CF2E-4935-926D-72DB2D028DB0}"/>
    <cellStyle name="Normal 3 2" xfId="31" xr:uid="{829EA1F2-3531-4D9F-8FFB-234AB4685F32}"/>
    <cellStyle name="Normal 3 2 2" xfId="32" xr:uid="{C577222B-26ED-4D9C-9D3E-C0F50E5475EA}"/>
    <cellStyle name="Normal 3 3" xfId="33" xr:uid="{FB4F4529-68EF-45DB-8236-76549E5AF518}"/>
    <cellStyle name="Normal 3 3 2" xfId="34" xr:uid="{F4CDE637-945B-460D-ACDD-F98E0F285EDE}"/>
    <cellStyle name="Normal 3 4" xfId="35" xr:uid="{EC5A0BBB-0B8E-465D-B0BA-DE4B446283AB}"/>
    <cellStyle name="Normal 3 4 2" xfId="36" xr:uid="{65AEFA31-FC27-4D54-B3DD-9A4984BFD4B2}"/>
    <cellStyle name="Normal 3 5" xfId="37" xr:uid="{1BF9C52C-D9A4-4B00-A2E0-64DAD8D989FA}"/>
    <cellStyle name="Normal 3_Audit Report" xfId="38" xr:uid="{E1AE107C-7EBA-4A91-90E4-37E8BAB1FABF}"/>
    <cellStyle name="Normal 4" xfId="39" xr:uid="{8A842605-CE7A-44C1-B81F-3BFBC77FA4F7}"/>
    <cellStyle name="Normal 4 2" xfId="40" xr:uid="{77485EB0-8067-40C1-A7F1-2F8F05568D3F}"/>
    <cellStyle name="Normal 4 2 2" xfId="41" xr:uid="{DC3F250A-D492-481B-8F71-9EFA4CFDAB76}"/>
    <cellStyle name="Normal 4 3" xfId="42" xr:uid="{5AF26DB5-A980-440E-891B-2F3F3769162A}"/>
    <cellStyle name="Normal 4 3 2" xfId="43" xr:uid="{552FDA7F-5566-48D2-B976-4B1DD0B7ACD4}"/>
    <cellStyle name="Normal 43" xfId="44" xr:uid="{06F850EC-888B-4DFC-97B3-603211EF551D}"/>
    <cellStyle name="Normal 44" xfId="45" xr:uid="{EBDCE7F7-EEF2-4109-9F62-32A4B1B77FB4}"/>
    <cellStyle name="Normal 45" xfId="46" xr:uid="{372A9C44-F7F8-4A9A-ADFB-0B4DD360EB68}"/>
    <cellStyle name="Normal 47" xfId="47" xr:uid="{0FB7A47D-B1CB-4210-8097-8157FA371AB7}"/>
    <cellStyle name="Normal 48" xfId="48" xr:uid="{DB920ECF-A680-429E-97B7-6E645120E7E5}"/>
    <cellStyle name="Normal 5" xfId="49" xr:uid="{7546244E-2AF9-4764-A225-D4F0B66E81A3}"/>
    <cellStyle name="Normal 5 2" xfId="50" xr:uid="{AE43E312-8FD0-4358-92B1-796BD157C1F0}"/>
    <cellStyle name="Normal 5 2 2" xfId="51" xr:uid="{D336B4D7-3965-4D3D-87F8-2B91ACE5CBCF}"/>
    <cellStyle name="Normal 5 3" xfId="52" xr:uid="{BBAF9DF4-B881-4FD2-AAB5-967F39CBC4E7}"/>
    <cellStyle name="Normal 58" xfId="53" xr:uid="{1F84A1C1-4081-46FD-A30F-9EEB8DF869BE}"/>
    <cellStyle name="Normal 59" xfId="54" xr:uid="{93DD8B12-216E-4B62-ABC9-89F97A105EED}"/>
    <cellStyle name="Normal 6" xfId="55" xr:uid="{96A35A76-3D9D-4ED4-93FC-6C6CE6F66F8F}"/>
    <cellStyle name="Normal 6 2" xfId="56" xr:uid="{AE182494-808A-40EE-BFF3-3C8C7535F3C0}"/>
    <cellStyle name="Normal 6 2 2" xfId="57" xr:uid="{40C21B5D-F570-492A-8101-7CD12E23717B}"/>
    <cellStyle name="Normal 7" xfId="58" xr:uid="{8DB88FE7-8773-49AC-AC65-5A5805C3C770}"/>
    <cellStyle name="Normal 8" xfId="59" xr:uid="{F23FE49E-53BF-474A-AE65-95DEF74AC5B8}"/>
    <cellStyle name="Normal 9" xfId="60" xr:uid="{4E86E770-C483-4675-9923-1C623A1D0374}"/>
    <cellStyle name="Normal_PROJECT_TRIBENI_FNL" xfId="61" xr:uid="{C7D1F98F-476C-4410-A360-35B19F2090E8}"/>
    <cellStyle name="Normal_Revised Proposal" xfId="62" xr:uid="{01DB7F5B-B542-4C41-820E-86504248DAF3}"/>
    <cellStyle name="Percent" xfId="63" builtinId="5"/>
    <cellStyle name="Percent 2" xfId="64" xr:uid="{29BF58C2-FC24-407E-8DD9-307A4FD5FF31}"/>
    <cellStyle name="Percent 2 2" xfId="65" xr:uid="{2FDAC800-562E-4A80-B5CE-D89AF92BF0C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6.xml"/><Relationship Id="rId68" Type="http://schemas.openxmlformats.org/officeDocument/2006/relationships/externalLink" Target="externalLinks/externalLink21.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6.xml"/><Relationship Id="rId58" Type="http://schemas.openxmlformats.org/officeDocument/2006/relationships/externalLink" Target="externalLinks/externalLink11.xml"/><Relationship Id="rId66" Type="http://schemas.openxmlformats.org/officeDocument/2006/relationships/externalLink" Target="externalLinks/externalLink19.xml"/><Relationship Id="rId5" Type="http://schemas.openxmlformats.org/officeDocument/2006/relationships/worksheet" Target="worksheets/sheet5.xml"/><Relationship Id="rId61" Type="http://schemas.openxmlformats.org/officeDocument/2006/relationships/externalLink" Target="externalLinks/externalLink1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56" Type="http://schemas.openxmlformats.org/officeDocument/2006/relationships/externalLink" Target="externalLinks/externalLink9.xml"/><Relationship Id="rId64" Type="http://schemas.openxmlformats.org/officeDocument/2006/relationships/externalLink" Target="externalLinks/externalLink17.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2.xml"/><Relationship Id="rId67"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7.xml"/><Relationship Id="rId62" Type="http://schemas.openxmlformats.org/officeDocument/2006/relationships/externalLink" Target="externalLinks/externalLink15.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2.xml"/><Relationship Id="rId57" Type="http://schemas.openxmlformats.org/officeDocument/2006/relationships/externalLink" Target="externalLinks/externalLink1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5.xml"/><Relationship Id="rId60" Type="http://schemas.openxmlformats.org/officeDocument/2006/relationships/externalLink" Target="externalLinks/externalLink13.xml"/><Relationship Id="rId65"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3.xml"/><Relationship Id="rId55" Type="http://schemas.openxmlformats.org/officeDocument/2006/relationships/externalLink" Target="externalLinks/externalLink8.xml"/></Relationships>
</file>

<file path=xl/drawings/drawing1.xml><?xml version="1.0" encoding="utf-8"?>
<xdr:wsDr xmlns:xdr="http://schemas.openxmlformats.org/drawingml/2006/spreadsheetDrawing" xmlns:a="http://schemas.openxmlformats.org/drawingml/2006/main">
  <xdr:twoCellAnchor>
    <xdr:from>
      <xdr:col>4</xdr:col>
      <xdr:colOff>723900</xdr:colOff>
      <xdr:row>14</xdr:row>
      <xdr:rowOff>0</xdr:rowOff>
    </xdr:from>
    <xdr:to>
      <xdr:col>4</xdr:col>
      <xdr:colOff>800100</xdr:colOff>
      <xdr:row>15</xdr:row>
      <xdr:rowOff>28575</xdr:rowOff>
    </xdr:to>
    <xdr:sp macro="" textlink="">
      <xdr:nvSpPr>
        <xdr:cNvPr id="58414" name="AutoShape 2">
          <a:extLst>
            <a:ext uri="{FF2B5EF4-FFF2-40B4-BE49-F238E27FC236}">
              <a16:creationId xmlns:a16="http://schemas.microsoft.com/office/drawing/2014/main" id="{22BD395C-8CBD-7321-986C-4BE5689A882B}"/>
            </a:ext>
          </a:extLst>
        </xdr:cNvPr>
        <xdr:cNvSpPr>
          <a:spLocks/>
        </xdr:cNvSpPr>
      </xdr:nvSpPr>
      <xdr:spPr bwMode="auto">
        <a:xfrm>
          <a:off x="6467475" y="2533650"/>
          <a:ext cx="76200" cy="190500"/>
        </a:xfrm>
        <a:prstGeom prst="rightBrace">
          <a:avLst>
            <a:gd name="adj1" fmla="val 20833"/>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249555</xdr:colOff>
      <xdr:row>639</xdr:row>
      <xdr:rowOff>195580</xdr:rowOff>
    </xdr:from>
    <xdr:ext cx="61171" cy="170560"/>
    <xdr:sp macro="" textlink="">
      <xdr:nvSpPr>
        <xdr:cNvPr id="2" name="Text Box 1">
          <a:extLst>
            <a:ext uri="{FF2B5EF4-FFF2-40B4-BE49-F238E27FC236}">
              <a16:creationId xmlns:a16="http://schemas.microsoft.com/office/drawing/2014/main" id="{2B18BB54-231D-2795-5774-B6F8701EB122}"/>
            </a:ext>
          </a:extLst>
        </xdr:cNvPr>
        <xdr:cNvSpPr txBox="1">
          <a:spLocks noChangeArrowheads="1"/>
        </xdr:cNvSpPr>
      </xdr:nvSpPr>
      <xdr:spPr bwMode="auto">
        <a:xfrm>
          <a:off x="4926330" y="114933730"/>
          <a:ext cx="61171"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IN" sz="1000" b="0" i="0" u="none" strike="noStrike" baseline="0">
              <a:solidFill>
                <a:srgbClr val="000000"/>
              </a:solidFill>
              <a:latin typeface="Arial"/>
              <a:cs typeface="Arial"/>
            </a:rPr>
            <a:t>`</a:t>
          </a:r>
        </a:p>
      </xdr:txBody>
    </xdr:sp>
    <xdr:clientData/>
  </xdr:oneCellAnchor>
  <xdr:oneCellAnchor>
    <xdr:from>
      <xdr:col>6</xdr:col>
      <xdr:colOff>249555</xdr:colOff>
      <xdr:row>639</xdr:row>
      <xdr:rowOff>195580</xdr:rowOff>
    </xdr:from>
    <xdr:ext cx="61171" cy="170560"/>
    <xdr:sp macro="" textlink="">
      <xdr:nvSpPr>
        <xdr:cNvPr id="3" name="Text Box 2">
          <a:extLst>
            <a:ext uri="{FF2B5EF4-FFF2-40B4-BE49-F238E27FC236}">
              <a16:creationId xmlns:a16="http://schemas.microsoft.com/office/drawing/2014/main" id="{2C8A24E7-DC4D-EB77-8E9E-F038AF8C0258}"/>
            </a:ext>
          </a:extLst>
        </xdr:cNvPr>
        <xdr:cNvSpPr txBox="1">
          <a:spLocks noChangeArrowheads="1"/>
        </xdr:cNvSpPr>
      </xdr:nvSpPr>
      <xdr:spPr bwMode="auto">
        <a:xfrm>
          <a:off x="4926330" y="114933730"/>
          <a:ext cx="61171"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IN" sz="1000" b="0" i="0" u="none" strike="noStrike" baseline="0">
              <a:solidFill>
                <a:srgbClr val="000000"/>
              </a:solidFill>
              <a:latin typeface="Arial"/>
              <a:cs typeface="Arial"/>
            </a:rPr>
            <a:t>`</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3\shareddocs\khazana%201\BALANCE%20SHEET\BALANCE%20SHEET%202006\Shree%20Ganpati%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khazana1\BALANCE%20SHEET\Annual%20Report-2007-08\PRACTICALS%202008\Shivani%20Ispat%20bs\Shree%20Ganpati%2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epak\C\Documents%20and%20Settings\monoj\Desktop\chandrabali\REPORT_CHANDRABALI_05-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ankaj\d\PANKAJ%20DOCUMENTS\SURAJ%20TEA\REPORT_SURAJ_TEA_2008-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ffice%20Works/kamakhya%20packaging%20industries/14-15/KPI%201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CER-PC\ca\Users\ACER\Desktop\ca\Purbanchal_Audit_2012-2013\REPORT%20REPORT%20PURBANCHAL%20DISTRIBUTORS%202012-1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igital\d\Tribeni%20Contruction%20Ltd\TCL_FORM%2026Q-Q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grl\F\E-FILING%20INCOME%20TAX%20%20RETURN\VOHRA%20TEA\ITR6_2009_10_R1g_VOHRA%20TE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eepak\d\ITR4_2008_09_R1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ffice_Works/Allahabad_Bank_vikashji/Assam_Jute_Allahaba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Vivek\E\my%20doc\Audit\A%20K%20Jain\ARUN%20MACHINERY%20STORES\08-09\AUDIT%20PROGRAMME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elcome\D\26-1-TC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cer\D\Users\Vikash%20jain\Desktop\Pranjal\Projections_Royale-de-Cas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cer\D\Desktop_12072013\K_Mahanta\PNB_ZO_RoyaledeCasa\PROJECT_Royale-De-Casa.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d.docs.live.net/Users/mayan/OneDrive/Desktop/TEV%20Data/CASES/Running/SKS%20Sunshine/FM%20&amp;%20Reports/Financials-%20SKS%20Sunshine%20V2.xlsx" TargetMode="External"/><Relationship Id="rId1" Type="http://schemas.openxmlformats.org/officeDocument/2006/relationships/externalLinkPath" Target="/Users/mayan/OneDrive/Desktop/TEV%20Data/CASES/Running/SKS%20Sunshine/FM%20&amp;%20Reports/Financials-%20SKS%20Sunshine%20V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cer\D\Desktop_12072013\K_Mahanta\PNB_ZO_RoyaledeCasa\SS_ISPATProject_Revised\SSI_project_practical_FNL_04072012_Rs32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cer\D\Pranjal_Folder\Tribeni\Proposal_4th_June\Proposal_Tribeni_5th_June_2012\PROPOSAL_TRIBENI_SBI_2012_FN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aptop\D\My%20Documents\Shyam%20Carbon%20Compan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aptop\D\My%20Doc_Basant\BASANT\PROJECT_SHYAM_CARBON_CO_FNL_MODI_GHY_SB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ffice%20Works/kamakhya%20packaging%20industries/14-15/cma%20KPI%2003.07.1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sktop%20%20destop%20%2028-05-2015/Sumangal/Hotel%20Citywalk%20International/REPORT_SHREE_PRIME_PROJECTS%20-20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sets"/>
      <sheetName val="DEF TAX"/>
      <sheetName val="BLSHEET06"/>
      <sheetName val="work"/>
      <sheetName val="F-3CA"/>
      <sheetName val="F-3CD"/>
      <sheetName val="3cd ann 2"/>
      <sheetName val="F-10CCB"/>
      <sheetName val="F-29B"/>
      <sheetName val="BS"/>
      <sheetName val="PL"/>
      <sheetName val="NOTES"/>
      <sheetName val="trial"/>
      <sheetName val="Sheet1"/>
      <sheetName val="STOCK VALUATION 19"/>
      <sheetName val="MONTHWISE_SUMMARY"/>
      <sheetName val="TRAIL MARCH 19"/>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
      <sheetName val="3cd ann 2"/>
      <sheetName val="f-assets"/>
      <sheetName val="BLSHEET06"/>
      <sheetName val="DEF TAX"/>
      <sheetName val="F-3CA"/>
      <sheetName val="F-10CCB"/>
      <sheetName val="F-29B"/>
      <sheetName val="F-3C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20B"/>
      <sheetName val="FORM 23AC"/>
      <sheetName val="FORM 2"/>
      <sheetName val="Sheet7"/>
      <sheetName val="Sheet5"/>
      <sheetName val="Sheet10"/>
      <sheetName val="Sheet1"/>
      <sheetName val="Sheet2"/>
      <sheetName val="Sheet3"/>
      <sheetName val="Sheet4"/>
      <sheetName val="Sheet27"/>
      <sheetName val="Sheet19"/>
      <sheetName val="Sheet12"/>
      <sheetName val="FBT"/>
      <sheetName val="WIP"/>
      <sheetName val="DAMAYANTI ADDITION"/>
      <sheetName val="INCOME TAX_DEP"/>
      <sheetName val="AS_22"/>
      <sheetName val="DEP_CL"/>
      <sheetName val="Sheet13"/>
      <sheetName val="Sheet14"/>
      <sheetName val="Sheet15"/>
      <sheetName val="Sheet18"/>
      <sheetName val="GL STATEMENT"/>
      <sheetName val="Sheet17"/>
      <sheetName val="Sheet6"/>
      <sheetName val="Sheet21"/>
      <sheetName val="Sheet23"/>
      <sheetName val="Sheet26"/>
      <sheetName val="WORKING TATA TIPPER"/>
      <sheetName val="Sheet1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sheetData sheetId="13" refreshError="1"/>
      <sheetData sheetId="14"/>
      <sheetData sheetId="15"/>
      <sheetData sheetId="16" refreshError="1"/>
      <sheetData sheetId="17"/>
      <sheetData sheetId="18"/>
      <sheetData sheetId="19"/>
      <sheetData sheetId="20"/>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BT_FINAL"/>
      <sheetName val="FBT_3CD"/>
      <sheetName val="Sheet20"/>
      <sheetName val="Sheet12"/>
      <sheetName val="Sheet1"/>
      <sheetName val="SEC_115JAA"/>
      <sheetName val="Sheet2"/>
      <sheetName val="COM"/>
      <sheetName val="AS_22 "/>
      <sheetName val="journal"/>
      <sheetName val="BS_PL"/>
      <sheetName val="BS_SCH"/>
      <sheetName val="FA"/>
      <sheetName val="CED"/>
      <sheetName val="Sheet3"/>
      <sheetName val="NOTES (2)"/>
      <sheetName val="SCH_DETAILS"/>
      <sheetName val="EXP_DETAILS"/>
      <sheetName val="CO_DEP"/>
      <sheetName val="IT_DEP"/>
      <sheetName val="CIP"/>
      <sheetName val="Ann_B"/>
      <sheetName val="Sheet14"/>
      <sheetName val="Sheet7"/>
      <sheetName val="Sheet15"/>
      <sheetName val="TDS_CAL"/>
      <sheetName val="Sheet13"/>
      <sheetName val="QNTY"/>
      <sheetName val="RATIOS"/>
      <sheetName val="Sheet19"/>
      <sheetName val="DETAILS OF _GL"/>
      <sheetName val="SALES"/>
      <sheetName val="STOCK VALUATION"/>
      <sheetName val="PRODU_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4"/>
      <sheetName val="SARAL"/>
      <sheetName val="Sheet3"/>
      <sheetName val="Sheet4"/>
      <sheetName val="COM"/>
      <sheetName val="NEW 3CD_FORM"/>
      <sheetName val="AMT"/>
      <sheetName val="COMPUFNL"/>
      <sheetName val="Annx B"/>
      <sheetName val="ANNX C"/>
      <sheetName val="ANNX D"/>
      <sheetName val="Ann A"/>
      <sheetName val="10CCB"/>
      <sheetName val="43B"/>
      <sheetName val="Ann B"/>
      <sheetName val="Annx-&quot;C&quot;"/>
      <sheetName val="269SS"/>
      <sheetName val="269 T"/>
      <sheetName val="QUNTY_STATEMENT"/>
      <sheetName val="Ann F"/>
      <sheetName val="BS &amp; PL"/>
      <sheetName val="SCH A"/>
      <sheetName val="SCHEDULE"/>
      <sheetName val="FA_BOOKS_EDITED"/>
      <sheetName val="FA"/>
      <sheetName val="Vat details"/>
      <sheetName val="Certificate"/>
      <sheetName val="Vat details (2)"/>
      <sheetName val="DETAILS"/>
      <sheetName val="L-DETAILS"/>
      <sheetName val="ANNC"/>
      <sheetName val="Sheet8"/>
      <sheetName val="Sheet9"/>
      <sheetName val="Sheet16"/>
      <sheetName val="ANN-A"/>
      <sheetName val="Sheet5"/>
      <sheetName val="Sheet11"/>
      <sheetName val="Sheet27"/>
      <sheetName val="ANN-B_1"/>
      <sheetName val="Sheet2"/>
      <sheetName val="Sheet1"/>
      <sheetName val="Sheet42"/>
      <sheetName val="Sheet41"/>
      <sheetName val="Sheet38"/>
      <sheetName val="Sheet40"/>
      <sheetName val="Sheet37"/>
      <sheetName val="Sheet39"/>
      <sheetName val="Sheet36"/>
      <sheetName val="Sheet35"/>
      <sheetName val="Sheet24"/>
      <sheetName val="Sheet29"/>
      <sheetName val="Sheet18"/>
      <sheetName val="Sheet20"/>
      <sheetName val="Compatibility Report"/>
      <sheetName val="Excise"/>
      <sheetName val="Consumption"/>
      <sheetName val="P &amp; M"/>
      <sheetName val="Misc. FA"/>
      <sheetName val="Electric"/>
      <sheetName val="Sheet6"/>
      <sheetName val="FA DETAI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S 2011-2012"/>
      <sheetName val="TDS &amp; ADV TAX2011-2012"/>
      <sheetName val="Query"/>
      <sheetName val="COMPUFNL"/>
      <sheetName val="Capital"/>
      <sheetName val="Pat.Cap"/>
      <sheetName val="Schedule"/>
      <sheetName val="FBT ANNX-II"/>
      <sheetName val="DETAILS"/>
      <sheetName val="BAL SHEET"/>
      <sheetName val="Sheet8"/>
      <sheetName val="Annex (2)"/>
      <sheetName val="Dep"/>
      <sheetName val="Depn IT"/>
      <sheetName val="Annx B"/>
      <sheetName val="ANNX-C"/>
      <sheetName val="269SS"/>
      <sheetName val="269 T"/>
      <sheetName val="ACC RATIO"/>
      <sheetName val="Sheet3"/>
      <sheetName val="FBT"/>
      <sheetName val="VAT"/>
      <sheetName val="VAt Annex A &amp; B"/>
      <sheetName val="VAT ANNEX B1"/>
      <sheetName val="VAt Annex c"/>
      <sheetName val="ANNEX D 17 II"/>
      <sheetName val="ANNEX D17 III"/>
      <sheetName val="ANNEX E"/>
      <sheetName val="ANNEX F"/>
      <sheetName val="VAT (2)"/>
      <sheetName val="Sheet1"/>
      <sheetName val="Sheet2"/>
      <sheetName val="VAT(3)"/>
      <sheetName val="Sheet9"/>
      <sheetName val="Sheet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llan Detail"/>
      <sheetName val="Contract"/>
      <sheetName val="Professional Charges"/>
      <sheetName val="Interest"/>
      <sheetName val="Challan_Detail"/>
      <sheetName val="Professional_Charges"/>
    </sheetNames>
    <sheetDataSet>
      <sheetData sheetId="0"/>
      <sheetData sheetId="1" refreshError="1"/>
      <sheetData sheetId="2" refreshError="1"/>
      <sheetData sheetId="3" refreshError="1"/>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PART A - GENERAL"/>
      <sheetName val="NATURE OF BUSINESS"/>
      <sheetName val="PART BS"/>
      <sheetName val="PART PL"/>
      <sheetName val="PART - A OI"/>
      <sheetName val="QUANTITATIVE_DETAILS"/>
      <sheetName val="PARTB - TI - TTI"/>
      <sheetName val="HOUSE_PROPERTY"/>
      <sheetName val="BP"/>
      <sheetName val="DPM_DOA"/>
      <sheetName val="DEP_DCG"/>
      <sheetName val="ESR"/>
      <sheetName val="CG-OS"/>
      <sheetName val="CYLA-BFLA"/>
      <sheetName val="CFL"/>
      <sheetName val="10A"/>
      <sheetName val="80_"/>
      <sheetName val="80G"/>
      <sheetName val="SPI - SI - IF"/>
      <sheetName val="EI"/>
      <sheetName val="AIR-IT"/>
      <sheetName val="TDS-TCS"/>
      <sheetName val="Instructions"/>
      <sheetName val="Pre_XML"/>
      <sheetName val="PART_A_-_GENERAL"/>
      <sheetName val="NATURE_OF_BUSINESS"/>
      <sheetName val="PART_BS"/>
      <sheetName val="PART_PL"/>
      <sheetName val="PART_-_A_OI"/>
      <sheetName val="PARTB_-_TI_-_TTI"/>
      <sheetName val="SPI_-_SI_-_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Prod-Des"/>
      <sheetName val="FA_SCHED"/>
      <sheetName val="QTY_INFO"/>
      <sheetName val="P_L"/>
      <sheetName val="BS"/>
      <sheetName val="CB_FNL"/>
      <sheetName val="PAR.CAP."/>
      <sheetName val="FORM_IV"/>
      <sheetName val="CMA"/>
      <sheetName val="FORM-III"/>
      <sheetName val="FORM-VI"/>
      <sheetName val="FORM_V"/>
      <sheetName val="FORM-II"/>
      <sheetName val="QNTY_ACTUAL_2007"/>
      <sheetName val="WC_Assessment"/>
      <sheetName val="Operating Statement"/>
      <sheetName val="Cash Flow"/>
      <sheetName val="WC Calculation"/>
      <sheetName val="Financial Position"/>
      <sheetName val="Profitability"/>
      <sheetName val="NW_ SARITA_1"/>
      <sheetName val="NW_SARITA_2"/>
      <sheetName val="NW_SANJAY_1"/>
      <sheetName val="NW_SANJAY_2"/>
      <sheetName val="NW_CHIKU_1"/>
      <sheetName val="NW_CHIKU_2"/>
      <sheetName val="DETAILS_SECURITIES"/>
      <sheetName val="LIST_PARTNERS"/>
      <sheetName val="Sheet3"/>
      <sheetName val="Sheet2"/>
      <sheetName val="Sheet1"/>
      <sheetName val="CB"/>
      <sheetName val="CB_MODI"/>
      <sheetName val="CB (2)"/>
      <sheetName val="CB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rietorship"/>
      <sheetName val="audit programme"/>
      <sheetName val="pending"/>
      <sheetName val="1.4.08"/>
      <sheetName val="31.3.08"/>
      <sheetName val="Unsecured loan"/>
      <sheetName val="parties payment&gt;20000"/>
      <sheetName val="freight TDS summary"/>
      <sheetName val="non moving creditors"/>
      <sheetName val="monthly chart"/>
      <sheetName val="depreciation"/>
      <sheetName val="daily cash book"/>
      <sheetName val="sunday"/>
      <sheetName val="adv from customers"/>
      <sheetName val="SALARY"/>
      <sheetName val="trialbal"/>
      <sheetName val="payment&gt;20000"/>
      <sheetName val="cash book"/>
      <sheetName val="sundry creditors"/>
      <sheetName val="pl analysis"/>
      <sheetName val="freight payments"/>
      <sheetName val="trial bal corre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ductor Detail"/>
      <sheetName val="Challan Detail"/>
      <sheetName val="Deductee Detail"/>
      <sheetName val="Master"/>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 GLANCE"/>
      <sheetName val="CAPITAL COST"/>
      <sheetName val=" wORKING CAPITAL"/>
      <sheetName val="P  L "/>
      <sheetName val="B  S "/>
      <sheetName val="BEP ANAYSIS"/>
      <sheetName val="CASH FLOW"/>
      <sheetName val="PAYBACK "/>
      <sheetName val="dscr"/>
      <sheetName val="IRR"/>
      <sheetName val=" RatioS"/>
      <sheetName val="ASSETS"/>
      <sheetName val="details of fixed assets  "/>
      <sheetName val="PREOPERATIVE EXP"/>
      <sheetName val="SALESPROJECTION"/>
      <sheetName val="Interest"/>
      <sheetName val="depreciation"/>
      <sheetName val="iNCOME tAX cOMPUTATION"/>
      <sheetName val="BEP"/>
      <sheetName val="CMA"/>
      <sheetName val="Req_PN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66">
          <cell r="M166">
            <v>463.14585074152654</v>
          </cell>
        </row>
        <row r="178">
          <cell r="M178">
            <v>1231.8855245904351</v>
          </cell>
        </row>
        <row r="188">
          <cell r="M188">
            <v>535</v>
          </cell>
        </row>
        <row r="192">
          <cell r="M192">
            <v>2230.0313753319615</v>
          </cell>
        </row>
        <row r="203">
          <cell r="M203">
            <v>12.669117094058651</v>
          </cell>
        </row>
        <row r="204">
          <cell r="M204">
            <v>0.24341417863552536</v>
          </cell>
        </row>
        <row r="205">
          <cell r="M205">
            <v>426.5887767715713</v>
          </cell>
        </row>
        <row r="306">
          <cell r="M306">
            <v>299.06612036358581</v>
          </cell>
        </row>
        <row r="307">
          <cell r="M307">
            <v>200</v>
          </cell>
        </row>
        <row r="311">
          <cell r="M311">
            <v>0</v>
          </cell>
        </row>
        <row r="312">
          <cell r="M312">
            <v>99.066120363586123</v>
          </cell>
        </row>
        <row r="390">
          <cell r="M390">
            <v>0.19902538803344155</v>
          </cell>
        </row>
      </sheetData>
      <sheetData sheetId="2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sheetName val="gLANCE"/>
      <sheetName val="PROJECT_COST"/>
      <sheetName val="BS"/>
      <sheetName val="P&amp;L"/>
      <sheetName val="IRR"/>
      <sheetName val="DSCR"/>
      <sheetName val="Pback"/>
      <sheetName val="Cash Flow"/>
      <sheetName val="BEP"/>
      <sheetName val="ASSETS"/>
      <sheetName val="Prelm &amp; Preop"/>
      <sheetName val="MANPOWER"/>
      <sheetName val="FA"/>
      <sheetName val="REP.SCH"/>
      <sheetName val="INCOME_ESTIMATE"/>
      <sheetName val="EXP_ESTI."/>
      <sheetName val="OP_STATEMENT"/>
      <sheetName val="BS_ANLYSIS"/>
      <sheetName val="CA_CL"/>
      <sheetName val="MPBF"/>
      <sheetName val="FUND_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7">
          <cell r="I17">
            <v>212.57035999999999</v>
          </cell>
        </row>
        <row r="40">
          <cell r="I40">
            <v>532.10454000000004</v>
          </cell>
        </row>
        <row r="48">
          <cell r="I48">
            <v>202.49420000000001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P MOF"/>
      <sheetName val="Term Loan 20.00"/>
      <sheetName val="Depreciation"/>
      <sheetName val="Manpower"/>
      <sheetName val="Assumptions "/>
      <sheetName val="P&amp;L "/>
      <sheetName val="BS "/>
      <sheetName val="Resurgent "/>
      <sheetName val="Cash flow"/>
      <sheetName val="DSCR"/>
      <sheetName val="Se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ANCE"/>
      <sheetName val="Project"/>
      <sheetName val="cma"/>
      <sheetName val="Annexure"/>
      <sheetName val="Details PM"/>
      <sheetName val="Prelm &amp; Preop"/>
      <sheetName val="CMA_SBI"/>
      <sheetName val="Capitalcost"/>
      <sheetName val="requirements"/>
      <sheetName val="Repayment TL1&amp;TL2"/>
    </sheetNames>
    <sheetDataSet>
      <sheetData sheetId="0"/>
      <sheetData sheetId="1">
        <row r="134">
          <cell r="F134">
            <v>0.35</v>
          </cell>
          <cell r="G134">
            <v>0.4</v>
          </cell>
          <cell r="H134">
            <v>0.45</v>
          </cell>
          <cell r="I134">
            <v>0.5</v>
          </cell>
          <cell r="J134">
            <v>0.55000000000000004</v>
          </cell>
          <cell r="K134">
            <v>0.55000000000000004</v>
          </cell>
          <cell r="L134">
            <v>0.55000000000000004</v>
          </cell>
        </row>
        <row r="167">
          <cell r="F167">
            <v>1.0899459999999999</v>
          </cell>
          <cell r="G167">
            <v>10.242062499999999</v>
          </cell>
          <cell r="H167">
            <v>18.912087499999998</v>
          </cell>
          <cell r="I167">
            <v>26.568386500000003</v>
          </cell>
          <cell r="J167">
            <v>33.491067999999999</v>
          </cell>
          <cell r="K167">
            <v>30.522299</v>
          </cell>
          <cell r="L167">
            <v>32.766978000000002</v>
          </cell>
        </row>
      </sheetData>
      <sheetData sheetId="2"/>
      <sheetData sheetId="3"/>
      <sheetData sheetId="4"/>
      <sheetData sheetId="5"/>
      <sheetData sheetId="6"/>
      <sheetData sheetId="7"/>
      <sheetData sheetId="8"/>
      <sheetData sheetId="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ales"/>
      <sheetName val="HP_FNL"/>
      <sheetName val="HP_FNL_Modify"/>
      <sheetName val="USL"/>
      <sheetName val="Sales 11-12"/>
      <sheetName val="USL_12"/>
      <sheetName val="BS&amp;PL"/>
      <sheetName val="Sch"/>
      <sheetName val="FA"/>
      <sheetName val="CMA"/>
      <sheetName val="HP_FNL_Modify FNL"/>
      <sheetName val="OP_STATEMENT"/>
      <sheetName val="BS_ANLYSIS"/>
      <sheetName val="CA_CL"/>
      <sheetName val="MPBF"/>
      <sheetName val="HP"/>
      <sheetName val="HP-ACCOUNTS OLD"/>
      <sheetName val="Sheet2"/>
      <sheetName val="NOTE"/>
      <sheetName val="YTD_IDBI"/>
      <sheetName val="FIN_INDICATORS"/>
      <sheetName val="Cash Budget"/>
      <sheetName val="BG ASST"/>
      <sheetName val="FUND_FLOW"/>
      <sheetName val="HP_FNL_New"/>
      <sheetName val="WORK IN HAND (NEW)"/>
      <sheetName val="HP_FNL_old"/>
      <sheetName val="EXISTING BG SBI (NEW)"/>
      <sheetName val="EXISTING BG VIJAYA (NEW)"/>
      <sheetName val="EXISTING BG IDBI"/>
      <sheetName val="RENT INCOME"/>
      <sheetName val="LIKELY WORKS (NEW)"/>
      <sheetName val="EXISTING BG IDBI OLD"/>
      <sheetName val="EXISTING BG VIJAYA"/>
      <sheetName val="EXISTING BG SBI"/>
      <sheetName val="WORK IN HAND"/>
      <sheetName val="LIKELY WORKS"/>
      <sheetName val="Sheet5"/>
      <sheetName val="Sheet3"/>
      <sheetName val="Sheet1"/>
      <sheetName val="Sheet4"/>
      <sheetName val="COLLATERL_REVISED"/>
      <sheetName val="Loans"/>
      <sheetName val="FA 31-03-07 CL"/>
      <sheetName val="COLLATERAL"/>
      <sheetName val="FA 31-03-08 CL"/>
      <sheetName val="FA310307CL"/>
      <sheetName val="FA310308CL"/>
      <sheetName val="FA310309CL"/>
      <sheetName val="COM-COMP"/>
      <sheetName val="USL-TERM LIAB"/>
    </sheetNames>
    <sheetDataSet>
      <sheetData sheetId="0" refreshError="1"/>
      <sheetData sheetId="1" refreshError="1"/>
      <sheetData sheetId="2" refreshError="1"/>
      <sheetData sheetId="3" refreshError="1"/>
      <sheetData sheetId="4" refreshError="1"/>
      <sheetData sheetId="5" refreshError="1"/>
      <sheetData sheetId="6" refreshError="1">
        <row r="21">
          <cell r="H21">
            <v>842.42791</v>
          </cell>
          <cell r="I21">
            <v>1047.3123611999999</v>
          </cell>
          <cell r="J21">
            <v>2001.5904341</v>
          </cell>
          <cell r="K21">
            <v>2223.3859490999998</v>
          </cell>
        </row>
        <row r="23">
          <cell r="G23">
            <v>754.79153329999963</v>
          </cell>
          <cell r="H23">
            <v>1422.8683036472139</v>
          </cell>
          <cell r="I23">
            <v>1819.5679185472136</v>
          </cell>
          <cell r="J23">
            <v>3224.0025585839103</v>
          </cell>
          <cell r="K23">
            <v>3752.1684999557119</v>
          </cell>
        </row>
        <row r="45">
          <cell r="G45">
            <v>650.2399999999999</v>
          </cell>
          <cell r="H45">
            <v>504.64760290000004</v>
          </cell>
          <cell r="I45">
            <v>658.24091039999985</v>
          </cell>
          <cell r="J45">
            <v>695.80046500000003</v>
          </cell>
          <cell r="K45">
            <v>1082.6127387000001</v>
          </cell>
        </row>
      </sheetData>
      <sheetData sheetId="7" refreshError="1"/>
      <sheetData sheetId="8" refreshError="1"/>
      <sheetData sheetId="9" refreshError="1">
        <row r="24">
          <cell r="E24">
            <v>0</v>
          </cell>
          <cell r="F24">
            <v>0</v>
          </cell>
          <cell r="G24">
            <v>0</v>
          </cell>
          <cell r="H24">
            <v>0</v>
          </cell>
          <cell r="I24">
            <v>0</v>
          </cell>
          <cell r="J24">
            <v>0</v>
          </cell>
          <cell r="K24">
            <v>0</v>
          </cell>
          <cell r="L24">
            <v>0</v>
          </cell>
          <cell r="M24">
            <v>0</v>
          </cell>
        </row>
        <row r="85">
          <cell r="F85">
            <v>30.665290000000148</v>
          </cell>
          <cell r="G85">
            <v>40.240323431065832</v>
          </cell>
          <cell r="H85">
            <v>111.81516370000037</v>
          </cell>
          <cell r="I85">
            <v>143.65656713669884</v>
          </cell>
          <cell r="J85">
            <v>194.37042637180332</v>
          </cell>
          <cell r="K85">
            <v>209.76251410000023</v>
          </cell>
          <cell r="L85">
            <v>447.84332600000096</v>
          </cell>
        </row>
        <row r="129">
          <cell r="H129">
            <v>949.20340569999996</v>
          </cell>
          <cell r="I129">
            <v>1238.9222353000002</v>
          </cell>
          <cell r="J129">
            <v>2068.5740905000002</v>
          </cell>
          <cell r="K129">
            <v>2615.6497269000006</v>
          </cell>
          <cell r="L129">
            <v>3317.9748970000001</v>
          </cell>
          <cell r="M129">
            <v>2964.8718238997708</v>
          </cell>
          <cell r="N129">
            <v>2679.2234538566131</v>
          </cell>
        </row>
        <row r="136">
          <cell r="E136">
            <v>0</v>
          </cell>
          <cell r="F136">
            <v>0</v>
          </cell>
          <cell r="G136">
            <v>0</v>
          </cell>
          <cell r="H136">
            <v>0</v>
          </cell>
          <cell r="I136">
            <v>0</v>
          </cell>
          <cell r="J136">
            <v>0</v>
          </cell>
          <cell r="K136">
            <v>0</v>
          </cell>
          <cell r="L136">
            <v>0</v>
          </cell>
          <cell r="M136">
            <v>0</v>
          </cell>
        </row>
        <row r="141">
          <cell r="C141">
            <v>1002.7291542</v>
          </cell>
          <cell r="G141">
            <v>1347.0755128999999</v>
          </cell>
          <cell r="H141">
            <v>1705.5532715999998</v>
          </cell>
          <cell r="I141">
            <v>2697.3908990999998</v>
          </cell>
          <cell r="J141">
            <v>3305.9986878000004</v>
          </cell>
          <cell r="K141">
            <v>4329.6412342000003</v>
          </cell>
          <cell r="L141">
            <v>4736.3286129999997</v>
          </cell>
          <cell r="M141">
            <v>4262.574549149771</v>
          </cell>
          <cell r="N141">
            <v>3783.2173299503629</v>
          </cell>
        </row>
        <row r="157">
          <cell r="J157">
            <v>0</v>
          </cell>
        </row>
        <row r="167">
          <cell r="F167">
            <v>1090.1200000000001</v>
          </cell>
          <cell r="G167">
            <v>1370.2331876000001</v>
          </cell>
          <cell r="H167">
            <v>1532.7905314999998</v>
          </cell>
          <cell r="I167">
            <v>1483.669723</v>
          </cell>
          <cell r="J167">
            <v>2297.0923081999999</v>
          </cell>
        </row>
        <row r="204">
          <cell r="H204">
            <v>1.6148177748789549</v>
          </cell>
          <cell r="I204">
            <v>1.1975487086489613</v>
          </cell>
          <cell r="J204">
            <v>1.110471371922078</v>
          </cell>
          <cell r="K204">
            <v>1.1963993126514068</v>
          </cell>
          <cell r="L204">
            <v>1.1987729803490432</v>
          </cell>
          <cell r="M204">
            <v>1.2512697788168365</v>
          </cell>
          <cell r="N204">
            <v>1.470686351094592</v>
          </cell>
        </row>
        <row r="205">
          <cell r="H205">
            <v>2.2285328333660068</v>
          </cell>
          <cell r="I205">
            <v>2.2093605528336329</v>
          </cell>
          <cell r="J205">
            <v>2.1688336660349901</v>
          </cell>
          <cell r="K205">
            <v>2.1608009828580768</v>
          </cell>
          <cell r="L205">
            <v>1.8633055595434778</v>
          </cell>
          <cell r="M205">
            <v>1.4977215329481757</v>
          </cell>
          <cell r="N205">
            <v>1.1524147825446747</v>
          </cell>
        </row>
        <row r="256">
          <cell r="L256">
            <v>0</v>
          </cell>
          <cell r="M256">
            <v>0</v>
          </cell>
        </row>
        <row r="273">
          <cell r="F273">
            <v>74.06</v>
          </cell>
          <cell r="G273">
            <v>310.75789042280826</v>
          </cell>
          <cell r="H273">
            <v>366.40049000000005</v>
          </cell>
          <cell r="I273">
            <v>1296.731205</v>
          </cell>
        </row>
        <row r="290">
          <cell r="F290">
            <v>53.900000000000006</v>
          </cell>
        </row>
        <row r="292">
          <cell r="H292">
            <v>413.74288580000018</v>
          </cell>
          <cell r="I292">
            <v>0</v>
          </cell>
          <cell r="J292">
            <v>346.57800340000017</v>
          </cell>
        </row>
        <row r="310">
          <cell r="F310">
            <v>160.40529000000012</v>
          </cell>
          <cell r="G310">
            <v>102.77483300825753</v>
          </cell>
          <cell r="H310">
            <v>186.37293430000034</v>
          </cell>
          <cell r="I310">
            <v>-338.83783049999965</v>
          </cell>
        </row>
        <row r="322">
          <cell r="E322">
            <v>0</v>
          </cell>
          <cell r="F322">
            <v>0</v>
          </cell>
          <cell r="G322">
            <v>0</v>
          </cell>
          <cell r="H322">
            <v>0</v>
          </cell>
          <cell r="I322">
            <v>0</v>
          </cell>
          <cell r="J322">
            <v>0</v>
          </cell>
          <cell r="K322">
            <v>0</v>
          </cell>
          <cell r="L322">
            <v>0</v>
          </cell>
          <cell r="M322">
            <v>0</v>
          </cell>
        </row>
      </sheetData>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row r="44">
          <cell r="I44">
            <v>990000</v>
          </cell>
        </row>
        <row r="45">
          <cell r="I45">
            <v>9448858</v>
          </cell>
        </row>
        <row r="46">
          <cell r="I46">
            <v>5000000</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Cap Req'mts"/>
      <sheetName val="Sheet1"/>
      <sheetName val="Annexure to Form 1"/>
      <sheetName val="RATIOS"/>
      <sheetName val="Operating Statement"/>
      <sheetName val="FUND-FLOW"/>
      <sheetName val="MPBF"/>
      <sheetName val="CA &amp; CL"/>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0">
          <cell r="L20">
            <v>90</v>
          </cell>
          <cell r="M20">
            <v>90</v>
          </cell>
          <cell r="N20">
            <v>75</v>
          </cell>
        </row>
        <row r="44">
          <cell r="M44">
            <v>35.64</v>
          </cell>
          <cell r="N44">
            <v>35.64</v>
          </cell>
        </row>
        <row r="46">
          <cell r="M46">
            <v>125.64</v>
          </cell>
          <cell r="N46">
            <v>110.64</v>
          </cell>
        </row>
        <row r="126">
          <cell r="M126">
            <v>290.64999999999998</v>
          </cell>
          <cell r="N126">
            <v>346.83</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IS_REGN-1"/>
      <sheetName val="CCIS_REGN-2"/>
      <sheetName val="CCIS_REGN-3"/>
      <sheetName val="CCIS_REGN-4"/>
      <sheetName val="LIST OF MACHINERY"/>
      <sheetName val="CCIS_REGN_CHECK LIST"/>
      <sheetName val="Sheet20"/>
      <sheetName val="Sheet19"/>
      <sheetName val="Sheet18"/>
      <sheetName val="PROJECT_COST"/>
      <sheetName val="Sheet16"/>
      <sheetName val="Sheet9"/>
      <sheetName val="Sheet10"/>
      <sheetName val="Sheet1A"/>
      <sheetName val="Sheet3"/>
      <sheetName val="Sheet5"/>
      <sheetName val="Sheet2"/>
      <sheetName val="Sheet4"/>
      <sheetName val="Sheet7"/>
      <sheetName val="Sheet6"/>
      <sheetName val="Sheet8"/>
      <sheetName val="Sheet13"/>
      <sheetName val="Sheet41"/>
      <sheetName val="Sheet42"/>
      <sheetName val="BALANCE_SHEETS"/>
      <sheetName val="CASH_FLOW"/>
      <sheetName val="REPAYMENT"/>
      <sheetName val="DEPRECIATION"/>
      <sheetName val="PL_AC"/>
      <sheetName val="BREAK_EVEN"/>
      <sheetName val="QUAN_DETAILS"/>
      <sheetName val="CMA"/>
      <sheetName val="WC_REQUIRMENT"/>
      <sheetName val="MANPOWER"/>
      <sheetName val="BAR_CHART"/>
      <sheetName val="POWER"/>
      <sheetName val="INS_CAP"/>
      <sheetName val="BIO_DATA"/>
      <sheetName val="RATIOS"/>
      <sheetName val="OPERATING_STATEMENT"/>
      <sheetName val="BALANCE_SHEET"/>
      <sheetName val="FUND_FLOW"/>
      <sheetName val="CA_CL"/>
      <sheetName val="MPBF"/>
      <sheetName val="PROP"/>
      <sheetName val="Q"/>
      <sheetName val="ANN"/>
      <sheetName val="ANN-0"/>
      <sheetName val="ANN-1"/>
      <sheetName val="ANN-2"/>
      <sheetName val="ANN-3"/>
      <sheetName val="Sheet38"/>
      <sheetName val="PURUSHOTTAM_KHAITAN"/>
      <sheetName val="SANDEEP_KHAITAN"/>
      <sheetName val="SATISH_KHAITAN"/>
      <sheetName val="SANJAY_KHAITAN"/>
      <sheetName val="DEBI_PRASAD"/>
      <sheetName val="NARESH"/>
      <sheetName val="NARESH_AFFIDAVIT"/>
      <sheetName val="MANOJ"/>
      <sheetName val="ASSOCIATE_CONCERN"/>
      <sheetName val="Sheet26"/>
      <sheetName val="Sheet25"/>
      <sheetName val="Sheet24"/>
      <sheetName val="Sheet23"/>
      <sheetName val="Sheet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39">
          <cell r="E139">
            <v>43.800000000000018</v>
          </cell>
          <cell r="F139">
            <v>39.949999999999996</v>
          </cell>
          <cell r="G139">
            <v>0</v>
          </cell>
        </row>
        <row r="180">
          <cell r="D180">
            <v>220.26039623271777</v>
          </cell>
          <cell r="E180">
            <v>257.71907683452059</v>
          </cell>
          <cell r="F180">
            <v>278.99643494452386</v>
          </cell>
          <cell r="G180">
            <v>296.71210808190961</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sheetName val="gLANCE"/>
      <sheetName val="Capitalcost"/>
      <sheetName val="Ca Certificate"/>
      <sheetName val="Profitability"/>
      <sheetName val="BS"/>
      <sheetName val="FA_BOOKS_EDITED"/>
      <sheetName val="Cash Flow"/>
      <sheetName val="Repayment"/>
      <sheetName val="IRR"/>
      <sheetName val="DSCR"/>
      <sheetName val="Pback"/>
      <sheetName val="BEANALYS"/>
      <sheetName val="DETAILS pm 2"/>
      <sheetName val="Prelm &amp; Preop"/>
      <sheetName val="WCap"/>
      <sheetName val="Rawmatrequirement"/>
      <sheetName val="Manpower"/>
      <sheetName val="Inventories"/>
      <sheetName val="Depn"/>
      <sheetName val="Details Rep"/>
      <sheetName val="CMA Canarabk"/>
      <sheetName val="FINANCIAL_INDICATORS"/>
      <sheetName val="OP_STATEMENT"/>
      <sheetName val="BS_ANLYSIS"/>
      <sheetName val="CA_CL"/>
      <sheetName val="MPBF"/>
      <sheetName val="FUND_FLOW"/>
      <sheetName val="Sheet2"/>
      <sheetName val="Sheet3"/>
      <sheetName val="Sheet4"/>
      <sheetName val="Sheet5"/>
      <sheetName val="Sheet6"/>
      <sheetName val="Sheet7"/>
      <sheetName val="Sheet8"/>
      <sheetName val="Sheet9"/>
      <sheetName val="Sheet10"/>
      <sheetName val="Sheet11"/>
      <sheetName val="Sheet1"/>
    </sheetNames>
    <sheetDataSet>
      <sheetData sheetId="0"/>
      <sheetData sheetId="1"/>
      <sheetData sheetId="2"/>
      <sheetData sheetId="3"/>
      <sheetData sheetId="4">
        <row r="8">
          <cell r="I8">
            <v>2100</v>
          </cell>
          <cell r="J8">
            <v>2100</v>
          </cell>
          <cell r="K8">
            <v>2100</v>
          </cell>
          <cell r="L8">
            <v>2100</v>
          </cell>
          <cell r="M8">
            <v>2100</v>
          </cell>
          <cell r="N8">
            <v>2100</v>
          </cell>
          <cell r="O8">
            <v>2100</v>
          </cell>
        </row>
        <row r="14">
          <cell r="I14">
            <v>0.6</v>
          </cell>
          <cell r="J14">
            <v>0.75</v>
          </cell>
          <cell r="K14">
            <v>0.8</v>
          </cell>
          <cell r="L14">
            <v>0.82</v>
          </cell>
          <cell r="M14">
            <v>0.85</v>
          </cell>
          <cell r="N14">
            <v>0.87</v>
          </cell>
          <cell r="O14">
            <v>0.8</v>
          </cell>
        </row>
        <row r="21">
          <cell r="I21">
            <v>85.175286200000002</v>
          </cell>
          <cell r="J21">
            <v>661.87971375342477</v>
          </cell>
          <cell r="K21">
            <v>730.25656945228002</v>
          </cell>
          <cell r="L21">
            <v>755.87681552562935</v>
          </cell>
          <cell r="M21">
            <v>783.45874951401402</v>
          </cell>
          <cell r="N21">
            <v>802.53723284475711</v>
          </cell>
        </row>
        <row r="80">
          <cell r="I80">
            <v>11.952193899999987</v>
          </cell>
          <cell r="J80">
            <v>42.259450084805003</v>
          </cell>
          <cell r="K80">
            <v>43.556247644862701</v>
          </cell>
          <cell r="L80">
            <v>39.546465703333901</v>
          </cell>
          <cell r="M80">
            <v>40.977838743139714</v>
          </cell>
          <cell r="N80">
            <v>42.07991628595294</v>
          </cell>
        </row>
      </sheetData>
      <sheetData sheetId="5">
        <row r="12">
          <cell r="F12">
            <v>92.668320000000008</v>
          </cell>
          <cell r="G12">
            <v>98.668320000000008</v>
          </cell>
          <cell r="H12">
            <v>98.668320000000008</v>
          </cell>
          <cell r="I12">
            <v>98.668320000000008</v>
          </cell>
          <cell r="J12">
            <v>98.668320000000008</v>
          </cell>
          <cell r="K12">
            <v>98.668320000000008</v>
          </cell>
          <cell r="L12">
            <v>98.668320000000008</v>
          </cell>
        </row>
        <row r="14">
          <cell r="F14">
            <v>2.2370338999999868</v>
          </cell>
          <cell r="G14">
            <v>26.585773984804987</v>
          </cell>
          <cell r="H14">
            <v>54.981091629667688</v>
          </cell>
          <cell r="I14">
            <v>81.620257333001589</v>
          </cell>
          <cell r="J14">
            <v>111.57746607614131</v>
          </cell>
          <cell r="K14">
            <v>144.23297236209424</v>
          </cell>
          <cell r="L14" t="e">
            <v>#REF!</v>
          </cell>
        </row>
        <row r="16">
          <cell r="F16">
            <v>0</v>
          </cell>
          <cell r="G16">
            <v>0</v>
          </cell>
          <cell r="H16">
            <v>0</v>
          </cell>
          <cell r="I16">
            <v>0</v>
          </cell>
          <cell r="J16">
            <v>0</v>
          </cell>
          <cell r="K16">
            <v>0</v>
          </cell>
          <cell r="L16">
            <v>0</v>
          </cell>
        </row>
        <row r="18">
          <cell r="F18">
            <v>75.828850000000003</v>
          </cell>
          <cell r="G18">
            <v>60</v>
          </cell>
          <cell r="H18">
            <v>45</v>
          </cell>
          <cell r="I18">
            <v>30</v>
          </cell>
          <cell r="J18">
            <v>15</v>
          </cell>
          <cell r="K18">
            <v>0</v>
          </cell>
          <cell r="L18" t="e">
            <v>#REF!</v>
          </cell>
        </row>
        <row r="20">
          <cell r="F20">
            <v>70.985290000000006</v>
          </cell>
          <cell r="G20">
            <v>125</v>
          </cell>
          <cell r="H20">
            <v>125</v>
          </cell>
          <cell r="I20">
            <v>125</v>
          </cell>
          <cell r="J20">
            <v>125</v>
          </cell>
          <cell r="K20">
            <v>125</v>
          </cell>
          <cell r="L20">
            <v>125</v>
          </cell>
        </row>
        <row r="22">
          <cell r="F22">
            <v>23.263999999999999</v>
          </cell>
          <cell r="G22">
            <v>0</v>
          </cell>
          <cell r="H22">
            <v>0</v>
          </cell>
          <cell r="I22">
            <v>0</v>
          </cell>
          <cell r="J22">
            <v>0</v>
          </cell>
          <cell r="K22">
            <v>0</v>
          </cell>
        </row>
        <row r="24">
          <cell r="F24">
            <v>20.544701200000002</v>
          </cell>
          <cell r="G24">
            <v>28.658484920983906</v>
          </cell>
          <cell r="H24">
            <v>37.952534301046505</v>
          </cell>
          <cell r="I24">
            <v>41.03479205380917</v>
          </cell>
          <cell r="J24">
            <v>47.654039423864468</v>
          </cell>
          <cell r="K24">
            <v>52.321030117188606</v>
          </cell>
          <cell r="L24">
            <v>7</v>
          </cell>
        </row>
        <row r="30">
          <cell r="F30">
            <v>125.14068</v>
          </cell>
          <cell r="G30">
            <v>107.22997000000001</v>
          </cell>
          <cell r="H30">
            <v>92.069040000000001</v>
          </cell>
          <cell r="I30">
            <v>79.161740000000009</v>
          </cell>
          <cell r="J30">
            <v>68.141110000000012</v>
          </cell>
          <cell r="K30">
            <v>58.71670000000001</v>
          </cell>
        </row>
        <row r="32">
          <cell r="F32">
            <v>38.238251100000006</v>
          </cell>
          <cell r="G32">
            <v>72.051570616980314</v>
          </cell>
          <cell r="H32">
            <v>92.590136039093238</v>
          </cell>
          <cell r="I32">
            <v>106.02235712289939</v>
          </cell>
          <cell r="J32">
            <v>126.58101347499293</v>
          </cell>
          <cell r="K32">
            <v>145.56806556076631</v>
          </cell>
          <cell r="L32">
            <v>50.730481795986186</v>
          </cell>
        </row>
        <row r="34">
          <cell r="F34">
            <v>23.141887799999999</v>
          </cell>
          <cell r="G34">
            <v>41.820649292219187</v>
          </cell>
          <cell r="H34">
            <v>45.582971701047377</v>
          </cell>
          <cell r="I34">
            <v>47.104719721223191</v>
          </cell>
          <cell r="J34">
            <v>48.639197395115403</v>
          </cell>
          <cell r="K34">
            <v>49.7064259091987</v>
          </cell>
          <cell r="L34">
            <v>76.978719999999996</v>
          </cell>
        </row>
        <row r="36">
          <cell r="F36">
            <v>0</v>
          </cell>
          <cell r="G36">
            <v>0.65625</v>
          </cell>
          <cell r="H36">
            <v>0.84</v>
          </cell>
          <cell r="I36">
            <v>0.9758</v>
          </cell>
          <cell r="J36">
            <v>1.071</v>
          </cell>
          <cell r="K36">
            <v>1.1571</v>
          </cell>
          <cell r="L36">
            <v>0.35349999999999998</v>
          </cell>
        </row>
        <row r="38">
          <cell r="F38">
            <v>76.723716199999998</v>
          </cell>
          <cell r="G38">
            <v>87.661501308613268</v>
          </cell>
          <cell r="H38">
            <v>90.531631850281101</v>
          </cell>
          <cell r="I38">
            <v>93.690292325077593</v>
          </cell>
          <cell r="J38">
            <v>97.090804734604461</v>
          </cell>
          <cell r="K38">
            <v>99.442946515107039</v>
          </cell>
          <cell r="L38">
            <v>104.38350980585061</v>
          </cell>
        </row>
        <row r="40">
          <cell r="F40">
            <v>5.9300899999999999</v>
          </cell>
          <cell r="G40">
            <v>7.1161079999999997</v>
          </cell>
          <cell r="H40">
            <v>8.5393295999999985</v>
          </cell>
          <cell r="I40">
            <v>10.247195519999998</v>
          </cell>
          <cell r="J40">
            <v>10.247195519999998</v>
          </cell>
          <cell r="K40">
            <v>10.247195519999998</v>
          </cell>
          <cell r="L40">
            <v>48.111699999999992</v>
          </cell>
        </row>
        <row r="42">
          <cell r="F42">
            <v>11.898570000000063</v>
          </cell>
          <cell r="G42">
            <v>15.92152968797609</v>
          </cell>
          <cell r="H42">
            <v>22.993836740292579</v>
          </cell>
          <cell r="I42">
            <v>29.666264697610643</v>
          </cell>
          <cell r="J42">
            <v>36.674504375292997</v>
          </cell>
          <cell r="K42">
            <v>45.928888974210793</v>
          </cell>
        </row>
        <row r="44">
          <cell r="F44">
            <v>4.4550000000000001</v>
          </cell>
          <cell r="G44">
            <v>6.4550000000000001</v>
          </cell>
          <cell r="H44">
            <v>8.4550000000000001</v>
          </cell>
          <cell r="I44">
            <v>9.4550000000000001</v>
          </cell>
          <cell r="J44">
            <v>9.4550000000000001</v>
          </cell>
          <cell r="K44">
            <v>9.4550000000000001</v>
          </cell>
          <cell r="L44">
            <v>19.454999999999998</v>
          </cell>
        </row>
      </sheetData>
      <sheetData sheetId="6"/>
      <sheetData sheetId="7"/>
      <sheetData sheetId="8"/>
      <sheetData sheetId="9"/>
      <sheetData sheetId="10"/>
      <sheetData sheetId="11"/>
      <sheetData sheetId="12"/>
      <sheetData sheetId="13"/>
      <sheetData sheetId="14"/>
      <sheetData sheetId="15"/>
      <sheetData sheetId="16"/>
      <sheetData sheetId="17"/>
      <sheetData sheetId="18">
        <row r="11">
          <cell r="F11">
            <v>0</v>
          </cell>
          <cell r="G11">
            <v>25.756</v>
          </cell>
          <cell r="H11">
            <v>96.483923287671232</v>
          </cell>
          <cell r="I11">
            <v>116.80990180521673</v>
          </cell>
          <cell r="J11">
            <v>120.90804833787726</v>
          </cell>
          <cell r="K11">
            <v>125.31998126057275</v>
          </cell>
          <cell r="L11">
            <v>128.37172479521575</v>
          </cell>
        </row>
        <row r="20">
          <cell r="F20">
            <v>38.238251100000006</v>
          </cell>
          <cell r="G20">
            <v>37.051570616980321</v>
          </cell>
          <cell r="H20">
            <v>46.057260193754097</v>
          </cell>
          <cell r="I20">
            <v>48.285899341989243</v>
          </cell>
          <cell r="J20">
            <v>50.125679412945289</v>
          </cell>
          <cell r="K20">
            <v>51.572800525781723</v>
          </cell>
          <cell r="L20">
            <v>50.730481795986186</v>
          </cell>
        </row>
        <row r="53">
          <cell r="F53">
            <v>945</v>
          </cell>
          <cell r="G53">
            <v>1504.272076712329</v>
          </cell>
          <cell r="H53">
            <v>1659.6740214824545</v>
          </cell>
          <cell r="I53">
            <v>1717.9018534673394</v>
          </cell>
          <cell r="J53">
            <v>1780.5880670773045</v>
          </cell>
          <cell r="K53">
            <v>1823.9482564653572</v>
          </cell>
          <cell r="L53">
            <v>1674.6017615911862</v>
          </cell>
        </row>
        <row r="55">
          <cell r="L55">
            <v>736.824775100122</v>
          </cell>
        </row>
      </sheetData>
      <sheetData sheetId="19"/>
      <sheetData sheetId="20"/>
      <sheetData sheetId="21"/>
      <sheetData sheetId="22"/>
      <sheetData sheetId="23">
        <row r="10">
          <cell r="H10">
            <v>85.175286200000002</v>
          </cell>
          <cell r="I10">
            <v>661.87971375342477</v>
          </cell>
          <cell r="J10">
            <v>730.25656945228002</v>
          </cell>
          <cell r="K10">
            <v>755.87681552562935</v>
          </cell>
          <cell r="L10">
            <v>783.45874951401402</v>
          </cell>
          <cell r="M10">
            <v>802.53723284475711</v>
          </cell>
          <cell r="N10">
            <v>736.824775100122</v>
          </cell>
        </row>
        <row r="12">
          <cell r="H12">
            <v>85.175286200000002</v>
          </cell>
          <cell r="I12">
            <v>661.87971375342477</v>
          </cell>
          <cell r="J12">
            <v>730.25656945228002</v>
          </cell>
          <cell r="K12">
            <v>755.87681552562935</v>
          </cell>
          <cell r="L12">
            <v>783.45874951401402</v>
          </cell>
          <cell r="M12">
            <v>802.53723284475711</v>
          </cell>
        </row>
        <row r="15">
          <cell r="H15">
            <v>0</v>
          </cell>
          <cell r="I15">
            <v>0</v>
          </cell>
          <cell r="J15">
            <v>0</v>
          </cell>
          <cell r="K15">
            <v>0</v>
          </cell>
          <cell r="L15">
            <v>0</v>
          </cell>
          <cell r="M15">
            <v>0</v>
          </cell>
        </row>
        <row r="16">
          <cell r="H16">
            <v>85.175286200000002</v>
          </cell>
          <cell r="I16">
            <v>661.87971375342477</v>
          </cell>
          <cell r="J16">
            <v>730.25656945228002</v>
          </cell>
          <cell r="K16">
            <v>755.87681552562935</v>
          </cell>
          <cell r="L16">
            <v>783.45874951401402</v>
          </cell>
          <cell r="M16">
            <v>802.53723284475711</v>
          </cell>
          <cell r="N16">
            <v>736.824775100122</v>
          </cell>
        </row>
        <row r="31">
          <cell r="H31">
            <v>9.7151599999999991</v>
          </cell>
          <cell r="I31">
            <v>17.910710000000002</v>
          </cell>
          <cell r="J31">
            <v>15.16093</v>
          </cell>
          <cell r="K31">
            <v>12.907299999999999</v>
          </cell>
          <cell r="L31">
            <v>11.020630000000001</v>
          </cell>
          <cell r="M31">
            <v>9.42441</v>
          </cell>
          <cell r="N31">
            <v>7.5586947651653587</v>
          </cell>
        </row>
        <row r="40">
          <cell r="H40">
            <v>66.634538600000013</v>
          </cell>
          <cell r="I40">
            <v>586.01515069097593</v>
          </cell>
          <cell r="J40">
            <v>641.87271932096928</v>
          </cell>
          <cell r="K40">
            <v>664.26656993916777</v>
          </cell>
          <cell r="L40">
            <v>688.40839704274345</v>
          </cell>
          <cell r="M40">
            <v>705.00251384794535</v>
          </cell>
          <cell r="N40">
            <v>741.95526979767442</v>
          </cell>
        </row>
        <row r="53">
          <cell r="H53">
            <v>5.122413700000001</v>
          </cell>
          <cell r="I53">
            <v>27.798947977643842</v>
          </cell>
          <cell r="J53">
            <v>31.401032486448038</v>
          </cell>
          <cell r="K53">
            <v>33.258579883127688</v>
          </cell>
          <cell r="L53">
            <v>35.255643728130629</v>
          </cell>
          <cell r="M53">
            <v>36.916712710858825</v>
          </cell>
          <cell r="N53">
            <v>5.8945982008009761</v>
          </cell>
        </row>
        <row r="56">
          <cell r="H56">
            <v>9.9813000000000009</v>
          </cell>
          <cell r="I56">
            <v>21.316875</v>
          </cell>
          <cell r="J56">
            <v>21.1875</v>
          </cell>
          <cell r="K56">
            <v>19.3125</v>
          </cell>
          <cell r="L56">
            <v>17.4375</v>
          </cell>
          <cell r="M56">
            <v>15.5625</v>
          </cell>
          <cell r="N56" t="e">
            <v>#REF!</v>
          </cell>
        </row>
        <row r="68">
          <cell r="H68">
            <v>2.2370338999999921</v>
          </cell>
          <cell r="I68">
            <v>24.348740084805019</v>
          </cell>
          <cell r="J68">
            <v>33.395317644862736</v>
          </cell>
          <cell r="K68">
            <v>36.63916570333388</v>
          </cell>
          <cell r="L68">
            <v>39.957208743139951</v>
          </cell>
          <cell r="M68">
            <v>42.655506285952903</v>
          </cell>
          <cell r="N68" t="e">
            <v>#REF!</v>
          </cell>
        </row>
        <row r="69">
          <cell r="H69">
            <v>0</v>
          </cell>
          <cell r="I69">
            <v>0</v>
          </cell>
          <cell r="J69">
            <v>0</v>
          </cell>
          <cell r="K69">
            <v>0</v>
          </cell>
          <cell r="L69">
            <v>0</v>
          </cell>
          <cell r="M69">
            <v>0</v>
          </cell>
          <cell r="N69" t="e">
            <v>#REF!</v>
          </cell>
        </row>
        <row r="70">
          <cell r="H70">
            <v>2.2370338999999921</v>
          </cell>
          <cell r="I70">
            <v>24.348740084805019</v>
          </cell>
          <cell r="J70">
            <v>33.395317644862736</v>
          </cell>
          <cell r="K70">
            <v>36.63916570333388</v>
          </cell>
          <cell r="L70">
            <v>39.957208743139951</v>
          </cell>
          <cell r="M70">
            <v>42.655506285952903</v>
          </cell>
          <cell r="N70" t="e">
            <v>#REF!</v>
          </cell>
        </row>
        <row r="71">
          <cell r="H71">
            <v>0</v>
          </cell>
          <cell r="I71">
            <v>0</v>
          </cell>
          <cell r="J71">
            <v>5</v>
          </cell>
          <cell r="K71">
            <v>10</v>
          </cell>
          <cell r="L71">
            <v>10</v>
          </cell>
          <cell r="M71">
            <v>10</v>
          </cell>
          <cell r="N71">
            <v>32</v>
          </cell>
        </row>
        <row r="79">
          <cell r="H79">
            <v>2.2370338999999921</v>
          </cell>
          <cell r="I79">
            <v>24.348740084805019</v>
          </cell>
          <cell r="J79">
            <v>28.395317644862736</v>
          </cell>
          <cell r="K79">
            <v>26.63916570333388</v>
          </cell>
          <cell r="L79">
            <v>29.957208743139951</v>
          </cell>
          <cell r="M79">
            <v>32.655506285952903</v>
          </cell>
          <cell r="N79" t="e">
            <v>#REF!</v>
          </cell>
        </row>
      </sheetData>
      <sheetData sheetId="24">
        <row r="98">
          <cell r="Q98">
            <v>129.6411010905</v>
          </cell>
        </row>
        <row r="100">
          <cell r="Q100">
            <v>82.756917268308271</v>
          </cell>
        </row>
      </sheetData>
      <sheetData sheetId="25">
        <row r="66">
          <cell r="H66">
            <v>0</v>
          </cell>
          <cell r="I66">
            <v>15</v>
          </cell>
          <cell r="J66">
            <v>15</v>
          </cell>
          <cell r="K66">
            <v>15</v>
          </cell>
          <cell r="L66">
            <v>15</v>
          </cell>
          <cell r="M66">
            <v>0</v>
          </cell>
        </row>
        <row r="75">
          <cell r="H75">
            <v>155.93251510000007</v>
          </cell>
          <cell r="I75">
            <v>225.22760890578886</v>
          </cell>
          <cell r="J75">
            <v>261.07790593071428</v>
          </cell>
          <cell r="K75">
            <v>287.70662938681079</v>
          </cell>
          <cell r="L75">
            <v>320.30371550000581</v>
          </cell>
          <cell r="M75">
            <v>352.05062247928288</v>
          </cell>
        </row>
        <row r="77">
          <cell r="H77">
            <v>114.79399120000001</v>
          </cell>
          <cell r="I77">
            <v>168.65848492098391</v>
          </cell>
          <cell r="J77">
            <v>177.95253430104651</v>
          </cell>
          <cell r="K77">
            <v>181.03479205380916</v>
          </cell>
          <cell r="L77">
            <v>187.65403942386448</v>
          </cell>
          <cell r="M77">
            <v>177.3210301171886</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ng"/>
      <sheetName val="WORK DETAIL"/>
      <sheetName val="Sheet3"/>
      <sheetName val="COMPU"/>
      <sheetName val="BS &amp; PL"/>
      <sheetName val="Pat.Cap"/>
      <sheetName val="Sch_PL"/>
      <sheetName val="Sch_BS"/>
      <sheetName val="Sheet1"/>
      <sheetName val="FBT"/>
      <sheetName val="Annex I"/>
      <sheetName val="Ann_A"/>
      <sheetName val="FBT_ANN_II"/>
      <sheetName val="BankAc"/>
    </sheetNames>
    <sheetDataSet>
      <sheetData sheetId="0" refreshError="1"/>
      <sheetData sheetId="1" refreshError="1"/>
      <sheetData sheetId="2" refreshError="1"/>
      <sheetData sheetId="3" refreshError="1"/>
      <sheetData sheetId="4">
        <row r="13">
          <cell r="I13">
            <v>21900000</v>
          </cell>
        </row>
        <row r="15">
          <cell r="I15">
            <v>18164482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mailto:SGST@14%25" TargetMode="External"/><Relationship Id="rId1" Type="http://schemas.openxmlformats.org/officeDocument/2006/relationships/hyperlink" Target="mailto:CGST@1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42D5D-D2C8-4EB9-A9AA-3F84E3EAFADA}">
  <sheetPr>
    <pageSetUpPr fitToPage="1"/>
  </sheetPr>
  <dimension ref="B1:V116"/>
  <sheetViews>
    <sheetView topLeftCell="A79" workbookViewId="0">
      <selection activeCell="D19" sqref="D19"/>
    </sheetView>
  </sheetViews>
  <sheetFormatPr defaultRowHeight="14.25"/>
  <cols>
    <col min="1" max="2" width="9.140625" style="586"/>
    <col min="3" max="3" width="15.5703125" style="635" customWidth="1"/>
    <col min="4" max="12" width="9.28515625" style="586" customWidth="1"/>
    <col min="13" max="16384" width="9.140625" style="586"/>
  </cols>
  <sheetData>
    <row r="1" spans="3:22">
      <c r="C1" s="634" t="s">
        <v>0</v>
      </c>
    </row>
    <row r="2" spans="3:22">
      <c r="I2" s="587" t="s">
        <v>1</v>
      </c>
    </row>
    <row r="3" spans="3:22">
      <c r="C3" s="636"/>
      <c r="D3" s="627" t="s">
        <v>2</v>
      </c>
      <c r="E3" s="627" t="s">
        <v>3</v>
      </c>
      <c r="F3" s="627" t="s">
        <v>4</v>
      </c>
      <c r="G3" s="627" t="s">
        <v>5</v>
      </c>
      <c r="H3" s="627" t="s">
        <v>6</v>
      </c>
      <c r="I3" s="627" t="s">
        <v>7</v>
      </c>
      <c r="J3" s="627" t="s">
        <v>8</v>
      </c>
      <c r="K3" s="627" t="s">
        <v>9</v>
      </c>
      <c r="L3" s="627" t="s">
        <v>10</v>
      </c>
      <c r="M3" s="588"/>
    </row>
    <row r="4" spans="3:22">
      <c r="C4" s="636"/>
      <c r="D4" s="1030" t="s">
        <v>11</v>
      </c>
      <c r="E4" s="1030"/>
      <c r="F4" s="1030"/>
      <c r="G4" s="1030"/>
      <c r="H4" s="1030"/>
      <c r="I4" s="1030"/>
      <c r="J4" s="1030"/>
      <c r="K4" s="1030"/>
      <c r="L4" s="589"/>
      <c r="M4" s="588"/>
    </row>
    <row r="5" spans="3:22">
      <c r="C5" s="629" t="s">
        <v>12</v>
      </c>
      <c r="D5" s="590"/>
      <c r="E5" s="590"/>
      <c r="F5" s="590"/>
      <c r="G5" s="590"/>
      <c r="H5" s="590"/>
      <c r="I5" s="590"/>
      <c r="J5" s="590"/>
      <c r="K5" s="590"/>
      <c r="L5" s="590"/>
      <c r="M5" s="588"/>
    </row>
    <row r="6" spans="3:22">
      <c r="C6" s="629" t="s">
        <v>13</v>
      </c>
      <c r="D6" s="628">
        <f>'P  L '!D29-D10</f>
        <v>1961.734275</v>
      </c>
      <c r="E6" s="628">
        <f>'P  L '!E29-E10</f>
        <v>1961.734275</v>
      </c>
      <c r="F6" s="628">
        <f>'P  L '!F29-F10</f>
        <v>2206.9510593750006</v>
      </c>
      <c r="G6" s="628">
        <f>'P  L '!G29-G10</f>
        <v>2452.16784375</v>
      </c>
      <c r="H6" s="628">
        <f>'P  L '!H29-H10</f>
        <v>2697.3846281249998</v>
      </c>
      <c r="I6" s="628">
        <f>'P  L '!I29-I10</f>
        <v>2942.6014125000006</v>
      </c>
      <c r="J6" s="628">
        <f>'P  L '!J29-J10</f>
        <v>3187.8181968750005</v>
      </c>
      <c r="K6" s="628">
        <f>'P  L '!K29-K10</f>
        <v>3433.0349812500008</v>
      </c>
      <c r="L6" s="628">
        <f>'P  L '!L29-L10</f>
        <v>2942.6014125000002</v>
      </c>
      <c r="M6" s="588"/>
    </row>
    <row r="7" spans="3:22">
      <c r="C7" s="629" t="s">
        <v>14</v>
      </c>
      <c r="D7" s="629"/>
      <c r="E7" s="629"/>
      <c r="F7" s="629"/>
      <c r="G7" s="629"/>
      <c r="H7" s="629"/>
      <c r="I7" s="629"/>
      <c r="J7" s="629"/>
      <c r="K7" s="629"/>
      <c r="L7" s="629"/>
      <c r="M7" s="588"/>
    </row>
    <row r="8" spans="3:22">
      <c r="C8" s="629" t="s">
        <v>15</v>
      </c>
      <c r="D8" s="629"/>
      <c r="E8" s="628">
        <f>(E6-D6)/D6*100</f>
        <v>0</v>
      </c>
      <c r="F8" s="628">
        <f t="shared" ref="F8:L8" si="0">(F6-E6)/E6*100</f>
        <v>12.500000000000028</v>
      </c>
      <c r="G8" s="628">
        <f t="shared" si="0"/>
        <v>11.111111111111081</v>
      </c>
      <c r="H8" s="628">
        <f t="shared" si="0"/>
        <v>9.9999999999999947</v>
      </c>
      <c r="I8" s="628">
        <f t="shared" si="0"/>
        <v>9.0909090909091201</v>
      </c>
      <c r="J8" s="628">
        <f t="shared" si="0"/>
        <v>8.3333333333333268</v>
      </c>
      <c r="K8" s="628">
        <f t="shared" si="0"/>
        <v>7.6923076923077014</v>
      </c>
      <c r="L8" s="628">
        <f t="shared" si="0"/>
        <v>-14.285714285714302</v>
      </c>
      <c r="M8" s="588"/>
    </row>
    <row r="9" spans="3:22" ht="25.5">
      <c r="C9" s="629" t="s">
        <v>16</v>
      </c>
      <c r="D9" s="628">
        <f>D6</f>
        <v>1961.734275</v>
      </c>
      <c r="E9" s="628">
        <f t="shared" ref="E9:K9" si="1">E6</f>
        <v>1961.734275</v>
      </c>
      <c r="F9" s="628">
        <f t="shared" si="1"/>
        <v>2206.9510593750006</v>
      </c>
      <c r="G9" s="628">
        <f t="shared" si="1"/>
        <v>2452.16784375</v>
      </c>
      <c r="H9" s="628">
        <f t="shared" si="1"/>
        <v>2697.3846281249998</v>
      </c>
      <c r="I9" s="628">
        <f t="shared" si="1"/>
        <v>2942.6014125000006</v>
      </c>
      <c r="J9" s="628">
        <f t="shared" si="1"/>
        <v>3187.8181968750005</v>
      </c>
      <c r="K9" s="628">
        <f t="shared" si="1"/>
        <v>3433.0349812500008</v>
      </c>
      <c r="L9" s="628">
        <f>L6</f>
        <v>2942.6014125000002</v>
      </c>
      <c r="M9" s="588"/>
    </row>
    <row r="10" spans="3:22">
      <c r="C10" s="629" t="s">
        <v>17</v>
      </c>
      <c r="D10" s="628">
        <f>'P  L '!D28</f>
        <v>50.300878846153843</v>
      </c>
      <c r="E10" s="628">
        <f>'P  L '!E28</f>
        <v>50.300878846153843</v>
      </c>
      <c r="F10" s="628">
        <f>'P  L '!F28</f>
        <v>56.588488701923076</v>
      </c>
      <c r="G10" s="628">
        <f>'P  L '!G28</f>
        <v>62.876098557692302</v>
      </c>
      <c r="H10" s="628">
        <f>'P  L '!H28</f>
        <v>69.163708413461535</v>
      </c>
      <c r="I10" s="628">
        <f>'P  L '!I28</f>
        <v>75.451318269230768</v>
      </c>
      <c r="J10" s="628">
        <f>'P  L '!J28</f>
        <v>81.738928125000015</v>
      </c>
      <c r="K10" s="628">
        <f>'P  L '!K28</f>
        <v>88.026537980769248</v>
      </c>
      <c r="L10" s="628">
        <f>'P  L '!L28</f>
        <v>75.451318269230754</v>
      </c>
      <c r="M10" s="588"/>
    </row>
    <row r="11" spans="3:22" ht="25.5">
      <c r="C11" s="629" t="s">
        <v>18</v>
      </c>
      <c r="D11" s="630" t="e">
        <f>#REF!</f>
        <v>#REF!</v>
      </c>
      <c r="E11" s="630" t="e">
        <f>#REF!</f>
        <v>#REF!</v>
      </c>
      <c r="F11" s="630" t="e">
        <f>#REF!</f>
        <v>#REF!</v>
      </c>
      <c r="G11" s="630" t="e">
        <f>#REF!</f>
        <v>#REF!</v>
      </c>
      <c r="H11" s="630" t="e">
        <f>#REF!</f>
        <v>#REF!</v>
      </c>
      <c r="I11" s="630" t="e">
        <f>#REF!</f>
        <v>#REF!</v>
      </c>
      <c r="J11" s="630" t="e">
        <f>#REF!</f>
        <v>#REF!</v>
      </c>
      <c r="K11" s="630" t="e">
        <f>#REF!</f>
        <v>#REF!</v>
      </c>
      <c r="L11" s="630" t="e">
        <f>#REF!</f>
        <v>#REF!</v>
      </c>
      <c r="M11" s="588"/>
    </row>
    <row r="12" spans="3:22">
      <c r="C12" s="629" t="s">
        <v>19</v>
      </c>
      <c r="D12" s="630" t="e">
        <f>#REF!</f>
        <v>#REF!</v>
      </c>
      <c r="E12" s="630" t="e">
        <f>#REF!</f>
        <v>#REF!</v>
      </c>
      <c r="F12" s="630" t="e">
        <f>#REF!</f>
        <v>#REF!</v>
      </c>
      <c r="G12" s="630" t="e">
        <f>#REF!</f>
        <v>#REF!</v>
      </c>
      <c r="H12" s="630" t="e">
        <f>#REF!</f>
        <v>#REF!</v>
      </c>
      <c r="I12" s="630" t="e">
        <f>#REF!</f>
        <v>#REF!</v>
      </c>
      <c r="J12" s="630" t="e">
        <f>#REF!</f>
        <v>#REF!</v>
      </c>
      <c r="K12" s="630" t="e">
        <f>#REF!</f>
        <v>#REF!</v>
      </c>
      <c r="L12" s="630" t="e">
        <f>#REF!</f>
        <v>#REF!</v>
      </c>
      <c r="M12" s="588"/>
    </row>
    <row r="13" spans="3:22">
      <c r="C13" s="629" t="s">
        <v>20</v>
      </c>
      <c r="D13" s="630" t="e">
        <f>#REF!</f>
        <v>#REF!</v>
      </c>
      <c r="E13" s="630" t="e">
        <f>#REF!</f>
        <v>#REF!</v>
      </c>
      <c r="F13" s="630" t="e">
        <f>#REF!</f>
        <v>#REF!</v>
      </c>
      <c r="G13" s="630" t="e">
        <f>#REF!</f>
        <v>#REF!</v>
      </c>
      <c r="H13" s="630" t="e">
        <f>#REF!</f>
        <v>#REF!</v>
      </c>
      <c r="I13" s="630" t="e">
        <f>#REF!</f>
        <v>#REF!</v>
      </c>
      <c r="J13" s="630" t="e">
        <f>#REF!</f>
        <v>#REF!</v>
      </c>
      <c r="K13" s="630" t="e">
        <f>#REF!</f>
        <v>#REF!</v>
      </c>
      <c r="L13" s="630" t="e">
        <f>#REF!</f>
        <v>#REF!</v>
      </c>
      <c r="M13" s="588"/>
      <c r="N13" s="591"/>
      <c r="O13" s="591"/>
      <c r="P13" s="591"/>
      <c r="Q13" s="591"/>
      <c r="R13" s="591"/>
      <c r="S13" s="591"/>
      <c r="T13" s="591"/>
      <c r="U13" s="591"/>
      <c r="V13" s="591"/>
    </row>
    <row r="14" spans="3:22">
      <c r="C14" s="629" t="s">
        <v>21</v>
      </c>
      <c r="D14" s="631" t="e">
        <f>#REF!</f>
        <v>#REF!</v>
      </c>
      <c r="E14" s="631" t="e">
        <f>#REF!</f>
        <v>#REF!</v>
      </c>
      <c r="F14" s="631" t="e">
        <f>#REF!</f>
        <v>#REF!</v>
      </c>
      <c r="G14" s="631" t="e">
        <f>#REF!</f>
        <v>#REF!</v>
      </c>
      <c r="H14" s="631" t="e">
        <f>#REF!</f>
        <v>#REF!</v>
      </c>
      <c r="I14" s="631" t="e">
        <f>#REF!</f>
        <v>#REF!</v>
      </c>
      <c r="J14" s="631" t="e">
        <f>#REF!</f>
        <v>#REF!</v>
      </c>
      <c r="K14" s="631" t="e">
        <f>#REF!</f>
        <v>#REF!</v>
      </c>
      <c r="L14" s="631" t="e">
        <f>#REF!</f>
        <v>#REF!</v>
      </c>
      <c r="M14" s="588"/>
      <c r="N14" s="612"/>
      <c r="O14" s="591"/>
      <c r="P14" s="591"/>
      <c r="Q14" s="591"/>
      <c r="R14" s="591"/>
      <c r="S14" s="591"/>
      <c r="T14" s="591"/>
      <c r="U14" s="591"/>
      <c r="V14" s="591"/>
    </row>
    <row r="15" spans="3:22" ht="25.5">
      <c r="C15" s="629" t="s">
        <v>22</v>
      </c>
      <c r="D15" s="631" t="e">
        <f>D13+D14</f>
        <v>#REF!</v>
      </c>
      <c r="E15" s="631" t="e">
        <f t="shared" ref="E15:K15" si="2">E13+E14</f>
        <v>#REF!</v>
      </c>
      <c r="F15" s="631" t="e">
        <f t="shared" si="2"/>
        <v>#REF!</v>
      </c>
      <c r="G15" s="631" t="e">
        <f t="shared" si="2"/>
        <v>#REF!</v>
      </c>
      <c r="H15" s="631" t="e">
        <f t="shared" si="2"/>
        <v>#REF!</v>
      </c>
      <c r="I15" s="631" t="e">
        <f t="shared" si="2"/>
        <v>#REF!</v>
      </c>
      <c r="J15" s="631" t="e">
        <f t="shared" si="2"/>
        <v>#REF!</v>
      </c>
      <c r="K15" s="631" t="e">
        <f t="shared" si="2"/>
        <v>#REF!</v>
      </c>
      <c r="L15" s="631" t="e">
        <f>L13+L14</f>
        <v>#REF!</v>
      </c>
      <c r="M15" s="588"/>
      <c r="N15" s="591"/>
      <c r="O15" s="591"/>
      <c r="P15" s="591"/>
      <c r="Q15" s="591"/>
      <c r="R15" s="591"/>
      <c r="S15" s="591"/>
      <c r="T15" s="591"/>
      <c r="U15" s="591"/>
      <c r="V15" s="591"/>
    </row>
    <row r="16" spans="3:22">
      <c r="C16" s="629" t="s">
        <v>23</v>
      </c>
      <c r="D16" s="631" t="e">
        <f>#REF!+#REF!+#REF!+#REF!+#REF!</f>
        <v>#REF!</v>
      </c>
      <c r="E16" s="631" t="e">
        <f>#REF!+#REF!+#REF!+#REF!+#REF!</f>
        <v>#REF!</v>
      </c>
      <c r="F16" s="631" t="e">
        <f>#REF!+#REF!+#REF!+#REF!+#REF!</f>
        <v>#REF!</v>
      </c>
      <c r="G16" s="631" t="e">
        <f>#REF!+#REF!+#REF!+#REF!+#REF!</f>
        <v>#REF!</v>
      </c>
      <c r="H16" s="631" t="e">
        <f>#REF!+#REF!+#REF!+#REF!+#REF!</f>
        <v>#REF!</v>
      </c>
      <c r="I16" s="631" t="e">
        <f>#REF!+#REF!+#REF!+#REF!+#REF!</f>
        <v>#REF!</v>
      </c>
      <c r="J16" s="631" t="e">
        <f>#REF!+#REF!+#REF!+#REF!+#REF!</f>
        <v>#REF!</v>
      </c>
      <c r="K16" s="631" t="e">
        <f>#REF!+#REF!+#REF!+#REF!+#REF!</f>
        <v>#REF!</v>
      </c>
      <c r="L16" s="631" t="e">
        <f>#REF!+#REF!+#REF!+#REF!+#REF!</f>
        <v>#REF!</v>
      </c>
      <c r="M16" s="588"/>
    </row>
    <row r="17" spans="3:22">
      <c r="C17" s="629" t="s">
        <v>24</v>
      </c>
      <c r="D17" s="631" t="e">
        <f>#REF!</f>
        <v>#REF!</v>
      </c>
      <c r="E17" s="631" t="e">
        <f>#REF!</f>
        <v>#REF!</v>
      </c>
      <c r="F17" s="631" t="e">
        <f>#REF!</f>
        <v>#REF!</v>
      </c>
      <c r="G17" s="631" t="e">
        <f>#REF!</f>
        <v>#REF!</v>
      </c>
      <c r="H17" s="631" t="e">
        <f>#REF!</f>
        <v>#REF!</v>
      </c>
      <c r="I17" s="631" t="e">
        <f>#REF!</f>
        <v>#REF!</v>
      </c>
      <c r="J17" s="631" t="e">
        <f>#REF!</f>
        <v>#REF!</v>
      </c>
      <c r="K17" s="631" t="e">
        <f>#REF!</f>
        <v>#REF!</v>
      </c>
      <c r="L17" s="631" t="e">
        <f>#REF!</f>
        <v>#REF!</v>
      </c>
      <c r="M17" s="592"/>
    </row>
    <row r="18" spans="3:22" ht="25.5">
      <c r="C18" s="629" t="s">
        <v>25</v>
      </c>
      <c r="D18" s="631" t="e">
        <f>#REF!</f>
        <v>#REF!</v>
      </c>
      <c r="E18" s="631" t="e">
        <f>#REF!</f>
        <v>#REF!</v>
      </c>
      <c r="F18" s="631" t="e">
        <f>#REF!</f>
        <v>#REF!</v>
      </c>
      <c r="G18" s="631" t="e">
        <f>#REF!</f>
        <v>#REF!</v>
      </c>
      <c r="H18" s="631" t="e">
        <f>#REF!</f>
        <v>#REF!</v>
      </c>
      <c r="I18" s="631" t="e">
        <f>#REF!</f>
        <v>#REF!</v>
      </c>
      <c r="J18" s="631" t="e">
        <f>#REF!</f>
        <v>#REF!</v>
      </c>
      <c r="K18" s="631" t="e">
        <f>#REF!</f>
        <v>#REF!</v>
      </c>
      <c r="L18" s="631" t="e">
        <f>#REF!</f>
        <v>#REF!</v>
      </c>
      <c r="M18" s="588"/>
    </row>
    <row r="19" spans="3:22" ht="51">
      <c r="C19" s="629" t="s">
        <v>26</v>
      </c>
      <c r="D19" s="631" t="e">
        <f>#REF!</f>
        <v>#REF!</v>
      </c>
      <c r="E19" s="631" t="e">
        <f>#REF!</f>
        <v>#REF!</v>
      </c>
      <c r="F19" s="631" t="e">
        <f>#REF!</f>
        <v>#REF!</v>
      </c>
      <c r="G19" s="631" t="e">
        <f>#REF!</f>
        <v>#REF!</v>
      </c>
      <c r="H19" s="631" t="e">
        <f>#REF!</f>
        <v>#REF!</v>
      </c>
      <c r="I19" s="631" t="e">
        <f>#REF!</f>
        <v>#REF!</v>
      </c>
      <c r="J19" s="631" t="e">
        <f>#REF!</f>
        <v>#REF!</v>
      </c>
      <c r="K19" s="631" t="e">
        <f>#REF!</f>
        <v>#REF!</v>
      </c>
      <c r="L19" s="631" t="e">
        <f>#REF!</f>
        <v>#REF!</v>
      </c>
      <c r="M19" s="588"/>
    </row>
    <row r="20" spans="3:22" ht="25.5">
      <c r="C20" s="629" t="s">
        <v>27</v>
      </c>
      <c r="D20" s="632">
        <v>0</v>
      </c>
      <c r="E20" s="632">
        <v>0</v>
      </c>
      <c r="F20" s="632">
        <v>0</v>
      </c>
      <c r="G20" s="632">
        <v>0</v>
      </c>
      <c r="H20" s="632">
        <v>0</v>
      </c>
      <c r="I20" s="632">
        <v>0</v>
      </c>
      <c r="J20" s="632">
        <v>0</v>
      </c>
      <c r="K20" s="632">
        <v>0</v>
      </c>
      <c r="L20" s="632">
        <v>0</v>
      </c>
      <c r="M20" s="588"/>
    </row>
    <row r="21" spans="3:22" ht="25.5">
      <c r="C21" s="629" t="s">
        <v>28</v>
      </c>
      <c r="D21" s="632">
        <v>0</v>
      </c>
      <c r="E21" s="632">
        <v>0</v>
      </c>
      <c r="F21" s="632">
        <v>0</v>
      </c>
      <c r="G21" s="632">
        <v>0</v>
      </c>
      <c r="H21" s="632">
        <v>0</v>
      </c>
      <c r="I21" s="632">
        <v>0</v>
      </c>
      <c r="J21" s="632">
        <v>0</v>
      </c>
      <c r="K21" s="632">
        <v>0</v>
      </c>
      <c r="L21" s="632">
        <v>0</v>
      </c>
      <c r="M21" s="588"/>
    </row>
    <row r="22" spans="3:22" ht="25.5">
      <c r="C22" s="629" t="s">
        <v>29</v>
      </c>
      <c r="D22" s="632">
        <v>0</v>
      </c>
      <c r="E22" s="632">
        <v>0</v>
      </c>
      <c r="F22" s="632">
        <v>0</v>
      </c>
      <c r="G22" s="632">
        <v>0</v>
      </c>
      <c r="H22" s="632">
        <v>0</v>
      </c>
      <c r="I22" s="632">
        <v>0</v>
      </c>
      <c r="J22" s="632">
        <v>0</v>
      </c>
      <c r="K22" s="632">
        <v>0</v>
      </c>
      <c r="L22" s="632">
        <v>0</v>
      </c>
      <c r="M22" s="588"/>
    </row>
    <row r="23" spans="3:22" ht="25.5">
      <c r="C23" s="629" t="s">
        <v>30</v>
      </c>
      <c r="D23" s="631" t="e">
        <f>#REF!</f>
        <v>#REF!</v>
      </c>
      <c r="E23" s="631" t="e">
        <f>#REF!</f>
        <v>#REF!</v>
      </c>
      <c r="F23" s="631" t="e">
        <f>#REF!</f>
        <v>#REF!</v>
      </c>
      <c r="G23" s="631" t="e">
        <f>#REF!</f>
        <v>#REF!</v>
      </c>
      <c r="H23" s="631" t="e">
        <f>#REF!</f>
        <v>#REF!</v>
      </c>
      <c r="I23" s="631" t="e">
        <f>#REF!</f>
        <v>#REF!</v>
      </c>
      <c r="J23" s="631" t="e">
        <f>#REF!</f>
        <v>#REF!</v>
      </c>
      <c r="K23" s="631" t="e">
        <f>#REF!</f>
        <v>#REF!</v>
      </c>
      <c r="L23" s="631" t="e">
        <f>#REF!</f>
        <v>#REF!</v>
      </c>
      <c r="M23" s="588"/>
      <c r="N23" s="613" t="e">
        <f>D23-D17-D19</f>
        <v>#REF!</v>
      </c>
      <c r="O23" s="613" t="e">
        <f t="shared" ref="O23:V23" si="3">E23-E17-E19</f>
        <v>#REF!</v>
      </c>
      <c r="P23" s="613" t="e">
        <f t="shared" si="3"/>
        <v>#REF!</v>
      </c>
      <c r="Q23" s="613" t="e">
        <f t="shared" si="3"/>
        <v>#REF!</v>
      </c>
      <c r="R23" s="613" t="e">
        <f t="shared" si="3"/>
        <v>#REF!</v>
      </c>
      <c r="S23" s="613" t="e">
        <f t="shared" si="3"/>
        <v>#REF!</v>
      </c>
      <c r="T23" s="613" t="e">
        <f t="shared" si="3"/>
        <v>#REF!</v>
      </c>
      <c r="U23" s="613" t="e">
        <f t="shared" si="3"/>
        <v>#REF!</v>
      </c>
      <c r="V23" s="613" t="e">
        <f t="shared" si="3"/>
        <v>#REF!</v>
      </c>
    </row>
    <row r="24" spans="3:22" ht="51">
      <c r="C24" s="629" t="s">
        <v>31</v>
      </c>
      <c r="D24" s="632">
        <v>0</v>
      </c>
      <c r="E24" s="632">
        <v>0</v>
      </c>
      <c r="F24" s="632">
        <v>0</v>
      </c>
      <c r="G24" s="632">
        <v>0</v>
      </c>
      <c r="H24" s="632">
        <v>0</v>
      </c>
      <c r="I24" s="632">
        <v>0</v>
      </c>
      <c r="J24" s="632">
        <v>0</v>
      </c>
      <c r="K24" s="632">
        <v>0</v>
      </c>
      <c r="L24" s="632">
        <v>0</v>
      </c>
      <c r="M24" s="588"/>
    </row>
    <row r="25" spans="3:22" ht="38.25">
      <c r="C25" s="629" t="s">
        <v>32</v>
      </c>
      <c r="D25" s="631" t="e">
        <f>D23-D24</f>
        <v>#REF!</v>
      </c>
      <c r="E25" s="633" t="e">
        <f t="shared" ref="E25:K25" si="4">E23-E24</f>
        <v>#REF!</v>
      </c>
      <c r="F25" s="633" t="e">
        <f t="shared" si="4"/>
        <v>#REF!</v>
      </c>
      <c r="G25" s="633" t="e">
        <f t="shared" si="4"/>
        <v>#REF!</v>
      </c>
      <c r="H25" s="633" t="e">
        <f t="shared" si="4"/>
        <v>#REF!</v>
      </c>
      <c r="I25" s="633" t="e">
        <f t="shared" si="4"/>
        <v>#REF!</v>
      </c>
      <c r="J25" s="633" t="e">
        <f t="shared" si="4"/>
        <v>#REF!</v>
      </c>
      <c r="K25" s="633" t="e">
        <f t="shared" si="4"/>
        <v>#REF!</v>
      </c>
      <c r="L25" s="633" t="e">
        <f>L23-L24</f>
        <v>#REF!</v>
      </c>
      <c r="M25" s="588"/>
    </row>
    <row r="26" spans="3:22" ht="25.5">
      <c r="C26" s="629" t="s">
        <v>33</v>
      </c>
      <c r="D26" s="632">
        <v>0</v>
      </c>
      <c r="E26" s="632">
        <v>0</v>
      </c>
      <c r="F26" s="632">
        <v>0</v>
      </c>
      <c r="G26" s="632">
        <v>0</v>
      </c>
      <c r="H26" s="632">
        <v>0</v>
      </c>
      <c r="I26" s="632">
        <v>0</v>
      </c>
      <c r="J26" s="632">
        <v>0</v>
      </c>
      <c r="K26" s="632">
        <v>0</v>
      </c>
      <c r="L26" s="632">
        <v>0</v>
      </c>
      <c r="M26" s="588"/>
    </row>
    <row r="27" spans="3:22">
      <c r="C27" s="629" t="s">
        <v>34</v>
      </c>
      <c r="D27" s="632">
        <f>'B  S '!E28+'B  S '!E29+'B  S '!E30</f>
        <v>2830</v>
      </c>
      <c r="E27" s="632">
        <f>'B  S '!F28+'B  S '!F29+'B  S '!F30</f>
        <v>2530</v>
      </c>
      <c r="F27" s="632">
        <f>'B  S '!G28+'B  S '!G29+'B  S '!G30</f>
        <v>2170</v>
      </c>
      <c r="G27" s="632">
        <f>'B  S '!H28+'B  S '!H29+'B  S '!H30</f>
        <v>1690</v>
      </c>
      <c r="H27" s="632">
        <f>'B  S '!I28+'B  S '!I29+'B  S '!I30</f>
        <v>1070</v>
      </c>
      <c r="I27" s="632">
        <f>'B  S '!J28+'B  S '!J29+'B  S '!J30</f>
        <v>406</v>
      </c>
      <c r="J27" s="632">
        <f>'B  S '!K28+'B  S '!K29+'B  S '!K30</f>
        <v>354.8</v>
      </c>
      <c r="K27" s="632">
        <f>'B  S '!L28+'B  S '!L29+'B  S '!L30</f>
        <v>163.84000000000003</v>
      </c>
      <c r="L27" s="632">
        <f>'B  S '!M28+'B  S '!M29+'B  S '!M30</f>
        <v>131.07200000000003</v>
      </c>
      <c r="M27" s="588"/>
    </row>
    <row r="28" spans="3:22">
      <c r="C28" s="629" t="s">
        <v>35</v>
      </c>
      <c r="D28" s="632">
        <f>'B  S '!E28+'B  S '!E30</f>
        <v>2430</v>
      </c>
      <c r="E28" s="632">
        <f>'B  S '!F28+'B  S '!F30</f>
        <v>2130</v>
      </c>
      <c r="F28" s="632">
        <f>'B  S '!G28+'B  S '!G30</f>
        <v>1770</v>
      </c>
      <c r="G28" s="632">
        <f>'B  S '!H28+'B  S '!H30</f>
        <v>1290</v>
      </c>
      <c r="H28" s="632">
        <f>'B  S '!I28+'B  S '!I30</f>
        <v>750</v>
      </c>
      <c r="I28" s="632">
        <f>'B  S '!J28+'B  S '!J30</f>
        <v>150</v>
      </c>
      <c r="J28" s="632">
        <f>'B  S '!K28+'B  S '!K30</f>
        <v>150</v>
      </c>
      <c r="K28" s="632">
        <f>'B  S '!L28+'B  S '!L30</f>
        <v>0</v>
      </c>
      <c r="L28" s="632">
        <f>'B  S '!M28+'B  S '!M30</f>
        <v>0</v>
      </c>
      <c r="M28" s="588"/>
    </row>
    <row r="29" spans="3:22">
      <c r="C29" s="629" t="s">
        <v>36</v>
      </c>
      <c r="D29" s="632">
        <f>'B  S '!E29</f>
        <v>400</v>
      </c>
      <c r="E29" s="632">
        <f>'B  S '!F29</f>
        <v>400</v>
      </c>
      <c r="F29" s="632">
        <f>'B  S '!G29</f>
        <v>400</v>
      </c>
      <c r="G29" s="632">
        <f>'B  S '!H29</f>
        <v>400</v>
      </c>
      <c r="H29" s="632">
        <f>'B  S '!I29</f>
        <v>320</v>
      </c>
      <c r="I29" s="632">
        <f>'B  S '!J29</f>
        <v>256</v>
      </c>
      <c r="J29" s="632">
        <f>'B  S '!K29</f>
        <v>204.8</v>
      </c>
      <c r="K29" s="632">
        <f>'B  S '!L29</f>
        <v>163.84000000000003</v>
      </c>
      <c r="L29" s="632">
        <f>'B  S '!M29</f>
        <v>131.07200000000003</v>
      </c>
      <c r="M29" s="588"/>
    </row>
    <row r="30" spans="3:22" ht="102">
      <c r="C30" s="629" t="s">
        <v>37</v>
      </c>
      <c r="D30" s="632">
        <v>0</v>
      </c>
      <c r="E30" s="632">
        <v>0</v>
      </c>
      <c r="F30" s="632">
        <v>0</v>
      </c>
      <c r="G30" s="632">
        <v>0</v>
      </c>
      <c r="H30" s="632">
        <v>0</v>
      </c>
      <c r="I30" s="632">
        <v>0</v>
      </c>
      <c r="J30" s="632">
        <v>0</v>
      </c>
      <c r="K30" s="632">
        <v>0</v>
      </c>
      <c r="L30" s="632">
        <v>0</v>
      </c>
      <c r="M30" s="588"/>
    </row>
    <row r="31" spans="3:22">
      <c r="C31" s="629" t="s">
        <v>38</v>
      </c>
      <c r="D31" s="633" t="e">
        <f>#REF!</f>
        <v>#REF!</v>
      </c>
      <c r="E31" s="633" t="e">
        <f>#REF!</f>
        <v>#REF!</v>
      </c>
      <c r="F31" s="633" t="e">
        <f>#REF!</f>
        <v>#REF!</v>
      </c>
      <c r="G31" s="633" t="e">
        <f>#REF!</f>
        <v>#REF!</v>
      </c>
      <c r="H31" s="633" t="e">
        <f>#REF!</f>
        <v>#REF!</v>
      </c>
      <c r="I31" s="633" t="e">
        <f>#REF!</f>
        <v>#REF!</v>
      </c>
      <c r="J31" s="633" t="e">
        <f>#REF!</f>
        <v>#REF!</v>
      </c>
      <c r="K31" s="633" t="e">
        <f>#REF!</f>
        <v>#REF!</v>
      </c>
      <c r="L31" s="633">
        <f>[13]CMA!M192</f>
        <v>2230.0313753319615</v>
      </c>
      <c r="M31" s="588"/>
    </row>
    <row r="32" spans="3:22">
      <c r="C32" s="637" t="s">
        <v>39</v>
      </c>
      <c r="D32" s="631" t="e">
        <f>#REF!</f>
        <v>#REF!</v>
      </c>
      <c r="E32" s="631" t="e">
        <f>#REF!</f>
        <v>#REF!</v>
      </c>
      <c r="F32" s="631" t="e">
        <f>#REF!</f>
        <v>#REF!</v>
      </c>
      <c r="G32" s="631" t="e">
        <f>#REF!</f>
        <v>#REF!</v>
      </c>
      <c r="H32" s="631" t="e">
        <f>#REF!</f>
        <v>#REF!</v>
      </c>
      <c r="I32" s="631" t="e">
        <f>#REF!</f>
        <v>#REF!</v>
      </c>
      <c r="J32" s="631" t="e">
        <f>#REF!</f>
        <v>#REF!</v>
      </c>
      <c r="K32" s="631" t="e">
        <f>#REF!</f>
        <v>#REF!</v>
      </c>
      <c r="L32" s="631">
        <f>[13]CMA!M166</f>
        <v>463.14585074152654</v>
      </c>
      <c r="M32" s="588"/>
    </row>
    <row r="33" spans="3:13" ht="25.5">
      <c r="C33" s="637" t="s">
        <v>40</v>
      </c>
      <c r="D33" s="631" t="e">
        <f>#REF!</f>
        <v>#REF!</v>
      </c>
      <c r="E33" s="631" t="e">
        <f>#REF!</f>
        <v>#REF!</v>
      </c>
      <c r="F33" s="631" t="e">
        <f>#REF!</f>
        <v>#REF!</v>
      </c>
      <c r="G33" s="631" t="e">
        <f>#REF!</f>
        <v>#REF!</v>
      </c>
      <c r="H33" s="631" t="e">
        <f>#REF!</f>
        <v>#REF!</v>
      </c>
      <c r="I33" s="631" t="e">
        <f>#REF!</f>
        <v>#REF!</v>
      </c>
      <c r="J33" s="631" t="e">
        <f>#REF!</f>
        <v>#REF!</v>
      </c>
      <c r="K33" s="631" t="e">
        <f>#REF!</f>
        <v>#REF!</v>
      </c>
      <c r="L33" s="631">
        <f>[13]CMA!M188</f>
        <v>535</v>
      </c>
      <c r="M33" s="588"/>
    </row>
    <row r="34" spans="3:13" ht="25.5">
      <c r="C34" s="629" t="s">
        <v>41</v>
      </c>
      <c r="D34" s="633" t="e">
        <f>#REF!</f>
        <v>#REF!</v>
      </c>
      <c r="E34" s="633" t="e">
        <f>#REF!</f>
        <v>#REF!</v>
      </c>
      <c r="F34" s="633" t="e">
        <f>#REF!</f>
        <v>#REF!</v>
      </c>
      <c r="G34" s="633" t="e">
        <f>#REF!</f>
        <v>#REF!</v>
      </c>
      <c r="H34" s="633" t="e">
        <f>#REF!</f>
        <v>#REF!</v>
      </c>
      <c r="I34" s="633" t="e">
        <f>#REF!</f>
        <v>#REF!</v>
      </c>
      <c r="J34" s="633" t="e">
        <f>#REF!</f>
        <v>#REF!</v>
      </c>
      <c r="K34" s="633" t="e">
        <f>#REF!</f>
        <v>#REF!</v>
      </c>
      <c r="L34" s="633">
        <f>[13]CMA!M178</f>
        <v>1231.8855245904351</v>
      </c>
      <c r="M34" s="588"/>
    </row>
    <row r="35" spans="3:13" ht="25.5">
      <c r="C35" s="629" t="s">
        <v>42</v>
      </c>
      <c r="D35" s="631" t="e">
        <f>#REF!</f>
        <v>#REF!</v>
      </c>
      <c r="E35" s="631" t="e">
        <f>#REF!</f>
        <v>#REF!</v>
      </c>
      <c r="F35" s="631" t="e">
        <f>#REF!</f>
        <v>#REF!</v>
      </c>
      <c r="G35" s="631" t="e">
        <f>#REF!</f>
        <v>#REF!</v>
      </c>
      <c r="H35" s="631" t="e">
        <f>#REF!</f>
        <v>#REF!</v>
      </c>
      <c r="I35" s="631" t="e">
        <f>#REF!</f>
        <v>#REF!</v>
      </c>
      <c r="J35" s="631" t="e">
        <f>#REF!</f>
        <v>#REF!</v>
      </c>
      <c r="K35" s="631" t="e">
        <f>#REF!</f>
        <v>#REF!</v>
      </c>
      <c r="L35" s="631">
        <f>[13]CMA!M205</f>
        <v>426.5887767715713</v>
      </c>
      <c r="M35" s="588"/>
    </row>
    <row r="36" spans="3:13">
      <c r="C36" s="629" t="s">
        <v>43</v>
      </c>
      <c r="D36" s="631" t="e">
        <f>#REF!</f>
        <v>#REF!</v>
      </c>
      <c r="E36" s="631" t="e">
        <f>#REF!</f>
        <v>#REF!</v>
      </c>
      <c r="F36" s="631" t="e">
        <f>#REF!</f>
        <v>#REF!</v>
      </c>
      <c r="G36" s="631" t="e">
        <f>#REF!</f>
        <v>#REF!</v>
      </c>
      <c r="H36" s="631" t="e">
        <f>#REF!</f>
        <v>#REF!</v>
      </c>
      <c r="I36" s="631" t="e">
        <f>#REF!</f>
        <v>#REF!</v>
      </c>
      <c r="J36" s="631" t="e">
        <f>#REF!</f>
        <v>#REF!</v>
      </c>
      <c r="K36" s="631" t="e">
        <f>#REF!</f>
        <v>#REF!</v>
      </c>
      <c r="L36" s="631">
        <f>[13]CMA!M203</f>
        <v>12.669117094058651</v>
      </c>
      <c r="M36" s="588"/>
    </row>
    <row r="37" spans="3:13">
      <c r="C37" s="629" t="s">
        <v>44</v>
      </c>
      <c r="D37" s="631" t="e">
        <f>#REF!</f>
        <v>#REF!</v>
      </c>
      <c r="E37" s="631" t="e">
        <f>#REF!</f>
        <v>#REF!</v>
      </c>
      <c r="F37" s="631" t="e">
        <f>#REF!</f>
        <v>#REF!</v>
      </c>
      <c r="G37" s="631" t="e">
        <f>#REF!</f>
        <v>#REF!</v>
      </c>
      <c r="H37" s="631" t="e">
        <f>#REF!</f>
        <v>#REF!</v>
      </c>
      <c r="I37" s="631" t="e">
        <f>#REF!</f>
        <v>#REF!</v>
      </c>
      <c r="J37" s="631" t="e">
        <f>#REF!</f>
        <v>#REF!</v>
      </c>
      <c r="K37" s="631" t="e">
        <f>#REF!</f>
        <v>#REF!</v>
      </c>
      <c r="L37" s="631">
        <f>[13]CMA!M204</f>
        <v>0.24341417863552536</v>
      </c>
      <c r="M37" s="588"/>
    </row>
    <row r="38" spans="3:13" ht="25.5">
      <c r="C38" s="629" t="s">
        <v>45</v>
      </c>
      <c r="D38" s="631" t="e">
        <f>D28/D25</f>
        <v>#REF!</v>
      </c>
      <c r="E38" s="631" t="e">
        <f t="shared" ref="E38:K38" si="5">E28/E25</f>
        <v>#REF!</v>
      </c>
      <c r="F38" s="631" t="e">
        <f t="shared" si="5"/>
        <v>#REF!</v>
      </c>
      <c r="G38" s="631" t="e">
        <f t="shared" si="5"/>
        <v>#REF!</v>
      </c>
      <c r="H38" s="631" t="e">
        <f t="shared" si="5"/>
        <v>#REF!</v>
      </c>
      <c r="I38" s="631" t="e">
        <f t="shared" si="5"/>
        <v>#REF!</v>
      </c>
      <c r="J38" s="631" t="e">
        <f t="shared" si="5"/>
        <v>#REF!</v>
      </c>
      <c r="K38" s="631" t="e">
        <f t="shared" si="5"/>
        <v>#REF!</v>
      </c>
      <c r="L38" s="631" t="e">
        <f>L27/L25</f>
        <v>#REF!</v>
      </c>
      <c r="M38" s="588"/>
    </row>
    <row r="39" spans="3:13" ht="25.5">
      <c r="C39" s="629" t="s">
        <v>46</v>
      </c>
      <c r="D39" s="631" t="e">
        <f>#REF!</f>
        <v>#REF!</v>
      </c>
      <c r="E39" s="631" t="e">
        <f>#REF!</f>
        <v>#REF!</v>
      </c>
      <c r="F39" s="631" t="e">
        <f>#REF!</f>
        <v>#REF!</v>
      </c>
      <c r="G39" s="631" t="e">
        <f>#REF!</f>
        <v>#REF!</v>
      </c>
      <c r="H39" s="631" t="e">
        <f>#REF!</f>
        <v>#REF!</v>
      </c>
      <c r="I39" s="631" t="e">
        <f>#REF!</f>
        <v>#REF!</v>
      </c>
      <c r="J39" s="631" t="e">
        <f>#REF!</f>
        <v>#REF!</v>
      </c>
      <c r="K39" s="631" t="e">
        <f>#REF!</f>
        <v>#REF!</v>
      </c>
      <c r="L39" s="631">
        <f>[13]CMA!M390</f>
        <v>0.19902538803344155</v>
      </c>
      <c r="M39" s="588"/>
    </row>
    <row r="40" spans="3:13" ht="25.5">
      <c r="C40" s="629" t="s">
        <v>47</v>
      </c>
      <c r="D40" s="631" t="e">
        <f>D11/D9</f>
        <v>#REF!</v>
      </c>
      <c r="E40" s="631" t="e">
        <f t="shared" ref="E40:K40" si="6">E11/E9</f>
        <v>#REF!</v>
      </c>
      <c r="F40" s="631" t="e">
        <f t="shared" si="6"/>
        <v>#REF!</v>
      </c>
      <c r="G40" s="631" t="e">
        <f t="shared" si="6"/>
        <v>#REF!</v>
      </c>
      <c r="H40" s="631" t="e">
        <f t="shared" si="6"/>
        <v>#REF!</v>
      </c>
      <c r="I40" s="631" t="e">
        <f t="shared" si="6"/>
        <v>#REF!</v>
      </c>
      <c r="J40" s="631" t="e">
        <f t="shared" si="6"/>
        <v>#REF!</v>
      </c>
      <c r="K40" s="631" t="e">
        <f t="shared" si="6"/>
        <v>#REF!</v>
      </c>
      <c r="L40" s="631" t="e">
        <f>L11/L9</f>
        <v>#REF!</v>
      </c>
      <c r="M40" s="588"/>
    </row>
    <row r="41" spans="3:13" ht="25.5">
      <c r="C41" s="629" t="s">
        <v>48</v>
      </c>
      <c r="D41" s="633" t="e">
        <f>#REF!</f>
        <v>#REF!</v>
      </c>
      <c r="E41" s="633" t="e">
        <f>#REF!</f>
        <v>#REF!</v>
      </c>
      <c r="F41" s="633" t="e">
        <f>#REF!</f>
        <v>#REF!</v>
      </c>
      <c r="G41" s="633" t="e">
        <f>#REF!</f>
        <v>#REF!</v>
      </c>
      <c r="H41" s="633" t="e">
        <f>#REF!</f>
        <v>#REF!</v>
      </c>
      <c r="I41" s="633" t="e">
        <f>#REF!</f>
        <v>#REF!</v>
      </c>
      <c r="J41" s="633" t="e">
        <f>#REF!</f>
        <v>#REF!</v>
      </c>
      <c r="K41" s="633" t="e">
        <f>#REF!</f>
        <v>#REF!</v>
      </c>
      <c r="L41" s="633">
        <f>[13]CMA!M306</f>
        <v>299.06612036358581</v>
      </c>
      <c r="M41" s="588"/>
    </row>
    <row r="42" spans="3:13">
      <c r="C42" s="629" t="s">
        <v>49</v>
      </c>
      <c r="D42" s="633" t="e">
        <f>#REF!</f>
        <v>#REF!</v>
      </c>
      <c r="E42" s="633" t="e">
        <f>#REF!</f>
        <v>#REF!</v>
      </c>
      <c r="F42" s="633" t="e">
        <f>#REF!</f>
        <v>#REF!</v>
      </c>
      <c r="G42" s="633" t="e">
        <f>#REF!</f>
        <v>#REF!</v>
      </c>
      <c r="H42" s="633" t="e">
        <f>#REF!</f>
        <v>#REF!</v>
      </c>
      <c r="I42" s="633" t="e">
        <f>#REF!</f>
        <v>#REF!</v>
      </c>
      <c r="J42" s="633" t="e">
        <f>#REF!</f>
        <v>#REF!</v>
      </c>
      <c r="K42" s="633" t="e">
        <f>#REF!</f>
        <v>#REF!</v>
      </c>
      <c r="L42" s="633">
        <f>[13]CMA!M307</f>
        <v>200</v>
      </c>
      <c r="M42" s="588"/>
    </row>
    <row r="43" spans="3:13">
      <c r="C43" s="629" t="s">
        <v>50</v>
      </c>
      <c r="D43" s="633" t="e">
        <f>D41-D42</f>
        <v>#REF!</v>
      </c>
      <c r="E43" s="633" t="e">
        <f t="shared" ref="E43:L43" si="7">E41-E42</f>
        <v>#REF!</v>
      </c>
      <c r="F43" s="633" t="e">
        <f t="shared" si="7"/>
        <v>#REF!</v>
      </c>
      <c r="G43" s="633" t="e">
        <f t="shared" si="7"/>
        <v>#REF!</v>
      </c>
      <c r="H43" s="633" t="e">
        <f t="shared" si="7"/>
        <v>#REF!</v>
      </c>
      <c r="I43" s="633" t="e">
        <f t="shared" si="7"/>
        <v>#REF!</v>
      </c>
      <c r="J43" s="633" t="e">
        <f t="shared" si="7"/>
        <v>#REF!</v>
      </c>
      <c r="K43" s="633" t="e">
        <f t="shared" si="7"/>
        <v>#REF!</v>
      </c>
      <c r="L43" s="633">
        <f t="shared" si="7"/>
        <v>99.06612036358581</v>
      </c>
      <c r="M43" s="588"/>
    </row>
    <row r="44" spans="3:13" ht="25.5">
      <c r="C44" s="629" t="s">
        <v>51</v>
      </c>
      <c r="D44" s="631" t="e">
        <f>#REF!</f>
        <v>#REF!</v>
      </c>
      <c r="E44" s="631" t="e">
        <f>#REF!</f>
        <v>#REF!</v>
      </c>
      <c r="F44" s="631" t="e">
        <f>#REF!</f>
        <v>#REF!</v>
      </c>
      <c r="G44" s="631" t="e">
        <f>#REF!</f>
        <v>#REF!</v>
      </c>
      <c r="H44" s="631" t="e">
        <f>#REF!</f>
        <v>#REF!</v>
      </c>
      <c r="I44" s="631" t="e">
        <f>#REF!</f>
        <v>#REF!</v>
      </c>
      <c r="J44" s="631" t="e">
        <f>#REF!</f>
        <v>#REF!</v>
      </c>
      <c r="K44" s="631" t="e">
        <f>#REF!</f>
        <v>#REF!</v>
      </c>
      <c r="L44" s="631">
        <f>[13]CMA!M311</f>
        <v>0</v>
      </c>
      <c r="M44" s="588"/>
    </row>
    <row r="45" spans="3:13">
      <c r="C45" s="629" t="s">
        <v>52</v>
      </c>
      <c r="D45" s="631" t="e">
        <f>#REF!</f>
        <v>#REF!</v>
      </c>
      <c r="E45" s="631" t="e">
        <f>#REF!</f>
        <v>#REF!</v>
      </c>
      <c r="F45" s="631" t="e">
        <f>#REF!</f>
        <v>#REF!</v>
      </c>
      <c r="G45" s="631" t="e">
        <f>#REF!</f>
        <v>#REF!</v>
      </c>
      <c r="H45" s="631" t="e">
        <f>#REF!</f>
        <v>#REF!</v>
      </c>
      <c r="I45" s="631" t="e">
        <f>#REF!</f>
        <v>#REF!</v>
      </c>
      <c r="J45" s="631" t="e">
        <f>#REF!</f>
        <v>#REF!</v>
      </c>
      <c r="K45" s="631" t="e">
        <f>#REF!</f>
        <v>#REF!</v>
      </c>
      <c r="L45" s="631">
        <f>[13]CMA!M312</f>
        <v>99.066120363586123</v>
      </c>
      <c r="M45" s="588"/>
    </row>
    <row r="46" spans="3:13" ht="25.5">
      <c r="C46" s="629" t="s">
        <v>53</v>
      </c>
      <c r="D46" s="631" t="e">
        <f>D44-D45</f>
        <v>#REF!</v>
      </c>
      <c r="E46" s="631" t="e">
        <f t="shared" ref="E46:L46" si="8">E44-E45</f>
        <v>#REF!</v>
      </c>
      <c r="F46" s="631" t="e">
        <f t="shared" si="8"/>
        <v>#REF!</v>
      </c>
      <c r="G46" s="631" t="e">
        <f t="shared" si="8"/>
        <v>#REF!</v>
      </c>
      <c r="H46" s="631" t="e">
        <f t="shared" si="8"/>
        <v>#REF!</v>
      </c>
      <c r="I46" s="631" t="e">
        <f t="shared" si="8"/>
        <v>#REF!</v>
      </c>
      <c r="J46" s="631" t="e">
        <f t="shared" si="8"/>
        <v>#REF!</v>
      </c>
      <c r="K46" s="631" t="e">
        <f t="shared" si="8"/>
        <v>#REF!</v>
      </c>
      <c r="L46" s="631">
        <f t="shared" si="8"/>
        <v>-99.066120363586123</v>
      </c>
      <c r="M46" s="588"/>
    </row>
    <row r="48" spans="3:13">
      <c r="D48" s="591" t="e">
        <f>D43+D46</f>
        <v>#REF!</v>
      </c>
      <c r="E48" s="591" t="e">
        <f t="shared" ref="E48:K48" si="9">E43+E46</f>
        <v>#REF!</v>
      </c>
      <c r="F48" s="591" t="e">
        <f t="shared" si="9"/>
        <v>#REF!</v>
      </c>
      <c r="G48" s="591" t="e">
        <f t="shared" si="9"/>
        <v>#REF!</v>
      </c>
      <c r="H48" s="591" t="e">
        <f t="shared" si="9"/>
        <v>#REF!</v>
      </c>
      <c r="I48" s="591" t="e">
        <f t="shared" si="9"/>
        <v>#REF!</v>
      </c>
      <c r="J48" s="591" t="e">
        <f t="shared" si="9"/>
        <v>#REF!</v>
      </c>
      <c r="K48" s="591" t="e">
        <f t="shared" si="9"/>
        <v>#REF!</v>
      </c>
      <c r="L48" s="591">
        <f>L43+L46</f>
        <v>-3.1263880373444408E-13</v>
      </c>
    </row>
    <row r="51" spans="3:12">
      <c r="C51" s="638" t="s">
        <v>54</v>
      </c>
    </row>
    <row r="53" spans="3:12">
      <c r="C53" s="638" t="s">
        <v>55</v>
      </c>
      <c r="E53" s="593" t="s">
        <v>56</v>
      </c>
      <c r="F53" s="594">
        <f>'CAPITAL COST'!D50</f>
        <v>2700</v>
      </c>
      <c r="G53" s="593" t="s">
        <v>57</v>
      </c>
    </row>
    <row r="54" spans="3:12">
      <c r="C54" s="638"/>
      <c r="F54" s="593"/>
      <c r="G54" s="593"/>
    </row>
    <row r="55" spans="3:12">
      <c r="C55" s="638" t="s">
        <v>58</v>
      </c>
      <c r="E55" s="593" t="s">
        <v>56</v>
      </c>
      <c r="F55" s="594">
        <v>0</v>
      </c>
      <c r="G55" s="593" t="s">
        <v>57</v>
      </c>
    </row>
    <row r="56" spans="3:12">
      <c r="C56" s="638"/>
    </row>
    <row r="57" spans="3:12">
      <c r="C57" s="638"/>
    </row>
    <row r="58" spans="3:12">
      <c r="C58" s="638"/>
    </row>
    <row r="59" spans="3:12" ht="38.25">
      <c r="C59" s="639" t="s">
        <v>59</v>
      </c>
    </row>
    <row r="60" spans="3:12">
      <c r="C60" s="639"/>
    </row>
    <row r="61" spans="3:12" ht="38.25" customHeight="1">
      <c r="C61" s="639" t="s">
        <v>60</v>
      </c>
    </row>
    <row r="62" spans="3:12">
      <c r="C62" s="640"/>
      <c r="D62" s="596" t="str">
        <f>D3</f>
        <v>2014-15</v>
      </c>
      <c r="E62" s="596" t="str">
        <f t="shared" ref="E62:K62" si="10">E3</f>
        <v>2015-16</v>
      </c>
      <c r="F62" s="596" t="str">
        <f t="shared" si="10"/>
        <v>2016-17</v>
      </c>
      <c r="G62" s="596" t="str">
        <f t="shared" si="10"/>
        <v>2017-18</v>
      </c>
      <c r="H62" s="596" t="str">
        <f t="shared" si="10"/>
        <v>2018-19</v>
      </c>
      <c r="I62" s="596" t="str">
        <f t="shared" si="10"/>
        <v>2019-20</v>
      </c>
      <c r="J62" s="596" t="str">
        <f t="shared" si="10"/>
        <v>2020-21</v>
      </c>
      <c r="K62" s="596" t="str">
        <f t="shared" si="10"/>
        <v>2021-22</v>
      </c>
      <c r="L62" s="596" t="str">
        <f>L3</f>
        <v>2022-23</v>
      </c>
    </row>
    <row r="63" spans="3:12">
      <c r="C63" s="640" t="s">
        <v>61</v>
      </c>
      <c r="D63" s="597" t="e">
        <f>#REF!</f>
        <v>#REF!</v>
      </c>
      <c r="E63" s="597" t="e">
        <f>#REF!</f>
        <v>#REF!</v>
      </c>
      <c r="F63" s="597" t="e">
        <f>#REF!</f>
        <v>#REF!</v>
      </c>
      <c r="G63" s="597" t="e">
        <f>#REF!</f>
        <v>#REF!</v>
      </c>
      <c r="H63" s="597" t="e">
        <f>#REF!</f>
        <v>#REF!</v>
      </c>
      <c r="I63" s="597" t="e">
        <f>#REF!</f>
        <v>#REF!</v>
      </c>
      <c r="J63" s="597" t="e">
        <f>#REF!</f>
        <v>#REF!</v>
      </c>
      <c r="K63" s="597" t="e">
        <f>#REF!</f>
        <v>#REF!</v>
      </c>
      <c r="L63" s="597" t="e">
        <f>#REF!</f>
        <v>#REF!</v>
      </c>
    </row>
    <row r="64" spans="3:12">
      <c r="C64" s="640" t="s">
        <v>62</v>
      </c>
      <c r="D64" s="597" t="e">
        <f>D15</f>
        <v>#REF!</v>
      </c>
      <c r="E64" s="597" t="e">
        <f t="shared" ref="E64:K64" si="11">E15</f>
        <v>#REF!</v>
      </c>
      <c r="F64" s="597" t="e">
        <f t="shared" si="11"/>
        <v>#REF!</v>
      </c>
      <c r="G64" s="597" t="e">
        <f t="shared" si="11"/>
        <v>#REF!</v>
      </c>
      <c r="H64" s="597" t="e">
        <f t="shared" si="11"/>
        <v>#REF!</v>
      </c>
      <c r="I64" s="597" t="e">
        <f t="shared" si="11"/>
        <v>#REF!</v>
      </c>
      <c r="J64" s="597" t="e">
        <f t="shared" si="11"/>
        <v>#REF!</v>
      </c>
      <c r="K64" s="597" t="e">
        <f t="shared" si="11"/>
        <v>#REF!</v>
      </c>
      <c r="L64" s="597" t="e">
        <f>L15</f>
        <v>#REF!</v>
      </c>
    </row>
    <row r="65" spans="3:12">
      <c r="C65" s="629" t="s">
        <v>63</v>
      </c>
      <c r="D65" s="1027" t="e">
        <f>#REF!</f>
        <v>#REF!</v>
      </c>
      <c r="E65" s="1028"/>
      <c r="F65" s="1028"/>
      <c r="G65" s="1028"/>
      <c r="H65" s="1028"/>
      <c r="I65" s="1028"/>
      <c r="J65" s="1028"/>
      <c r="K65" s="1028"/>
      <c r="L65" s="1029"/>
    </row>
    <row r="66" spans="3:12">
      <c r="C66" s="629" t="s">
        <v>64</v>
      </c>
      <c r="D66" s="1031" t="e">
        <f>#REF!</f>
        <v>#REF!</v>
      </c>
      <c r="E66" s="1028"/>
      <c r="F66" s="1028"/>
      <c r="G66" s="1028"/>
      <c r="H66" s="1028"/>
      <c r="I66" s="1028"/>
      <c r="J66" s="1028"/>
      <c r="K66" s="1028"/>
      <c r="L66" s="1029"/>
    </row>
    <row r="67" spans="3:12">
      <c r="C67" s="641"/>
    </row>
    <row r="68" spans="3:12">
      <c r="C68" s="641"/>
    </row>
    <row r="69" spans="3:12" ht="39.75" customHeight="1">
      <c r="C69" s="639" t="s">
        <v>65</v>
      </c>
    </row>
    <row r="70" spans="3:12">
      <c r="C70" s="640"/>
      <c r="D70" s="596" t="str">
        <f>D62</f>
        <v>2014-15</v>
      </c>
      <c r="E70" s="596" t="str">
        <f t="shared" ref="E70:K70" si="12">E62</f>
        <v>2015-16</v>
      </c>
      <c r="F70" s="596" t="str">
        <f t="shared" si="12"/>
        <v>2016-17</v>
      </c>
      <c r="G70" s="596" t="str">
        <f t="shared" si="12"/>
        <v>2017-18</v>
      </c>
      <c r="H70" s="596" t="str">
        <f t="shared" si="12"/>
        <v>2018-19</v>
      </c>
      <c r="I70" s="596" t="str">
        <f t="shared" si="12"/>
        <v>2019-20</v>
      </c>
      <c r="J70" s="596" t="str">
        <f t="shared" si="12"/>
        <v>2020-21</v>
      </c>
      <c r="K70" s="596" t="str">
        <f t="shared" si="12"/>
        <v>2021-22</v>
      </c>
      <c r="L70" s="596" t="str">
        <f>L62</f>
        <v>2022-23</v>
      </c>
    </row>
    <row r="71" spans="3:12">
      <c r="C71" s="640" t="s">
        <v>61</v>
      </c>
      <c r="D71" s="614">
        <f>'P  L _Case_II'!D55</f>
        <v>173.26791172472554</v>
      </c>
      <c r="E71" s="614">
        <f>'P  L _Case_II'!E55</f>
        <v>259.13864933456512</v>
      </c>
      <c r="F71" s="614">
        <f>'P  L _Case_II'!F55</f>
        <v>363.52877137938458</v>
      </c>
      <c r="G71" s="614">
        <f>'P  L _Case_II'!G55</f>
        <v>443.49834472351631</v>
      </c>
      <c r="H71" s="614">
        <f>'P  L _Case_II'!H55</f>
        <v>601.81444812284644</v>
      </c>
      <c r="I71" s="614">
        <f>'P  L _Case_II'!I55</f>
        <v>588.88066894941812</v>
      </c>
      <c r="J71" s="614">
        <f>'P  L _Case_II'!J55</f>
        <v>606.32651964812953</v>
      </c>
      <c r="K71" s="614">
        <f>'P  L _Case_II'!K55</f>
        <v>587.36813182955757</v>
      </c>
      <c r="L71" s="614">
        <f>'P  L _Case_II'!L55</f>
        <v>573.09373571618767</v>
      </c>
    </row>
    <row r="72" spans="3:12">
      <c r="C72" s="640" t="s">
        <v>62</v>
      </c>
      <c r="D72" s="614">
        <f>D71+'P  L _Case_II'!D49</f>
        <v>625.46197142138726</v>
      </c>
      <c r="E72" s="614">
        <f>E71+'P  L _Case_II'!E49</f>
        <v>711.33270903122684</v>
      </c>
      <c r="F72" s="614">
        <f>F71+'P  L _Case_II'!F49</f>
        <v>815.7228310760463</v>
      </c>
      <c r="G72" s="614">
        <f>G71+'P  L _Case_II'!G49</f>
        <v>895.69240442017804</v>
      </c>
      <c r="H72" s="614">
        <f>H71+'P  L _Case_II'!H49</f>
        <v>1054.0085078195082</v>
      </c>
      <c r="I72" s="614">
        <f>I71+'P  L _Case_II'!I49</f>
        <v>1041.0747286460798</v>
      </c>
      <c r="J72" s="614">
        <f>J71+'P  L _Case_II'!J49</f>
        <v>1058.5205793447913</v>
      </c>
      <c r="K72" s="614">
        <f>K71+'P  L _Case_II'!K49</f>
        <v>1039.5621915262193</v>
      </c>
      <c r="L72" s="614">
        <f>L71+'P  L _Case_II'!L49</f>
        <v>1025.2877954128494</v>
      </c>
    </row>
    <row r="73" spans="3:12">
      <c r="C73" s="629" t="s">
        <v>63</v>
      </c>
      <c r="D73" s="1027" t="e">
        <f>'P  L _Case_II'!D71</f>
        <v>#REF!</v>
      </c>
      <c r="E73" s="1028"/>
      <c r="F73" s="1028"/>
      <c r="G73" s="1028"/>
      <c r="H73" s="1028"/>
      <c r="I73" s="1028"/>
      <c r="J73" s="1028"/>
      <c r="K73" s="1029"/>
      <c r="L73" s="598"/>
    </row>
    <row r="74" spans="3:12">
      <c r="C74" s="640" t="s">
        <v>64</v>
      </c>
      <c r="D74" s="1024">
        <f>IRR_CASE_II!E33</f>
        <v>0.13048650000000001</v>
      </c>
      <c r="E74" s="1025"/>
      <c r="F74" s="1025"/>
      <c r="G74" s="1025"/>
      <c r="H74" s="1025"/>
      <c r="I74" s="1025"/>
      <c r="J74" s="1025"/>
      <c r="K74" s="1026"/>
      <c r="L74" s="598"/>
    </row>
    <row r="75" spans="3:12">
      <c r="C75" s="641"/>
    </row>
    <row r="76" spans="3:12" ht="45" customHeight="1">
      <c r="C76" s="639" t="s">
        <v>66</v>
      </c>
    </row>
    <row r="77" spans="3:12">
      <c r="C77" s="640"/>
      <c r="D77" s="596" t="str">
        <f>D70</f>
        <v>2014-15</v>
      </c>
      <c r="E77" s="596" t="str">
        <f t="shared" ref="E77:K77" si="13">E70</f>
        <v>2015-16</v>
      </c>
      <c r="F77" s="596" t="str">
        <f t="shared" si="13"/>
        <v>2016-17</v>
      </c>
      <c r="G77" s="596" t="str">
        <f t="shared" si="13"/>
        <v>2017-18</v>
      </c>
      <c r="H77" s="596" t="str">
        <f t="shared" si="13"/>
        <v>2018-19</v>
      </c>
      <c r="I77" s="596" t="str">
        <f t="shared" si="13"/>
        <v>2019-20</v>
      </c>
      <c r="J77" s="596" t="str">
        <f t="shared" si="13"/>
        <v>2020-21</v>
      </c>
      <c r="K77" s="596" t="str">
        <f t="shared" si="13"/>
        <v>2021-22</v>
      </c>
      <c r="L77" s="596" t="str">
        <f>L70</f>
        <v>2022-23</v>
      </c>
    </row>
    <row r="78" spans="3:12">
      <c r="C78" s="640" t="s">
        <v>61</v>
      </c>
      <c r="D78" s="614">
        <f>'P  L _Case_III'!D55</f>
        <v>374.30811739780245</v>
      </c>
      <c r="E78" s="614">
        <f>'P  L _Case_III'!E55</f>
        <v>427.4197499403345</v>
      </c>
      <c r="F78" s="614">
        <f>'P  L _Case_III'!F55</f>
        <v>503.94956302361516</v>
      </c>
      <c r="G78" s="614">
        <f>'P  L _Case_III'!G55</f>
        <v>557.25253090380477</v>
      </c>
      <c r="H78" s="614">
        <f>'P  L _Case_III'!H55</f>
        <v>698.73357875505826</v>
      </c>
      <c r="I78" s="614">
        <f>'P  L _Case_III'!I55</f>
        <v>672.60739578355287</v>
      </c>
      <c r="J78" s="614">
        <f>'P  L _Case_III'!J55</f>
        <v>684.52011636207226</v>
      </c>
      <c r="K78" s="614">
        <f>'P  L _Case_III'!K55</f>
        <v>660.02859842330736</v>
      </c>
      <c r="L78" s="614">
        <f>'P  L _Case_III'!L55</f>
        <v>641.20473976666835</v>
      </c>
    </row>
    <row r="79" spans="3:12">
      <c r="C79" s="640" t="s">
        <v>62</v>
      </c>
      <c r="D79" s="614">
        <f>D78+'P  L _Case_III'!D49</f>
        <v>826.50217709446429</v>
      </c>
      <c r="E79" s="614">
        <f>E78+'P  L _Case_III'!E49</f>
        <v>879.61380963699628</v>
      </c>
      <c r="F79" s="614">
        <f>F78+'P  L _Case_III'!F49</f>
        <v>956.14362272027688</v>
      </c>
      <c r="G79" s="614">
        <f>G78+'P  L _Case_III'!G49</f>
        <v>1009.4465906004666</v>
      </c>
      <c r="H79" s="614">
        <f>H78+'P  L _Case_III'!H49</f>
        <v>1150.92763845172</v>
      </c>
      <c r="I79" s="614">
        <f>I78+'P  L _Case_III'!I49</f>
        <v>1124.8014554802146</v>
      </c>
      <c r="J79" s="614">
        <f>J78+'P  L _Case_III'!J49</f>
        <v>1136.714176058734</v>
      </c>
      <c r="K79" s="614">
        <f>K78+'P  L _Case_III'!K49</f>
        <v>1112.2226581199691</v>
      </c>
      <c r="L79" s="614">
        <f>L78+'P  L _Case_III'!L49</f>
        <v>1093.3987994633301</v>
      </c>
    </row>
    <row r="80" spans="3:12">
      <c r="C80" s="629" t="s">
        <v>63</v>
      </c>
      <c r="D80" s="1027" t="e">
        <f>'P  L _Case_III'!D71</f>
        <v>#REF!</v>
      </c>
      <c r="E80" s="1028"/>
      <c r="F80" s="1028"/>
      <c r="G80" s="1028"/>
      <c r="H80" s="1028"/>
      <c r="I80" s="1028"/>
      <c r="J80" s="1028"/>
      <c r="K80" s="1029"/>
      <c r="L80" s="598"/>
    </row>
    <row r="81" spans="3:12">
      <c r="C81" s="640" t="s">
        <v>64</v>
      </c>
      <c r="D81" s="1024">
        <f>IRR_CASE_III!E33</f>
        <v>0.15017800000000001</v>
      </c>
      <c r="E81" s="1025"/>
      <c r="F81" s="1025"/>
      <c r="G81" s="1025"/>
      <c r="H81" s="1025"/>
      <c r="I81" s="1025"/>
      <c r="J81" s="1025"/>
      <c r="K81" s="1026"/>
      <c r="L81" s="598"/>
    </row>
    <row r="82" spans="3:12">
      <c r="C82" s="639"/>
    </row>
    <row r="83" spans="3:12" ht="48.75" customHeight="1">
      <c r="C83" s="639" t="s">
        <v>67</v>
      </c>
    </row>
    <row r="84" spans="3:12">
      <c r="C84" s="640"/>
      <c r="D84" s="596" t="str">
        <f>D77</f>
        <v>2014-15</v>
      </c>
      <c r="E84" s="596" t="str">
        <f t="shared" ref="E84:K84" si="14">E77</f>
        <v>2015-16</v>
      </c>
      <c r="F84" s="596" t="str">
        <f t="shared" si="14"/>
        <v>2016-17</v>
      </c>
      <c r="G84" s="596" t="str">
        <f t="shared" si="14"/>
        <v>2017-18</v>
      </c>
      <c r="H84" s="596" t="str">
        <f t="shared" si="14"/>
        <v>2018-19</v>
      </c>
      <c r="I84" s="596" t="str">
        <f t="shared" si="14"/>
        <v>2019-20</v>
      </c>
      <c r="J84" s="596" t="str">
        <f t="shared" si="14"/>
        <v>2020-21</v>
      </c>
      <c r="K84" s="596" t="str">
        <f t="shared" si="14"/>
        <v>2021-22</v>
      </c>
      <c r="L84" s="596" t="str">
        <f>L77</f>
        <v>2022-23</v>
      </c>
    </row>
    <row r="85" spans="3:12">
      <c r="C85" s="640" t="s">
        <v>61</v>
      </c>
      <c r="D85" s="614">
        <f>'P  L _Case_IV'!D55</f>
        <v>275.94135970549473</v>
      </c>
      <c r="E85" s="614">
        <f>'P  L _Case_IV'!E55</f>
        <v>316.75714753648833</v>
      </c>
      <c r="F85" s="614">
        <f>'P  L _Case_IV'!F55</f>
        <v>380.99111590823054</v>
      </c>
      <c r="G85" s="614">
        <f>'P  L _Case_IV'!G55</f>
        <v>421.9982390768817</v>
      </c>
      <c r="H85" s="614">
        <f>'P  L _Case_IV'!H55</f>
        <v>551.18344221659675</v>
      </c>
      <c r="I85" s="614">
        <f>'P  L _Case_IV'!I55</f>
        <v>525.05725924509136</v>
      </c>
      <c r="J85" s="614">
        <f>'P  L _Case_IV'!J55</f>
        <v>536.96997982361074</v>
      </c>
      <c r="K85" s="614">
        <f>'P  L _Case_IV'!K55</f>
        <v>512.47846188484584</v>
      </c>
      <c r="L85" s="614">
        <f>'P  L _Case_IV'!L55</f>
        <v>493.65460322820684</v>
      </c>
    </row>
    <row r="86" spans="3:12">
      <c r="C86" s="640" t="s">
        <v>62</v>
      </c>
      <c r="D86" s="614">
        <f>D85+'P  L _Case_IV'!D49</f>
        <v>728.13541940215646</v>
      </c>
      <c r="E86" s="614">
        <f>E85+'P  L _Case_IV'!E49</f>
        <v>768.95120723315017</v>
      </c>
      <c r="F86" s="614">
        <f>F85+'P  L _Case_IV'!F49</f>
        <v>833.18517560489227</v>
      </c>
      <c r="G86" s="614">
        <f>G85+'P  L _Case_IV'!G49</f>
        <v>874.19229877354348</v>
      </c>
      <c r="H86" s="614">
        <f>H85+'P  L _Case_IV'!H49</f>
        <v>1003.3775019132586</v>
      </c>
      <c r="I86" s="614">
        <f>I85+'P  L _Case_IV'!I49</f>
        <v>977.2513189417532</v>
      </c>
      <c r="J86" s="614">
        <f>J85+'P  L _Case_IV'!J49</f>
        <v>989.16403952027258</v>
      </c>
      <c r="K86" s="614">
        <f>K85+'P  L _Case_IV'!K49</f>
        <v>964.67252158150768</v>
      </c>
      <c r="L86" s="614">
        <f>L85+'P  L _Case_IV'!L49</f>
        <v>945.84866292486868</v>
      </c>
    </row>
    <row r="87" spans="3:12">
      <c r="C87" s="629" t="s">
        <v>63</v>
      </c>
      <c r="D87" s="1027" t="e">
        <f>'P  L _Case_IV'!D71</f>
        <v>#REF!</v>
      </c>
      <c r="E87" s="1028"/>
      <c r="F87" s="1028"/>
      <c r="G87" s="1028"/>
      <c r="H87" s="1028"/>
      <c r="I87" s="1028"/>
      <c r="J87" s="1028"/>
      <c r="K87" s="1029"/>
      <c r="L87" s="598"/>
    </row>
    <row r="88" spans="3:12">
      <c r="C88" s="640" t="s">
        <v>64</v>
      </c>
      <c r="D88" s="1024">
        <f>IRR_CASE_IV!E33</f>
        <v>0.12266000000000001</v>
      </c>
      <c r="E88" s="1025"/>
      <c r="F88" s="1025"/>
      <c r="G88" s="1025"/>
      <c r="H88" s="1025"/>
      <c r="I88" s="1025"/>
      <c r="J88" s="1025"/>
      <c r="K88" s="1026"/>
      <c r="L88" s="598"/>
    </row>
    <row r="89" spans="3:12">
      <c r="C89" s="639"/>
    </row>
    <row r="90" spans="3:12">
      <c r="C90" s="639"/>
    </row>
    <row r="91" spans="3:12" ht="28.5">
      <c r="C91" s="642" t="s">
        <v>68</v>
      </c>
      <c r="D91" s="600" t="s">
        <v>63</v>
      </c>
      <c r="E91" s="600" t="s">
        <v>64</v>
      </c>
      <c r="F91" s="600" t="s">
        <v>69</v>
      </c>
      <c r="G91" s="600" t="s">
        <v>70</v>
      </c>
    </row>
    <row r="92" spans="3:12" ht="33" customHeight="1">
      <c r="C92" s="640" t="s">
        <v>71</v>
      </c>
      <c r="D92" s="601" t="e">
        <f>D65</f>
        <v>#REF!</v>
      </c>
      <c r="E92" s="615" t="e">
        <f>D66</f>
        <v>#REF!</v>
      </c>
      <c r="F92" s="616" t="e">
        <f>#REF!</f>
        <v>#REF!</v>
      </c>
      <c r="G92" s="616" t="e">
        <f>#REF!</f>
        <v>#REF!</v>
      </c>
    </row>
    <row r="93" spans="3:12" ht="38.25">
      <c r="C93" s="640" t="s">
        <v>72</v>
      </c>
      <c r="D93" s="601" t="e">
        <f>D73</f>
        <v>#REF!</v>
      </c>
      <c r="E93" s="615">
        <f>D74</f>
        <v>0.13048650000000001</v>
      </c>
      <c r="F93" s="616" t="e">
        <f>'BEP ANAYSIS_II'!E27</f>
        <v>#REF!</v>
      </c>
      <c r="G93" s="616" t="e">
        <f>'BEP ANAYSIS_II'!E29</f>
        <v>#REF!</v>
      </c>
    </row>
    <row r="94" spans="3:12" ht="28.5" customHeight="1">
      <c r="C94" s="640" t="s">
        <v>73</v>
      </c>
      <c r="D94" s="601" t="e">
        <f>D87</f>
        <v>#REF!</v>
      </c>
      <c r="E94" s="615">
        <f>D88</f>
        <v>0.12266000000000001</v>
      </c>
      <c r="F94" s="616" t="e">
        <f>'BEP ANAYSIS_IV'!E27</f>
        <v>#REF!</v>
      </c>
      <c r="G94" s="616" t="e">
        <f>'BEP ANAYSIS_IV'!E29</f>
        <v>#REF!</v>
      </c>
    </row>
    <row r="95" spans="3:12">
      <c r="C95" s="639"/>
    </row>
    <row r="96" spans="3:12">
      <c r="C96" s="638"/>
    </row>
    <row r="97" spans="2:5">
      <c r="C97" s="638"/>
    </row>
    <row r="98" spans="2:5">
      <c r="C98" s="638"/>
    </row>
    <row r="99" spans="2:5">
      <c r="B99" s="593" t="s">
        <v>74</v>
      </c>
    </row>
    <row r="100" spans="2:5">
      <c r="C100" s="638"/>
    </row>
    <row r="101" spans="2:5">
      <c r="C101" s="638" t="s">
        <v>75</v>
      </c>
    </row>
    <row r="102" spans="2:5">
      <c r="C102" s="638"/>
    </row>
    <row r="103" spans="2:5" ht="42.75">
      <c r="B103" s="599" t="s">
        <v>76</v>
      </c>
      <c r="C103" s="643" t="s">
        <v>77</v>
      </c>
      <c r="D103" s="599"/>
      <c r="E103" s="600" t="s">
        <v>78</v>
      </c>
    </row>
    <row r="104" spans="2:5" ht="25.5">
      <c r="B104" s="595">
        <v>1</v>
      </c>
      <c r="C104" s="640" t="s">
        <v>79</v>
      </c>
      <c r="D104" s="595"/>
      <c r="E104" s="601">
        <f>'CAPITAL COST'!C12</f>
        <v>0</v>
      </c>
    </row>
    <row r="105" spans="2:5" ht="25.5">
      <c r="B105" s="595">
        <v>2</v>
      </c>
      <c r="C105" s="642" t="s">
        <v>80</v>
      </c>
      <c r="D105" s="595"/>
      <c r="E105" s="601">
        <f>'CAPITAL COST'!C14</f>
        <v>2878.9367657999996</v>
      </c>
    </row>
    <row r="106" spans="2:5" ht="25.5">
      <c r="B106" s="595">
        <v>3</v>
      </c>
      <c r="C106" s="642" t="s">
        <v>81</v>
      </c>
      <c r="D106" s="595"/>
      <c r="E106" s="601">
        <f>'CAPITAL COST'!C16</f>
        <v>375.3</v>
      </c>
    </row>
    <row r="107" spans="2:5" ht="25.5">
      <c r="B107" s="595">
        <v>4</v>
      </c>
      <c r="C107" s="640" t="s">
        <v>82</v>
      </c>
      <c r="D107" s="595"/>
      <c r="E107" s="601">
        <f>'CAPITAL COST'!C18</f>
        <v>140.5</v>
      </c>
    </row>
    <row r="108" spans="2:5" ht="25.5">
      <c r="B108" s="595">
        <v>5</v>
      </c>
      <c r="C108" s="642" t="s">
        <v>83</v>
      </c>
      <c r="D108" s="595"/>
      <c r="E108" s="601">
        <f>'CAPITAL COST'!C20</f>
        <v>467.53924159999997</v>
      </c>
    </row>
    <row r="109" spans="2:5" ht="38.25">
      <c r="B109" s="595">
        <v>6</v>
      </c>
      <c r="C109" s="640" t="s">
        <v>84</v>
      </c>
      <c r="D109" s="595"/>
      <c r="E109" s="601">
        <f>'CAPITAL COST'!C22</f>
        <v>285.72000000000003</v>
      </c>
    </row>
    <row r="110" spans="2:5" ht="25.5">
      <c r="B110" s="595">
        <v>7</v>
      </c>
      <c r="C110" s="629" t="s">
        <v>85</v>
      </c>
      <c r="D110" s="595"/>
      <c r="E110" s="601">
        <f>'CAPITAL COST'!C24</f>
        <v>22</v>
      </c>
    </row>
    <row r="111" spans="2:5">
      <c r="B111" s="595">
        <v>8</v>
      </c>
      <c r="C111" s="629" t="s">
        <v>86</v>
      </c>
      <c r="D111" s="595"/>
      <c r="E111" s="601" t="e">
        <f>'CAPITAL COST'!#REF!</f>
        <v>#REF!</v>
      </c>
    </row>
    <row r="112" spans="2:5">
      <c r="B112" s="595"/>
      <c r="C112" s="629"/>
      <c r="D112" s="595"/>
      <c r="E112" s="601"/>
    </row>
    <row r="113" spans="2:5">
      <c r="B113" s="595"/>
      <c r="C113" s="642" t="s">
        <v>87</v>
      </c>
      <c r="D113" s="599"/>
      <c r="E113" s="602" t="e">
        <f>SUM(E104:E111)</f>
        <v>#REF!</v>
      </c>
    </row>
    <row r="114" spans="2:5">
      <c r="C114" s="638"/>
    </row>
    <row r="115" spans="2:5">
      <c r="C115" s="638"/>
    </row>
    <row r="116" spans="2:5">
      <c r="B116" s="593" t="s">
        <v>88</v>
      </c>
    </row>
  </sheetData>
  <mergeCells count="9">
    <mergeCell ref="D81:K81"/>
    <mergeCell ref="D87:K87"/>
    <mergeCell ref="D88:K88"/>
    <mergeCell ref="D4:K4"/>
    <mergeCell ref="D65:L65"/>
    <mergeCell ref="D66:L66"/>
    <mergeCell ref="D73:K73"/>
    <mergeCell ref="D74:K74"/>
    <mergeCell ref="D80:K80"/>
  </mergeCells>
  <printOptions horizontalCentered="1"/>
  <pageMargins left="0.51181102362204722" right="0.19685039370078741" top="0.74803149606299213" bottom="0.74803149606299213" header="0.31496062992125984" footer="0.31496062992125984"/>
  <pageSetup paperSize="9" scale="31"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8FC97-B5EE-4282-A9F8-F1B915771FA7}">
  <sheetPr>
    <tabColor indexed="10"/>
  </sheetPr>
  <dimension ref="B2:Q36"/>
  <sheetViews>
    <sheetView view="pageBreakPreview" zoomScale="90" zoomScaleNormal="96" zoomScaleSheetLayoutView="90" workbookViewId="0">
      <selection activeCell="F9" sqref="F9"/>
    </sheetView>
  </sheetViews>
  <sheetFormatPr defaultRowHeight="12.75"/>
  <cols>
    <col min="1" max="1" width="9.140625" style="51"/>
    <col min="2" max="2" width="14.28515625" style="51" bestFit="1" customWidth="1"/>
    <col min="3" max="3" width="21.42578125" style="51" customWidth="1"/>
    <col min="4" max="4" width="12.28515625" style="51" bestFit="1" customWidth="1"/>
    <col min="5" max="5" width="15.7109375" style="51" customWidth="1"/>
    <col min="6" max="6" width="11.85546875" style="51" customWidth="1"/>
    <col min="7" max="7" width="11.28515625" style="51" customWidth="1"/>
    <col min="8" max="8" width="10.5703125" style="51" customWidth="1"/>
    <col min="9" max="9" width="10.7109375" style="51" customWidth="1"/>
    <col min="10" max="10" width="10.42578125" style="51" customWidth="1"/>
    <col min="11" max="12" width="10.28515625" style="51" customWidth="1"/>
    <col min="13" max="13" width="10.28515625" style="51" hidden="1" customWidth="1"/>
    <col min="14" max="14" width="9.140625" style="51"/>
    <col min="15" max="15" width="10.28515625" style="51" bestFit="1" customWidth="1"/>
    <col min="16" max="16" width="9.140625" style="51"/>
    <col min="17" max="17" width="12.140625" style="51" bestFit="1" customWidth="1"/>
    <col min="18" max="16384" width="9.140625" style="51"/>
  </cols>
  <sheetData>
    <row r="2" spans="2:17">
      <c r="F2" s="456" t="s">
        <v>89</v>
      </c>
    </row>
    <row r="4" spans="2:17" ht="18">
      <c r="E4" s="1037" t="s">
        <v>90</v>
      </c>
      <c r="F4" s="1037"/>
      <c r="G4" s="1037"/>
    </row>
    <row r="5" spans="2:17" ht="18">
      <c r="D5" s="1037" t="s">
        <v>91</v>
      </c>
      <c r="E5" s="1037"/>
      <c r="F5" s="1037"/>
      <c r="G5" s="1037"/>
      <c r="H5" s="1037"/>
    </row>
    <row r="6" spans="2:17">
      <c r="E6" s="1038" t="s">
        <v>92</v>
      </c>
      <c r="F6" s="1038"/>
      <c r="G6" s="1038"/>
    </row>
    <row r="7" spans="2:17" ht="13.5" thickBot="1"/>
    <row r="8" spans="2:17" ht="13.5" thickBot="1">
      <c r="B8" s="1039" t="s">
        <v>93</v>
      </c>
      <c r="C8" s="1040"/>
      <c r="D8" s="157" t="s">
        <v>94</v>
      </c>
      <c r="E8" s="996" t="s">
        <v>95</v>
      </c>
      <c r="F8" s="996" t="s">
        <v>96</v>
      </c>
      <c r="G8" s="996" t="s">
        <v>97</v>
      </c>
      <c r="H8" s="996" t="s">
        <v>98</v>
      </c>
      <c r="I8" s="996" t="s">
        <v>99</v>
      </c>
      <c r="J8" s="996" t="s">
        <v>100</v>
      </c>
      <c r="K8" s="996" t="s">
        <v>101</v>
      </c>
      <c r="L8" s="462" t="s">
        <v>102</v>
      </c>
      <c r="M8" s="996" t="s">
        <v>103</v>
      </c>
    </row>
    <row r="9" spans="2:17">
      <c r="B9" s="67"/>
      <c r="C9" s="67"/>
      <c r="D9" s="67"/>
      <c r="E9" s="67"/>
      <c r="F9" s="67"/>
      <c r="G9" s="67"/>
      <c r="H9" s="67"/>
      <c r="I9" s="67"/>
      <c r="J9" s="67"/>
      <c r="K9" s="67"/>
      <c r="L9" s="300"/>
      <c r="M9" s="67"/>
    </row>
    <row r="10" spans="2:17">
      <c r="B10" s="1041" t="s">
        <v>104</v>
      </c>
      <c r="C10" s="1042"/>
      <c r="D10" s="160"/>
      <c r="E10" s="179"/>
      <c r="F10" s="179"/>
      <c r="G10" s="179"/>
      <c r="H10" s="179"/>
      <c r="I10" s="179"/>
      <c r="J10" s="179"/>
      <c r="K10" s="179"/>
      <c r="L10" s="161"/>
      <c r="M10" s="179"/>
      <c r="Q10" s="180">
        <v>0.13048650000000001</v>
      </c>
    </row>
    <row r="11" spans="2:17">
      <c r="B11" s="1035"/>
      <c r="C11" s="1035"/>
      <c r="D11" s="181"/>
      <c r="E11" s="182"/>
      <c r="F11" s="182"/>
      <c r="G11" s="182"/>
      <c r="H11" s="182"/>
      <c r="I11" s="182"/>
      <c r="J11" s="182"/>
      <c r="K11" s="182"/>
      <c r="L11" s="305"/>
      <c r="M11" s="182"/>
    </row>
    <row r="12" spans="2:17">
      <c r="B12" s="1033" t="s">
        <v>105</v>
      </c>
      <c r="C12" s="1033"/>
      <c r="D12" s="183"/>
      <c r="E12" s="141">
        <f>'P  L _Case_II'!D59</f>
        <v>173.26791172472554</v>
      </c>
      <c r="F12" s="141">
        <f>'P  L _Case_II'!E59</f>
        <v>259.13864933456512</v>
      </c>
      <c r="G12" s="141">
        <f>'P  L _Case_II'!F59</f>
        <v>363.52877137938458</v>
      </c>
      <c r="H12" s="141">
        <f>'P  L _Case_II'!G59</f>
        <v>443.49834472351631</v>
      </c>
      <c r="I12" s="141">
        <f>'P  L _Case_II'!H59</f>
        <v>437.83928759954699</v>
      </c>
      <c r="J12" s="141">
        <f>'P  L _Case_II'!I59</f>
        <v>363.01550672551502</v>
      </c>
      <c r="K12" s="141">
        <f>'P  L _Case_II'!J59</f>
        <v>342.95199831240637</v>
      </c>
      <c r="L12" s="141">
        <f>'P  L _Case_II'!K59</f>
        <v>290.22589757200967</v>
      </c>
      <c r="M12" s="161" t="e">
        <f>'P  L _Case_II'!L59</f>
        <v>#VALUE!</v>
      </c>
    </row>
    <row r="13" spans="2:17">
      <c r="B13" s="1033" t="s">
        <v>106</v>
      </c>
      <c r="C13" s="1033"/>
      <c r="D13" s="183"/>
      <c r="E13" s="141">
        <f>'P  L '!D53</f>
        <v>452.19405969666178</v>
      </c>
      <c r="F13" s="141">
        <f>'P  L '!E53</f>
        <v>452.19405969666178</v>
      </c>
      <c r="G13" s="141">
        <f>'P  L '!F53</f>
        <v>452.19405969666178</v>
      </c>
      <c r="H13" s="141">
        <f>'P  L '!G53</f>
        <v>452.19405969666178</v>
      </c>
      <c r="I13" s="141">
        <f>'P  L '!H53</f>
        <v>452.19405969666178</v>
      </c>
      <c r="J13" s="141">
        <f>'P  L '!I53</f>
        <v>452.19405969666178</v>
      </c>
      <c r="K13" s="160">
        <f>'P  L '!J53</f>
        <v>452.19405969666178</v>
      </c>
      <c r="L13" s="141">
        <f>'P  L '!K53</f>
        <v>452.19405969666178</v>
      </c>
      <c r="M13" s="179">
        <f>'P  L '!L53</f>
        <v>452.19405969666178</v>
      </c>
    </row>
    <row r="14" spans="2:17">
      <c r="B14" s="1033" t="s">
        <v>107</v>
      </c>
      <c r="C14" s="1033"/>
      <c r="D14" s="183"/>
      <c r="E14" s="141">
        <f>'P  L '!D50</f>
        <v>254.71875</v>
      </c>
      <c r="F14" s="141">
        <f>'P  L '!E50</f>
        <v>240.11249999999998</v>
      </c>
      <c r="G14" s="141">
        <f>'P  L '!F50</f>
        <v>217.78750000000002</v>
      </c>
      <c r="H14" s="141">
        <f>'P  L '!G50</f>
        <v>186.67500000000001</v>
      </c>
      <c r="I14" s="141">
        <f>'P  L '!H50</f>
        <v>147.25000000000003</v>
      </c>
      <c r="J14" s="141">
        <f>'P  L '!I50</f>
        <v>99.037499999999994</v>
      </c>
      <c r="K14" s="160">
        <f>'P  L '!J50</f>
        <v>45.125</v>
      </c>
      <c r="L14" s="141">
        <f>'P  L '!K50</f>
        <v>2.375</v>
      </c>
      <c r="M14" s="179">
        <f>'P  L '!L50</f>
        <v>0</v>
      </c>
    </row>
    <row r="15" spans="2:17">
      <c r="B15" s="183" t="s">
        <v>108</v>
      </c>
      <c r="C15" s="183"/>
      <c r="D15" s="183"/>
      <c r="E15" s="183"/>
      <c r="F15" s="183"/>
      <c r="G15" s="183"/>
      <c r="H15" s="183"/>
      <c r="I15" s="183"/>
      <c r="J15" s="183"/>
      <c r="K15" s="181"/>
      <c r="L15" s="141">
        <f>0.5*'B  S '!L13</f>
        <v>598.15590502435271</v>
      </c>
      <c r="M15" s="179"/>
      <c r="N15" s="491" t="s">
        <v>109</v>
      </c>
    </row>
    <row r="16" spans="2:17">
      <c r="B16" s="183"/>
      <c r="C16" s="183"/>
      <c r="D16" s="183"/>
      <c r="E16" s="183"/>
      <c r="F16" s="183"/>
      <c r="G16" s="183"/>
      <c r="H16" s="183"/>
      <c r="I16" s="183"/>
      <c r="J16" s="183"/>
      <c r="K16" s="181"/>
      <c r="L16" s="183"/>
      <c r="M16" s="182"/>
    </row>
    <row r="17" spans="2:13">
      <c r="B17" s="183" t="s">
        <v>110</v>
      </c>
      <c r="C17" s="183"/>
      <c r="D17" s="141">
        <f>SUM(D10:D15)</f>
        <v>0</v>
      </c>
      <c r="E17" s="141">
        <f t="shared" ref="E17:K17" si="0">SUM(E10:E15)</f>
        <v>880.18072142138726</v>
      </c>
      <c r="F17" s="141">
        <f t="shared" si="0"/>
        <v>951.4452090312268</v>
      </c>
      <c r="G17" s="141">
        <f t="shared" si="0"/>
        <v>1033.5103310760464</v>
      </c>
      <c r="H17" s="141">
        <f t="shared" si="0"/>
        <v>1082.367404420178</v>
      </c>
      <c r="I17" s="141">
        <f t="shared" si="0"/>
        <v>1037.2833472962088</v>
      </c>
      <c r="J17" s="141">
        <f t="shared" si="0"/>
        <v>914.24706642217677</v>
      </c>
      <c r="K17" s="160">
        <f t="shared" si="0"/>
        <v>840.27105800906816</v>
      </c>
      <c r="L17" s="141">
        <f>SUM(L10:L15)</f>
        <v>1342.9508622930241</v>
      </c>
      <c r="M17" s="179" t="e">
        <f>SUM(M10:M15)</f>
        <v>#VALUE!</v>
      </c>
    </row>
    <row r="18" spans="2:13">
      <c r="B18" s="183"/>
      <c r="C18" s="183"/>
      <c r="D18" s="183"/>
      <c r="E18" s="183"/>
      <c r="F18" s="183"/>
      <c r="G18" s="183"/>
      <c r="H18" s="183"/>
      <c r="I18" s="183"/>
      <c r="J18" s="183"/>
      <c r="K18" s="181"/>
      <c r="L18" s="183"/>
      <c r="M18" s="182"/>
    </row>
    <row r="19" spans="2:13">
      <c r="B19" s="1036" t="s">
        <v>111</v>
      </c>
      <c r="C19" s="1033"/>
      <c r="D19" s="181"/>
      <c r="E19" s="182"/>
      <c r="F19" s="182"/>
      <c r="G19" s="182"/>
      <c r="H19" s="182"/>
      <c r="I19" s="182"/>
      <c r="J19" s="182"/>
      <c r="K19" s="182"/>
      <c r="L19" s="305"/>
      <c r="M19" s="182"/>
    </row>
    <row r="20" spans="2:13">
      <c r="B20" s="1035"/>
      <c r="C20" s="1035"/>
      <c r="D20" s="181"/>
      <c r="E20" s="182"/>
      <c r="F20" s="182"/>
      <c r="G20" s="182"/>
      <c r="H20" s="182"/>
      <c r="I20" s="182"/>
      <c r="J20" s="182"/>
      <c r="K20" s="182"/>
      <c r="L20" s="305"/>
      <c r="M20" s="182"/>
    </row>
    <row r="21" spans="2:13">
      <c r="B21" s="1033" t="s">
        <v>112</v>
      </c>
      <c r="C21" s="1033"/>
      <c r="D21" s="141">
        <f>'CAPITAL COST'!D36+'CAPITAL COST'!D34</f>
        <v>4263.8642876220001</v>
      </c>
      <c r="E21" s="183">
        <v>0</v>
      </c>
      <c r="F21" s="183">
        <v>0</v>
      </c>
      <c r="G21" s="183">
        <v>0</v>
      </c>
      <c r="H21" s="183">
        <v>0</v>
      </c>
      <c r="I21" s="183">
        <v>0</v>
      </c>
      <c r="J21" s="183">
        <v>0</v>
      </c>
      <c r="K21" s="183">
        <v>0</v>
      </c>
      <c r="L21" s="183">
        <v>0</v>
      </c>
      <c r="M21" s="305">
        <v>0</v>
      </c>
    </row>
    <row r="22" spans="2:13">
      <c r="B22" s="1035"/>
      <c r="C22" s="1035"/>
      <c r="D22" s="183"/>
      <c r="E22" s="183"/>
      <c r="F22" s="183"/>
      <c r="G22" s="183"/>
      <c r="H22" s="183"/>
      <c r="I22" s="183"/>
      <c r="J22" s="183"/>
      <c r="K22" s="181"/>
      <c r="L22" s="183"/>
      <c r="M22" s="182"/>
    </row>
    <row r="23" spans="2:13">
      <c r="B23" s="183" t="s">
        <v>113</v>
      </c>
      <c r="C23" s="183"/>
      <c r="D23" s="141">
        <f>SUM(D19:D22)</f>
        <v>4263.8642876220001</v>
      </c>
      <c r="E23" s="183">
        <f t="shared" ref="E23:K23" si="1">SUM(E19:E22)</f>
        <v>0</v>
      </c>
      <c r="F23" s="183">
        <f t="shared" si="1"/>
        <v>0</v>
      </c>
      <c r="G23" s="183">
        <f t="shared" si="1"/>
        <v>0</v>
      </c>
      <c r="H23" s="183">
        <f t="shared" si="1"/>
        <v>0</v>
      </c>
      <c r="I23" s="183">
        <f t="shared" si="1"/>
        <v>0</v>
      </c>
      <c r="J23" s="183">
        <f t="shared" si="1"/>
        <v>0</v>
      </c>
      <c r="K23" s="181">
        <f t="shared" si="1"/>
        <v>0</v>
      </c>
      <c r="L23" s="183">
        <f>SUM(L19:L22)</f>
        <v>0</v>
      </c>
      <c r="M23" s="182">
        <f>SUM(M19:M22)</f>
        <v>0</v>
      </c>
    </row>
    <row r="24" spans="2:13">
      <c r="B24" s="183"/>
      <c r="C24" s="183"/>
      <c r="D24" s="183"/>
      <c r="E24" s="183"/>
      <c r="F24" s="183"/>
      <c r="G24" s="183"/>
      <c r="H24" s="183"/>
      <c r="I24" s="183"/>
      <c r="J24" s="183"/>
      <c r="K24" s="181"/>
      <c r="L24" s="183"/>
      <c r="M24" s="182"/>
    </row>
    <row r="25" spans="2:13">
      <c r="B25" s="132" t="s">
        <v>114</v>
      </c>
      <c r="C25" s="183"/>
      <c r="D25" s="141">
        <f>D17-D23</f>
        <v>-4263.8642876220001</v>
      </c>
      <c r="E25" s="141">
        <f t="shared" ref="E25:K25" si="2">E17-E23</f>
        <v>880.18072142138726</v>
      </c>
      <c r="F25" s="141">
        <f t="shared" si="2"/>
        <v>951.4452090312268</v>
      </c>
      <c r="G25" s="141">
        <f t="shared" si="2"/>
        <v>1033.5103310760464</v>
      </c>
      <c r="H25" s="141">
        <f t="shared" si="2"/>
        <v>1082.367404420178</v>
      </c>
      <c r="I25" s="141">
        <f t="shared" si="2"/>
        <v>1037.2833472962088</v>
      </c>
      <c r="J25" s="141">
        <f t="shared" si="2"/>
        <v>914.24706642217677</v>
      </c>
      <c r="K25" s="160">
        <f t="shared" si="2"/>
        <v>840.27105800906816</v>
      </c>
      <c r="L25" s="141">
        <f>L17-L23</f>
        <v>1342.9508622930241</v>
      </c>
      <c r="M25" s="179" t="e">
        <f>M17-M23</f>
        <v>#VALUE!</v>
      </c>
    </row>
    <row r="26" spans="2:13">
      <c r="B26" s="1035"/>
      <c r="C26" s="1035"/>
      <c r="D26" s="183"/>
      <c r="E26" s="183"/>
      <c r="F26" s="183"/>
      <c r="G26" s="183"/>
      <c r="H26" s="183"/>
      <c r="I26" s="183"/>
      <c r="J26" s="183"/>
      <c r="K26" s="181"/>
      <c r="L26" s="183"/>
      <c r="M26" s="182"/>
    </row>
    <row r="27" spans="2:13">
      <c r="B27" s="1032" t="s">
        <v>115</v>
      </c>
      <c r="C27" s="1032"/>
      <c r="D27" s="998">
        <v>1</v>
      </c>
      <c r="E27" s="174">
        <v>1</v>
      </c>
      <c r="F27" s="174">
        <f>1/(1+Q10)</f>
        <v>0.88457491531300914</v>
      </c>
      <c r="G27" s="174">
        <f t="shared" ref="G27:M27" si="3">+F27/(1+$Q$10)</f>
        <v>0.78247278080101723</v>
      </c>
      <c r="H27" s="174">
        <f t="shared" si="3"/>
        <v>0.69215579381179448</v>
      </c>
      <c r="I27" s="174">
        <f t="shared" si="3"/>
        <v>0.61226365269447669</v>
      </c>
      <c r="J27" s="174">
        <f t="shared" si="3"/>
        <v>0.5415930687314503</v>
      </c>
      <c r="K27" s="175">
        <f t="shared" si="3"/>
        <v>0.47907964290723537</v>
      </c>
      <c r="L27" s="174">
        <f t="shared" si="3"/>
        <v>0.42378183455285434</v>
      </c>
      <c r="M27" s="617">
        <f t="shared" si="3"/>
        <v>0.37486678041078275</v>
      </c>
    </row>
    <row r="28" spans="2:13">
      <c r="B28" s="1032" t="s">
        <v>116</v>
      </c>
      <c r="C28" s="1033"/>
      <c r="D28" s="176">
        <f>D25*D27</f>
        <v>-4263.8642876220001</v>
      </c>
      <c r="E28" s="176">
        <f>E25*E27</f>
        <v>880.18072142138726</v>
      </c>
      <c r="F28" s="176">
        <f t="shared" ref="F28:K28" si="4">F25*F27</f>
        <v>841.62456520376577</v>
      </c>
      <c r="G28" s="176">
        <f t="shared" si="4"/>
        <v>808.69370274365406</v>
      </c>
      <c r="H28" s="176">
        <f t="shared" si="4"/>
        <v>749.16687000245986</v>
      </c>
      <c r="I28" s="176">
        <f t="shared" si="4"/>
        <v>635.0908910947303</v>
      </c>
      <c r="J28" s="176">
        <f t="shared" si="4"/>
        <v>495.14987428231279</v>
      </c>
      <c r="K28" s="177">
        <f t="shared" si="4"/>
        <v>402.55675841626925</v>
      </c>
      <c r="L28" s="176">
        <f>L25*L27</f>
        <v>569.11818013687537</v>
      </c>
      <c r="M28" s="618" t="e">
        <f>M25*M27</f>
        <v>#VALUE!</v>
      </c>
    </row>
    <row r="29" spans="2:13">
      <c r="B29" s="1032"/>
      <c r="C29" s="1033"/>
      <c r="D29" s="183"/>
      <c r="E29" s="176"/>
      <c r="F29" s="176"/>
      <c r="G29" s="176"/>
      <c r="H29" s="176"/>
      <c r="I29" s="176"/>
      <c r="J29" s="176"/>
      <c r="K29" s="177"/>
      <c r="L29" s="176"/>
      <c r="M29" s="618"/>
    </row>
    <row r="30" spans="2:13">
      <c r="B30" s="1034"/>
      <c r="C30" s="1034"/>
      <c r="D30" s="183"/>
      <c r="E30" s="176"/>
      <c r="F30" s="176"/>
      <c r="G30" s="176"/>
      <c r="H30" s="176"/>
      <c r="I30" s="176"/>
      <c r="J30" s="176"/>
      <c r="K30" s="177"/>
      <c r="L30" s="176"/>
      <c r="M30" s="618"/>
    </row>
    <row r="31" spans="2:13">
      <c r="B31" s="1032" t="s">
        <v>117</v>
      </c>
      <c r="C31" s="1033"/>
      <c r="D31" s="183"/>
      <c r="E31" s="178">
        <f>SUM(D28:L28)</f>
        <v>1117.7172756794544</v>
      </c>
      <c r="F31" s="998"/>
      <c r="G31" s="998"/>
      <c r="H31" s="998"/>
      <c r="I31" s="998"/>
      <c r="J31" s="998"/>
      <c r="K31" s="1011"/>
      <c r="L31" s="998"/>
      <c r="M31" s="1012"/>
    </row>
    <row r="32" spans="2:13">
      <c r="B32" s="1034"/>
      <c r="C32" s="1034"/>
      <c r="D32" s="183"/>
      <c r="E32" s="998"/>
      <c r="F32" s="998"/>
      <c r="G32" s="998"/>
      <c r="H32" s="998"/>
      <c r="I32" s="998"/>
      <c r="J32" s="998"/>
      <c r="K32" s="1011"/>
      <c r="L32" s="998"/>
      <c r="M32" s="1012"/>
    </row>
    <row r="33" spans="2:13">
      <c r="B33" s="1032" t="s">
        <v>118</v>
      </c>
      <c r="C33" s="1033"/>
      <c r="D33" s="183"/>
      <c r="E33" s="184">
        <f>Q10</f>
        <v>0.13048650000000001</v>
      </c>
      <c r="F33" s="998"/>
      <c r="G33" s="998"/>
      <c r="H33" s="998"/>
      <c r="I33" s="998"/>
      <c r="J33" s="998"/>
      <c r="K33" s="1011"/>
      <c r="L33" s="998"/>
      <c r="M33" s="1012"/>
    </row>
    <row r="34" spans="2:13">
      <c r="B34" s="1034"/>
      <c r="C34" s="1034"/>
      <c r="D34" s="183"/>
      <c r="E34" s="998"/>
      <c r="F34" s="998"/>
      <c r="G34" s="998"/>
      <c r="H34" s="998"/>
      <c r="I34" s="998"/>
      <c r="J34" s="998"/>
      <c r="K34" s="1011"/>
      <c r="L34" s="998"/>
      <c r="M34" s="1012"/>
    </row>
    <row r="36" spans="2:13">
      <c r="B36" s="74" t="s">
        <v>119</v>
      </c>
    </row>
  </sheetData>
  <mergeCells count="22">
    <mergeCell ref="B21:C21"/>
    <mergeCell ref="E4:G4"/>
    <mergeCell ref="D5:H5"/>
    <mergeCell ref="E6:G6"/>
    <mergeCell ref="B8:C8"/>
    <mergeCell ref="B10:C10"/>
    <mergeCell ref="B11:C11"/>
    <mergeCell ref="B12:C12"/>
    <mergeCell ref="B13:C13"/>
    <mergeCell ref="B14:C14"/>
    <mergeCell ref="B19:C19"/>
    <mergeCell ref="B20:C20"/>
    <mergeCell ref="B31:C31"/>
    <mergeCell ref="B32:C32"/>
    <mergeCell ref="B33:C33"/>
    <mergeCell ref="B34:C34"/>
    <mergeCell ref="B22:C22"/>
    <mergeCell ref="B26:C26"/>
    <mergeCell ref="B27:C27"/>
    <mergeCell ref="B28:C28"/>
    <mergeCell ref="B29:C29"/>
    <mergeCell ref="B30:C30"/>
  </mergeCells>
  <pageMargins left="0.75" right="0.75" top="1" bottom="1" header="0.5" footer="0.5"/>
  <pageSetup paperSize="9" scale="73" orientation="landscape" r:id="rId1"/>
  <headerFooter alignWithMargins="0">
    <oddHeader>&amp;C&amp;"Arial,Bold"&amp;12ROYALE de CASA
(A UNIT OF ROYALE INDIA PVT. LTD.)</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4F22-3CED-4872-A8D9-FC05AA706BA2}">
  <sheetPr>
    <tabColor indexed="10"/>
  </sheetPr>
  <dimension ref="B2:M33"/>
  <sheetViews>
    <sheetView view="pageBreakPreview" topLeftCell="A10" zoomScale="90" zoomScaleNormal="100" zoomScaleSheetLayoutView="90" workbookViewId="0">
      <selection activeCell="E38" sqref="E38"/>
    </sheetView>
  </sheetViews>
  <sheetFormatPr defaultRowHeight="12.75"/>
  <cols>
    <col min="1" max="1" width="9.140625" style="67"/>
    <col min="2" max="2" width="39.7109375" style="67" customWidth="1"/>
    <col min="3" max="3" width="1" style="67" customWidth="1"/>
    <col min="4" max="4" width="8" style="67" customWidth="1"/>
    <col min="5" max="6" width="9.42578125" style="67" bestFit="1" customWidth="1"/>
    <col min="7" max="9" width="9.85546875" style="67" bestFit="1" customWidth="1"/>
    <col min="10" max="10" width="9.7109375" style="67" bestFit="1" customWidth="1"/>
    <col min="11" max="11" width="9.85546875" style="67" bestFit="1" customWidth="1"/>
    <col min="12" max="12" width="9.7109375" style="67" bestFit="1" customWidth="1"/>
    <col min="13" max="13" width="9.140625" style="67" hidden="1" customWidth="1"/>
    <col min="14" max="16384" width="9.140625" style="67"/>
  </cols>
  <sheetData>
    <row r="2" spans="2:13">
      <c r="F2" s="457" t="s">
        <v>120</v>
      </c>
    </row>
    <row r="3" spans="2:13" ht="4.5" customHeight="1"/>
    <row r="4" spans="2:13" ht="18">
      <c r="E4" s="1037" t="s">
        <v>121</v>
      </c>
      <c r="F4" s="1037"/>
      <c r="G4" s="1037"/>
    </row>
    <row r="5" spans="2:13" ht="18">
      <c r="E5" s="1037" t="s">
        <v>122</v>
      </c>
      <c r="F5" s="1037"/>
      <c r="G5" s="1037"/>
    </row>
    <row r="6" spans="2:13" ht="18.75" thickBot="1">
      <c r="E6" s="483"/>
      <c r="F6" s="484" t="s">
        <v>92</v>
      </c>
      <c r="G6" s="483"/>
    </row>
    <row r="7" spans="2:13" ht="13.5" thickBot="1">
      <c r="B7" s="1039" t="s">
        <v>93</v>
      </c>
      <c r="C7" s="1040"/>
      <c r="D7" s="89" t="s">
        <v>123</v>
      </c>
      <c r="E7" s="996" t="s">
        <v>95</v>
      </c>
      <c r="F7" s="996" t="s">
        <v>96</v>
      </c>
      <c r="G7" s="996" t="s">
        <v>97</v>
      </c>
      <c r="H7" s="996" t="s">
        <v>98</v>
      </c>
      <c r="I7" s="996" t="s">
        <v>99</v>
      </c>
      <c r="J7" s="996" t="s">
        <v>100</v>
      </c>
      <c r="K7" s="996" t="s">
        <v>101</v>
      </c>
      <c r="L7" s="996" t="s">
        <v>102</v>
      </c>
      <c r="M7" s="996" t="s">
        <v>103</v>
      </c>
    </row>
    <row r="9" spans="2:13">
      <c r="B9" s="57" t="s">
        <v>124</v>
      </c>
      <c r="C9" s="57"/>
      <c r="D9" s="57"/>
      <c r="E9" s="57">
        <f>'P  L _Case_II'!D25</f>
        <v>1475.5013653846156</v>
      </c>
      <c r="F9" s="57">
        <f>'P  L _Case_II'!E25</f>
        <v>1721.4182596153846</v>
      </c>
      <c r="G9" s="57">
        <f>'P  L _Case_II'!F25</f>
        <v>1967.3351538461541</v>
      </c>
      <c r="H9" s="57">
        <f>'P  L _Case_II'!G25</f>
        <v>2213.2520480769231</v>
      </c>
      <c r="I9" s="57">
        <f>'P  L _Case_II'!H25</f>
        <v>2459.1689423076923</v>
      </c>
      <c r="J9" s="57">
        <f>'P  L _Case_II'!I25</f>
        <v>2459.1689423076923</v>
      </c>
      <c r="K9" s="57">
        <f>'P  L _Case_II'!J25</f>
        <v>2459.1689423076923</v>
      </c>
      <c r="L9" s="57">
        <f>'P  L _Case_II'!K25</f>
        <v>2459.1689423076923</v>
      </c>
      <c r="M9" s="57">
        <f>'P  L _Case_II'!L25</f>
        <v>2459.1689423076923</v>
      </c>
    </row>
    <row r="11" spans="2:13">
      <c r="B11" s="72" t="s">
        <v>125</v>
      </c>
    </row>
    <row r="14" spans="2:13" ht="13.5" thickBot="1">
      <c r="B14" s="66" t="s">
        <v>126</v>
      </c>
      <c r="C14" s="66"/>
      <c r="D14" s="66"/>
      <c r="E14" s="66" t="e">
        <f>'P  L _Case_II'!D51+'P  L _Case_II'!D58-E20</f>
        <v>#REF!</v>
      </c>
      <c r="F14" s="66" t="e">
        <f>'P  L _Case_II'!E51+'P  L _Case_II'!E58-F20</f>
        <v>#REF!</v>
      </c>
      <c r="G14" s="66" t="e">
        <f>'P  L _Case_II'!F51+'P  L _Case_II'!F58-G20</f>
        <v>#REF!</v>
      </c>
      <c r="H14" s="66" t="e">
        <f>'P  L _Case_II'!G51+'P  L _Case_II'!G58-H20</f>
        <v>#REF!</v>
      </c>
      <c r="I14" s="66" t="e">
        <f>'P  L _Case_II'!H51+'P  L _Case_II'!H58-I20</f>
        <v>#REF!</v>
      </c>
      <c r="J14" s="66" t="e">
        <f>'P  L _Case_II'!I51+'P  L _Case_II'!I58-J20</f>
        <v>#REF!</v>
      </c>
      <c r="K14" s="66" t="e">
        <f>'P  L _Case_II'!J51+'P  L _Case_II'!J58-K20</f>
        <v>#REF!</v>
      </c>
      <c r="L14" s="66" t="e">
        <f>'P  L _Case_II'!K51+'P  L _Case_II'!K58-L20</f>
        <v>#REF!</v>
      </c>
      <c r="M14" s="66" t="e">
        <f>'P  L _Case_II'!L51+'P  L _Case_II'!L58-M20</f>
        <v>#VALUE!</v>
      </c>
    </row>
    <row r="15" spans="2:13" ht="13.5" thickTop="1">
      <c r="B15" s="6"/>
      <c r="C15" s="6"/>
      <c r="D15" s="6"/>
      <c r="E15" s="6"/>
      <c r="F15" s="6"/>
      <c r="G15" s="6"/>
      <c r="H15" s="6"/>
      <c r="I15" s="6"/>
      <c r="J15" s="6"/>
      <c r="K15" s="6"/>
      <c r="L15" s="6"/>
      <c r="M15" s="6"/>
    </row>
    <row r="16" spans="2:13">
      <c r="B16" s="57" t="s">
        <v>127</v>
      </c>
      <c r="C16" s="57"/>
      <c r="D16" s="57"/>
      <c r="E16" s="57" t="e">
        <f t="shared" ref="E16:M16" si="0">E9-E14</f>
        <v>#REF!</v>
      </c>
      <c r="F16" s="57" t="e">
        <f t="shared" si="0"/>
        <v>#REF!</v>
      </c>
      <c r="G16" s="57" t="e">
        <f t="shared" si="0"/>
        <v>#REF!</v>
      </c>
      <c r="H16" s="57" t="e">
        <f t="shared" si="0"/>
        <v>#REF!</v>
      </c>
      <c r="I16" s="57" t="e">
        <f t="shared" si="0"/>
        <v>#REF!</v>
      </c>
      <c r="J16" s="57" t="e">
        <f t="shared" si="0"/>
        <v>#REF!</v>
      </c>
      <c r="K16" s="57" t="e">
        <f t="shared" si="0"/>
        <v>#REF!</v>
      </c>
      <c r="L16" s="57" t="e">
        <f t="shared" si="0"/>
        <v>#REF!</v>
      </c>
      <c r="M16" s="57" t="e">
        <f t="shared" si="0"/>
        <v>#VALUE!</v>
      </c>
    </row>
    <row r="17" spans="2:13">
      <c r="B17" s="57"/>
      <c r="C17" s="57"/>
      <c r="D17" s="57"/>
      <c r="E17" s="57"/>
      <c r="F17" s="57"/>
      <c r="G17" s="57"/>
      <c r="H17" s="57"/>
      <c r="I17" s="57"/>
      <c r="J17" s="57"/>
      <c r="K17" s="57"/>
      <c r="L17" s="57"/>
      <c r="M17" s="57"/>
    </row>
    <row r="18" spans="2:13">
      <c r="B18" s="72" t="s">
        <v>128</v>
      </c>
      <c r="C18" s="57"/>
      <c r="D18" s="57"/>
      <c r="E18" s="57"/>
      <c r="F18" s="57"/>
      <c r="G18" s="57"/>
      <c r="H18" s="57"/>
      <c r="I18" s="57"/>
      <c r="J18" s="57"/>
      <c r="K18" s="57"/>
      <c r="L18" s="57"/>
      <c r="M18" s="57"/>
    </row>
    <row r="20" spans="2:13" ht="13.5" thickBot="1">
      <c r="B20" s="66" t="s">
        <v>129</v>
      </c>
      <c r="C20" s="90"/>
      <c r="D20" s="90"/>
      <c r="E20" s="66" t="e">
        <f>#REF!</f>
        <v>#REF!</v>
      </c>
      <c r="F20" s="66" t="e">
        <f>#REF!</f>
        <v>#REF!</v>
      </c>
      <c r="G20" s="66" t="e">
        <f>#REF!</f>
        <v>#REF!</v>
      </c>
      <c r="H20" s="66" t="e">
        <f>#REF!</f>
        <v>#REF!</v>
      </c>
      <c r="I20" s="66" t="e">
        <f>#REF!</f>
        <v>#REF!</v>
      </c>
      <c r="J20" s="66" t="e">
        <f>#REF!</f>
        <v>#REF!</v>
      </c>
      <c r="K20" s="66" t="e">
        <f>#REF!</f>
        <v>#REF!</v>
      </c>
      <c r="L20" s="66" t="e">
        <f>#REF!</f>
        <v>#REF!</v>
      </c>
      <c r="M20" s="66" t="e">
        <f>#REF!</f>
        <v>#REF!</v>
      </c>
    </row>
    <row r="21" spans="2:13" ht="13.5" thickTop="1"/>
    <row r="22" spans="2:13">
      <c r="B22" s="67" t="s">
        <v>130</v>
      </c>
      <c r="E22" s="67" t="e">
        <f t="shared" ref="E22:M22" si="1">E16/E9*100</f>
        <v>#REF!</v>
      </c>
      <c r="F22" s="67" t="e">
        <f t="shared" si="1"/>
        <v>#REF!</v>
      </c>
      <c r="G22" s="67" t="e">
        <f t="shared" si="1"/>
        <v>#REF!</v>
      </c>
      <c r="H22" s="67" t="e">
        <f t="shared" si="1"/>
        <v>#REF!</v>
      </c>
      <c r="I22" s="67" t="e">
        <f t="shared" si="1"/>
        <v>#REF!</v>
      </c>
      <c r="J22" s="67" t="e">
        <f t="shared" si="1"/>
        <v>#REF!</v>
      </c>
      <c r="K22" s="67" t="e">
        <f t="shared" si="1"/>
        <v>#REF!</v>
      </c>
      <c r="L22" s="67" t="e">
        <f t="shared" si="1"/>
        <v>#REF!</v>
      </c>
      <c r="M22" s="67" t="e">
        <f t="shared" si="1"/>
        <v>#VALUE!</v>
      </c>
    </row>
    <row r="23" spans="2:13">
      <c r="B23" s="67" t="s">
        <v>131</v>
      </c>
      <c r="E23" s="67" t="e">
        <f>+E20/E22*100</f>
        <v>#REF!</v>
      </c>
      <c r="F23" s="67" t="e">
        <f t="shared" ref="F23:K23" si="2">+F20/F22*100</f>
        <v>#REF!</v>
      </c>
      <c r="G23" s="67" t="e">
        <f t="shared" si="2"/>
        <v>#REF!</v>
      </c>
      <c r="H23" s="67" t="e">
        <f t="shared" si="2"/>
        <v>#REF!</v>
      </c>
      <c r="I23" s="67" t="e">
        <f t="shared" si="2"/>
        <v>#REF!</v>
      </c>
      <c r="J23" s="67" t="e">
        <f t="shared" si="2"/>
        <v>#REF!</v>
      </c>
      <c r="K23" s="67" t="e">
        <f t="shared" si="2"/>
        <v>#REF!</v>
      </c>
      <c r="L23" s="67" t="e">
        <f>+L20/L22*100</f>
        <v>#REF!</v>
      </c>
      <c r="M23" s="67" t="e">
        <f>+M20/M22*100</f>
        <v>#REF!</v>
      </c>
    </row>
    <row r="24" spans="2:13">
      <c r="B24" s="67" t="s">
        <v>132</v>
      </c>
      <c r="E24" s="67" t="e">
        <f t="shared" ref="E24:M24" si="3">+E23/E9*100</f>
        <v>#REF!</v>
      </c>
      <c r="F24" s="67" t="e">
        <f t="shared" si="3"/>
        <v>#REF!</v>
      </c>
      <c r="G24" s="67" t="e">
        <f t="shared" si="3"/>
        <v>#REF!</v>
      </c>
      <c r="H24" s="67" t="e">
        <f t="shared" si="3"/>
        <v>#REF!</v>
      </c>
      <c r="I24" s="67" t="e">
        <f t="shared" si="3"/>
        <v>#REF!</v>
      </c>
      <c r="J24" s="67" t="e">
        <f t="shared" si="3"/>
        <v>#REF!</v>
      </c>
      <c r="K24" s="67" t="e">
        <f t="shared" si="3"/>
        <v>#REF!</v>
      </c>
      <c r="L24" s="67" t="e">
        <f t="shared" si="3"/>
        <v>#REF!</v>
      </c>
      <c r="M24" s="67" t="e">
        <f t="shared" si="3"/>
        <v>#REF!</v>
      </c>
    </row>
    <row r="25" spans="2:13">
      <c r="B25" s="67" t="s">
        <v>133</v>
      </c>
      <c r="E25" s="57" t="e">
        <f>AVERAGE(E24:L24)</f>
        <v>#REF!</v>
      </c>
    </row>
    <row r="26" spans="2:13">
      <c r="B26" s="67" t="s">
        <v>134</v>
      </c>
      <c r="E26" s="67" t="e">
        <f>E23/SALESPROJECTION!E81*100</f>
        <v>#REF!</v>
      </c>
      <c r="F26" s="67" t="e">
        <f>F23/SALESPROJECTION!F81*100</f>
        <v>#REF!</v>
      </c>
      <c r="G26" s="67" t="e">
        <f>G23/SALESPROJECTION!G81*100</f>
        <v>#REF!</v>
      </c>
      <c r="H26" s="67" t="e">
        <f>H23/SALESPROJECTION!H81*100</f>
        <v>#REF!</v>
      </c>
      <c r="I26" s="67" t="e">
        <f>I23/SALESPROJECTION!I81*100</f>
        <v>#REF!</v>
      </c>
      <c r="J26" s="67" t="e">
        <f>J23/SALESPROJECTION!J81*100</f>
        <v>#REF!</v>
      </c>
      <c r="K26" s="67" t="e">
        <f>K23/SALESPROJECTION!K81*100</f>
        <v>#REF!</v>
      </c>
      <c r="L26" s="67" t="e">
        <f>L23/SALESPROJECTION!L81*100</f>
        <v>#REF!</v>
      </c>
      <c r="M26" s="67" t="e">
        <f>M23/SALESPROJECTION!M81*100</f>
        <v>#REF!</v>
      </c>
    </row>
    <row r="27" spans="2:13">
      <c r="B27" s="67" t="s">
        <v>135</v>
      </c>
      <c r="E27" s="57" t="e">
        <f>AVERAGE(E26:L26)</f>
        <v>#REF!</v>
      </c>
    </row>
    <row r="28" spans="2:13">
      <c r="B28" s="67" t="s">
        <v>136</v>
      </c>
      <c r="E28" s="67" t="e">
        <f>(((E20-('P  L _Case_II'!D49*0.75))/E22*100/SALESPROJECTION!E81*100))</f>
        <v>#REF!</v>
      </c>
      <c r="F28" s="67" t="e">
        <f>(((F20-('P  L _Case_II'!E49*0.75))/F22*100/SALESPROJECTION!F81*100))</f>
        <v>#REF!</v>
      </c>
      <c r="G28" s="67" t="e">
        <f>(((G20-('P  L _Case_II'!F49*0.75))/G22*100/SALESPROJECTION!G81*100))</f>
        <v>#REF!</v>
      </c>
      <c r="H28" s="67" t="e">
        <f>(((H20-('P  L _Case_II'!G49*0.75))/H22*100/SALESPROJECTION!H81*100))</f>
        <v>#REF!</v>
      </c>
      <c r="I28" s="67" t="e">
        <f>(((I20-('P  L _Case_II'!H49*0.75))/I22*100/SALESPROJECTION!I81*100))</f>
        <v>#REF!</v>
      </c>
      <c r="J28" s="67" t="e">
        <f>(((J20-('P  L _Case_II'!I49*0.75))/J22*100/SALESPROJECTION!J81*100))</f>
        <v>#REF!</v>
      </c>
      <c r="K28" s="67" t="e">
        <f>(((K20-('P  L _Case_II'!J49*0.75))/K22*100/SALESPROJECTION!K81*100))</f>
        <v>#REF!</v>
      </c>
      <c r="L28" s="67" t="e">
        <f>(((L20-('P  L _Case_II'!K49*0.75))/L22*100/SALESPROJECTION!L81*100))</f>
        <v>#REF!</v>
      </c>
      <c r="M28" s="67" t="e">
        <f>(((M20-('P  L _Case_II'!L49*0.75))/M22*100/SALESPROJECTION!M81*100))</f>
        <v>#REF!</v>
      </c>
    </row>
    <row r="29" spans="2:13">
      <c r="B29" s="67" t="s">
        <v>137</v>
      </c>
      <c r="E29" s="57" t="e">
        <f>AVERAGE(E28:L28)</f>
        <v>#REF!</v>
      </c>
    </row>
    <row r="30" spans="2:13">
      <c r="E30" s="57"/>
    </row>
    <row r="31" spans="2:13">
      <c r="E31" s="57"/>
    </row>
    <row r="32" spans="2:13">
      <c r="E32" s="67" t="e">
        <f t="shared" ref="E32:M32" si="4">E20+E14</f>
        <v>#REF!</v>
      </c>
      <c r="F32" s="67" t="e">
        <f t="shared" si="4"/>
        <v>#REF!</v>
      </c>
      <c r="G32" s="67" t="e">
        <f t="shared" si="4"/>
        <v>#REF!</v>
      </c>
      <c r="H32" s="67" t="e">
        <f t="shared" si="4"/>
        <v>#REF!</v>
      </c>
      <c r="I32" s="67" t="e">
        <f t="shared" si="4"/>
        <v>#REF!</v>
      </c>
      <c r="J32" s="67" t="e">
        <f t="shared" si="4"/>
        <v>#REF!</v>
      </c>
      <c r="K32" s="67" t="e">
        <f t="shared" si="4"/>
        <v>#REF!</v>
      </c>
      <c r="L32" s="67" t="e">
        <f t="shared" si="4"/>
        <v>#REF!</v>
      </c>
      <c r="M32" s="67" t="e">
        <f t="shared" si="4"/>
        <v>#REF!</v>
      </c>
    </row>
    <row r="33" spans="5:13">
      <c r="E33" s="67" t="e">
        <f>E32-'P  L _Case_II'!D51-'P  L _Case_II'!D58</f>
        <v>#REF!</v>
      </c>
      <c r="F33" s="67" t="e">
        <f>F32-'P  L _Case_II'!E51-'P  L _Case_II'!E58</f>
        <v>#REF!</v>
      </c>
      <c r="G33" s="67" t="e">
        <f>G32-'P  L _Case_II'!F51-'P  L _Case_II'!F58</f>
        <v>#REF!</v>
      </c>
      <c r="H33" s="67" t="e">
        <f>H32-'P  L _Case_II'!G51-'P  L _Case_II'!G58</f>
        <v>#REF!</v>
      </c>
      <c r="I33" s="67" t="e">
        <f>I32-'P  L _Case_II'!H51-'P  L _Case_II'!H58</f>
        <v>#REF!</v>
      </c>
      <c r="J33" s="67" t="e">
        <f>J32-'P  L _Case_II'!I51-'P  L _Case_II'!I58</f>
        <v>#REF!</v>
      </c>
      <c r="K33" s="67" t="e">
        <f>K32-'P  L _Case_II'!J51-'P  L _Case_II'!J58</f>
        <v>#REF!</v>
      </c>
      <c r="L33" s="67" t="e">
        <f>L32-'P  L _Case_II'!K51-'P  L _Case_II'!K58</f>
        <v>#REF!</v>
      </c>
      <c r="M33" s="67" t="e">
        <f>M32-'P  L _Case_II'!L51-'P  L _Case_II'!L58</f>
        <v>#REF!</v>
      </c>
    </row>
  </sheetData>
  <mergeCells count="3">
    <mergeCell ref="E4:G4"/>
    <mergeCell ref="E5:G5"/>
    <mergeCell ref="B7:C7"/>
  </mergeCells>
  <pageMargins left="0.5" right="0.25" top="0.71" bottom="0.5" header="0.33" footer="0.25"/>
  <pageSetup paperSize="9" scale="80" orientation="landscape" r:id="rId1"/>
  <headerFooter alignWithMargins="0">
    <oddHeader>&amp;C&amp;"Arial,Bold"&amp;12ROYALE de CASA
(A UNIT OF ROYALE INDIA PVT. LTD.)</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3007D-DEE1-4E89-A755-31AAEA2E921D}">
  <sheetPr>
    <tabColor indexed="13"/>
  </sheetPr>
  <dimension ref="A1:Y126"/>
  <sheetViews>
    <sheetView view="pageBreakPreview" zoomScale="60" zoomScaleNormal="115" workbookViewId="0">
      <selection activeCell="D71" sqref="D71"/>
    </sheetView>
  </sheetViews>
  <sheetFormatPr defaultRowHeight="12.75"/>
  <cols>
    <col min="1" max="1" width="33.7109375" style="51" customWidth="1"/>
    <col min="2" max="2" width="9.140625" style="51"/>
    <col min="3" max="3" width="13.85546875" style="51" bestFit="1" customWidth="1"/>
    <col min="4" max="4" width="9.7109375" style="51" bestFit="1" customWidth="1"/>
    <col min="5" max="5" width="9.28515625" style="51" bestFit="1" customWidth="1"/>
    <col min="6" max="6" width="9.42578125" style="51" bestFit="1" customWidth="1"/>
    <col min="7" max="7" width="9.28515625" style="51" bestFit="1" customWidth="1"/>
    <col min="8" max="9" width="9.42578125" style="51" bestFit="1" customWidth="1"/>
    <col min="10" max="10" width="9.85546875" style="51" bestFit="1" customWidth="1"/>
    <col min="11" max="11" width="9.28515625" style="51" bestFit="1" customWidth="1"/>
    <col min="12" max="12" width="9.140625" style="51" hidden="1" customWidth="1"/>
    <col min="13" max="16384" width="9.140625" style="51"/>
  </cols>
  <sheetData>
    <row r="1" spans="1:25" ht="4.5" customHeight="1"/>
    <row r="2" spans="1:25">
      <c r="D2" s="1009" t="s">
        <v>138</v>
      </c>
    </row>
    <row r="3" spans="1:25" ht="5.25" customHeight="1"/>
    <row r="4" spans="1:25">
      <c r="D4" s="999" t="s">
        <v>139</v>
      </c>
      <c r="E4" s="999"/>
      <c r="F4" s="999"/>
    </row>
    <row r="5" spans="1:25">
      <c r="C5" s="1021" t="s">
        <v>140</v>
      </c>
      <c r="D5" s="1021"/>
      <c r="E5" s="1021"/>
      <c r="F5" s="999"/>
    </row>
    <row r="6" spans="1:25">
      <c r="D6" s="1008"/>
      <c r="E6" s="1008"/>
      <c r="J6" s="306" t="s">
        <v>141</v>
      </c>
    </row>
    <row r="7" spans="1:25">
      <c r="T7" s="84"/>
    </row>
    <row r="8" spans="1:25">
      <c r="A8" s="998" t="s">
        <v>93</v>
      </c>
      <c r="B8" s="998"/>
      <c r="C8" s="998"/>
      <c r="D8" s="998">
        <v>1</v>
      </c>
      <c r="E8" s="998">
        <v>2</v>
      </c>
      <c r="F8" s="998">
        <v>3</v>
      </c>
      <c r="G8" s="998">
        <v>4</v>
      </c>
      <c r="H8" s="998">
        <v>5</v>
      </c>
      <c r="I8" s="998">
        <v>6</v>
      </c>
      <c r="J8" s="1011">
        <v>7</v>
      </c>
      <c r="K8" s="1011">
        <v>8</v>
      </c>
      <c r="L8" s="1011">
        <v>9</v>
      </c>
      <c r="M8" s="82"/>
      <c r="N8" s="82"/>
      <c r="O8" s="82"/>
      <c r="P8" s="82"/>
      <c r="Q8" s="82"/>
      <c r="R8" s="82"/>
      <c r="S8" s="82"/>
      <c r="T8" s="82"/>
    </row>
    <row r="9" spans="1:25">
      <c r="A9" s="83"/>
      <c r="B9" s="84"/>
      <c r="C9" s="84"/>
      <c r="D9" s="84"/>
      <c r="E9" s="84"/>
      <c r="F9" s="84"/>
      <c r="G9" s="84"/>
      <c r="H9" s="84"/>
      <c r="I9" s="84"/>
      <c r="J9" s="84"/>
      <c r="K9" s="84"/>
      <c r="L9" s="84"/>
      <c r="M9" s="84"/>
      <c r="N9" s="84"/>
      <c r="O9" s="84"/>
      <c r="P9" s="84"/>
      <c r="Q9" s="84"/>
      <c r="R9" s="84"/>
      <c r="S9" s="84"/>
      <c r="T9" s="84"/>
    </row>
    <row r="10" spans="1:25">
      <c r="A10" s="83" t="s">
        <v>142</v>
      </c>
      <c r="B10" s="84"/>
      <c r="C10" s="84"/>
      <c r="D10" s="43">
        <f>SALESPROJECTION!E74</f>
        <v>3668.25</v>
      </c>
      <c r="E10" s="43">
        <f>SALESPROJECTION!F74</f>
        <v>3668.25</v>
      </c>
      <c r="F10" s="43">
        <f>SALESPROJECTION!G74</f>
        <v>3668.25</v>
      </c>
      <c r="G10" s="43">
        <f>SALESPROJECTION!H74</f>
        <v>3668.25</v>
      </c>
      <c r="H10" s="43">
        <f>SALESPROJECTION!I74</f>
        <v>3668.25</v>
      </c>
      <c r="I10" s="43">
        <f>SALESPROJECTION!J74</f>
        <v>3668.25</v>
      </c>
      <c r="J10" s="43">
        <f>SALESPROJECTION!K74</f>
        <v>3668.25</v>
      </c>
      <c r="K10" s="43">
        <f>SALESPROJECTION!L74</f>
        <v>3668.25</v>
      </c>
      <c r="L10" s="43">
        <f>SALESPROJECTION!M74</f>
        <v>3668.25</v>
      </c>
      <c r="M10" s="43"/>
      <c r="N10" s="43"/>
      <c r="O10" s="43"/>
      <c r="P10" s="43"/>
      <c r="Q10" s="43"/>
      <c r="R10" s="43"/>
      <c r="S10" s="43"/>
      <c r="T10" s="43"/>
    </row>
    <row r="11" spans="1:25">
      <c r="A11" s="83" t="s">
        <v>143</v>
      </c>
      <c r="B11" s="84"/>
      <c r="C11" s="84"/>
      <c r="D11" s="43">
        <f>SALESPROJECTION!E75</f>
        <v>884.33568749999995</v>
      </c>
      <c r="E11" s="43">
        <f>SALESPROJECTION!F75</f>
        <v>884.33568749999995</v>
      </c>
      <c r="F11" s="43">
        <f>SALESPROJECTION!G75</f>
        <v>884.33568749999995</v>
      </c>
      <c r="G11" s="43">
        <f>SALESPROJECTION!H75</f>
        <v>884.33568749999995</v>
      </c>
      <c r="H11" s="43">
        <f>SALESPROJECTION!I75</f>
        <v>884.33568749999995</v>
      </c>
      <c r="I11" s="43">
        <f>SALESPROJECTION!J75</f>
        <v>884.33568749999995</v>
      </c>
      <c r="J11" s="43">
        <f>SALESPROJECTION!K75</f>
        <v>884.33568749999995</v>
      </c>
      <c r="K11" s="43">
        <f>SALESPROJECTION!L75</f>
        <v>884.33568749999995</v>
      </c>
      <c r="L11" s="43">
        <f>SALESPROJECTION!M75</f>
        <v>884.33568749999995</v>
      </c>
      <c r="M11" s="43"/>
      <c r="N11" s="43"/>
      <c r="O11" s="43"/>
      <c r="P11" s="43"/>
      <c r="Q11" s="43"/>
      <c r="R11" s="43"/>
      <c r="S11" s="43"/>
      <c r="T11" s="43"/>
    </row>
    <row r="12" spans="1:25">
      <c r="A12" s="67" t="s">
        <v>144</v>
      </c>
      <c r="B12" s="84"/>
      <c r="C12" s="84"/>
      <c r="D12" s="43">
        <f>SALESPROJECTION!E76</f>
        <v>195</v>
      </c>
      <c r="E12" s="43">
        <f>SALESPROJECTION!F76</f>
        <v>195</v>
      </c>
      <c r="F12" s="43">
        <f>SALESPROJECTION!G76</f>
        <v>195</v>
      </c>
      <c r="G12" s="43">
        <f>SALESPROJECTION!H76</f>
        <v>195</v>
      </c>
      <c r="H12" s="43">
        <f>SALESPROJECTION!I76</f>
        <v>195</v>
      </c>
      <c r="I12" s="43">
        <f>SALESPROJECTION!J76</f>
        <v>195</v>
      </c>
      <c r="J12" s="43">
        <f>SALESPROJECTION!K76</f>
        <v>195</v>
      </c>
      <c r="K12" s="43">
        <f>SALESPROJECTION!L76</f>
        <v>195</v>
      </c>
      <c r="L12" s="43">
        <f>SALESPROJECTION!M76</f>
        <v>195</v>
      </c>
      <c r="M12" s="43"/>
      <c r="N12" s="43"/>
      <c r="O12" s="43"/>
      <c r="P12" s="43"/>
      <c r="Q12" s="43"/>
      <c r="R12" s="43"/>
      <c r="S12" s="43"/>
      <c r="T12" s="43"/>
    </row>
    <row r="13" spans="1:25">
      <c r="A13" s="67" t="s">
        <v>145</v>
      </c>
      <c r="B13" s="84"/>
      <c r="C13" s="84"/>
      <c r="D13" s="43">
        <f>SALESPROJECTION!E79</f>
        <v>45</v>
      </c>
      <c r="E13" s="43">
        <f>SALESPROJECTION!F79</f>
        <v>45</v>
      </c>
      <c r="F13" s="43">
        <f>SALESPROJECTION!G79</f>
        <v>45</v>
      </c>
      <c r="G13" s="43">
        <f>SALESPROJECTION!H79</f>
        <v>45</v>
      </c>
      <c r="H13" s="43">
        <f>SALESPROJECTION!I79</f>
        <v>45</v>
      </c>
      <c r="I13" s="43">
        <f>SALESPROJECTION!J79</f>
        <v>45</v>
      </c>
      <c r="J13" s="43">
        <f>SALESPROJECTION!K79</f>
        <v>45</v>
      </c>
      <c r="K13" s="43">
        <f>SALESPROJECTION!L79</f>
        <v>45</v>
      </c>
      <c r="L13" s="43">
        <f>SALESPROJECTION!M79</f>
        <v>45</v>
      </c>
      <c r="M13" s="43"/>
      <c r="N13" s="43"/>
      <c r="O13" s="43"/>
      <c r="P13" s="43"/>
      <c r="Q13" s="43"/>
      <c r="R13" s="43"/>
      <c r="S13" s="43"/>
      <c r="T13" s="43"/>
    </row>
    <row r="14" spans="1:25">
      <c r="A14" s="83" t="s">
        <v>146</v>
      </c>
      <c r="B14" s="84"/>
      <c r="C14" s="84"/>
      <c r="D14" s="43">
        <f>SALESPROJECTION!E80</f>
        <v>125.7521971153846</v>
      </c>
      <c r="E14" s="43">
        <f>SALESPROJECTION!F80</f>
        <v>125.7521971153846</v>
      </c>
      <c r="F14" s="43">
        <f>SALESPROJECTION!G80</f>
        <v>125.7521971153846</v>
      </c>
      <c r="G14" s="43">
        <f>SALESPROJECTION!H80</f>
        <v>125.7521971153846</v>
      </c>
      <c r="H14" s="43">
        <f>SALESPROJECTION!I80</f>
        <v>125.7521971153846</v>
      </c>
      <c r="I14" s="43">
        <f>SALESPROJECTION!J80</f>
        <v>125.7521971153846</v>
      </c>
      <c r="J14" s="43">
        <f>SALESPROJECTION!K80</f>
        <v>125.7521971153846</v>
      </c>
      <c r="K14" s="43">
        <f>SALESPROJECTION!L80</f>
        <v>125.7521971153846</v>
      </c>
      <c r="L14" s="43">
        <f>SALESPROJECTION!M80</f>
        <v>125.7521971153846</v>
      </c>
      <c r="M14" s="43"/>
      <c r="N14" s="43"/>
      <c r="O14" s="43"/>
      <c r="P14" s="43"/>
      <c r="Q14" s="43"/>
      <c r="R14" s="43"/>
      <c r="S14" s="43"/>
      <c r="T14" s="43"/>
    </row>
    <row r="15" spans="1:25">
      <c r="A15" s="77" t="s">
        <v>124</v>
      </c>
      <c r="B15" s="78"/>
      <c r="C15" s="78"/>
      <c r="D15" s="6">
        <f>SUM(D10:D14)</f>
        <v>4918.3378846153846</v>
      </c>
      <c r="E15" s="6">
        <f t="shared" ref="E15:J15" si="0">SUM(E10:E14)</f>
        <v>4918.3378846153846</v>
      </c>
      <c r="F15" s="6">
        <f t="shared" si="0"/>
        <v>4918.3378846153846</v>
      </c>
      <c r="G15" s="6">
        <f t="shared" si="0"/>
        <v>4918.3378846153846</v>
      </c>
      <c r="H15" s="6">
        <f t="shared" si="0"/>
        <v>4918.3378846153846</v>
      </c>
      <c r="I15" s="6">
        <f t="shared" si="0"/>
        <v>4918.3378846153846</v>
      </c>
      <c r="J15" s="6">
        <f t="shared" si="0"/>
        <v>4918.3378846153846</v>
      </c>
      <c r="K15" s="6">
        <f>SUM(K10:K14)</f>
        <v>4918.3378846153846</v>
      </c>
      <c r="L15" s="6">
        <f>SUM(L10:L14)</f>
        <v>4918.3378846153846</v>
      </c>
      <c r="M15" s="6"/>
      <c r="N15" s="6"/>
      <c r="O15" s="6"/>
      <c r="P15" s="6"/>
      <c r="Q15" s="6"/>
      <c r="R15" s="6"/>
      <c r="S15" s="6"/>
      <c r="T15" s="43">
        <f>E15-SALESPROJECTION!F81</f>
        <v>-111.75</v>
      </c>
      <c r="U15" s="43">
        <f>F15-SALESPROJECTION!G81</f>
        <v>-111.75</v>
      </c>
      <c r="V15" s="43">
        <f>G15-SALESPROJECTION!H81</f>
        <v>-111.75</v>
      </c>
      <c r="W15" s="43">
        <f>H15-SALESPROJECTION!I81</f>
        <v>-111.75</v>
      </c>
      <c r="X15" s="43">
        <f>I15-SALESPROJECTION!J81</f>
        <v>-111.75</v>
      </c>
      <c r="Y15" s="43">
        <f>J15-SALESPROJECTION!K81</f>
        <v>-111.75</v>
      </c>
    </row>
    <row r="16" spans="1:25">
      <c r="A16" s="77" t="s">
        <v>147</v>
      </c>
      <c r="B16" s="78"/>
      <c r="C16" s="78"/>
      <c r="D16" s="79">
        <f>40%-10%</f>
        <v>0.30000000000000004</v>
      </c>
      <c r="E16" s="79">
        <f>D16+0.05</f>
        <v>0.35000000000000003</v>
      </c>
      <c r="F16" s="79">
        <f>E16+0.05</f>
        <v>0.4</v>
      </c>
      <c r="G16" s="79">
        <f>F16+0.05</f>
        <v>0.45</v>
      </c>
      <c r="H16" s="79">
        <f>G16+5%</f>
        <v>0.5</v>
      </c>
      <c r="I16" s="79">
        <f>H16</f>
        <v>0.5</v>
      </c>
      <c r="J16" s="79">
        <f>I16</f>
        <v>0.5</v>
      </c>
      <c r="K16" s="79">
        <f>J16</f>
        <v>0.5</v>
      </c>
      <c r="L16" s="79">
        <f>K16</f>
        <v>0.5</v>
      </c>
      <c r="M16" s="79"/>
      <c r="N16" s="79"/>
      <c r="O16" s="79"/>
      <c r="P16" s="79"/>
      <c r="Q16" s="79"/>
      <c r="R16" s="79"/>
      <c r="S16" s="79"/>
      <c r="T16" s="85"/>
    </row>
    <row r="17" spans="1:23">
      <c r="A17" s="83"/>
      <c r="B17" s="84"/>
      <c r="C17" s="84"/>
      <c r="D17" s="84"/>
      <c r="E17" s="84"/>
      <c r="F17" s="84"/>
      <c r="G17" s="84"/>
      <c r="H17" s="84"/>
      <c r="I17" s="84"/>
      <c r="J17" s="84"/>
      <c r="K17" s="84"/>
      <c r="L17" s="84"/>
      <c r="M17" s="84"/>
      <c r="N17" s="84"/>
      <c r="O17" s="84"/>
      <c r="P17" s="84"/>
      <c r="Q17" s="84"/>
      <c r="R17" s="84"/>
      <c r="S17" s="84"/>
      <c r="T17" s="84"/>
    </row>
    <row r="18" spans="1:23">
      <c r="A18" s="80" t="s">
        <v>148</v>
      </c>
      <c r="B18" s="78"/>
      <c r="C18" s="78"/>
      <c r="D18" s="78"/>
      <c r="E18" s="78"/>
      <c r="F18" s="78"/>
      <c r="G18" s="84"/>
      <c r="H18" s="84"/>
      <c r="I18" s="84"/>
      <c r="J18" s="84"/>
      <c r="K18" s="84"/>
      <c r="L18" s="84"/>
      <c r="M18" s="84"/>
      <c r="N18" s="84"/>
      <c r="O18" s="84"/>
      <c r="P18" s="84"/>
      <c r="Q18" s="84"/>
      <c r="R18" s="84"/>
      <c r="S18" s="84"/>
      <c r="T18" s="84"/>
    </row>
    <row r="19" spans="1:23">
      <c r="A19" s="80"/>
      <c r="B19" s="78"/>
      <c r="C19" s="78"/>
      <c r="D19" s="78"/>
      <c r="E19" s="78"/>
      <c r="F19" s="78"/>
      <c r="G19" s="84"/>
      <c r="H19" s="84"/>
      <c r="I19" s="84"/>
      <c r="J19" s="84"/>
      <c r="K19" s="84"/>
      <c r="L19" s="84"/>
      <c r="M19" s="84"/>
      <c r="N19" s="84"/>
      <c r="O19" s="84"/>
      <c r="P19" s="84"/>
      <c r="Q19" s="84"/>
      <c r="R19" s="84"/>
      <c r="S19" s="84"/>
      <c r="T19" s="84"/>
    </row>
    <row r="20" spans="1:23">
      <c r="A20" s="83" t="s">
        <v>149</v>
      </c>
      <c r="B20" s="84"/>
      <c r="C20" s="84"/>
      <c r="D20" s="43">
        <f t="shared" ref="D20:J20" si="1">D16*D10</f>
        <v>1100.4750000000001</v>
      </c>
      <c r="E20" s="43">
        <f t="shared" si="1"/>
        <v>1283.8875</v>
      </c>
      <c r="F20" s="43">
        <f t="shared" si="1"/>
        <v>1467.3000000000002</v>
      </c>
      <c r="G20" s="43">
        <f t="shared" si="1"/>
        <v>1650.7125000000001</v>
      </c>
      <c r="H20" s="43">
        <f t="shared" si="1"/>
        <v>1834.125</v>
      </c>
      <c r="I20" s="43">
        <f t="shared" si="1"/>
        <v>1834.125</v>
      </c>
      <c r="J20" s="43">
        <f t="shared" si="1"/>
        <v>1834.125</v>
      </c>
      <c r="K20" s="43">
        <f>K16*K10</f>
        <v>1834.125</v>
      </c>
      <c r="L20" s="43">
        <f>L16*L10</f>
        <v>1834.125</v>
      </c>
      <c r="M20" s="43"/>
      <c r="N20" s="43"/>
      <c r="O20" s="43"/>
      <c r="P20" s="43"/>
      <c r="Q20" s="43"/>
      <c r="R20" s="43"/>
      <c r="S20" s="43"/>
      <c r="T20" s="43"/>
    </row>
    <row r="21" spans="1:23">
      <c r="A21" s="83" t="s">
        <v>143</v>
      </c>
      <c r="B21" s="84"/>
      <c r="C21" s="84"/>
      <c r="D21" s="43">
        <f>$D$16*D11</f>
        <v>265.30070625000002</v>
      </c>
      <c r="E21" s="43">
        <f>$E$16*E11</f>
        <v>309.51749062499999</v>
      </c>
      <c r="F21" s="43">
        <f>$F$16*F11</f>
        <v>353.73427500000003</v>
      </c>
      <c r="G21" s="43">
        <f>$G$16*G11</f>
        <v>397.951059375</v>
      </c>
      <c r="H21" s="43">
        <f>$H$16*H11</f>
        <v>442.16784374999997</v>
      </c>
      <c r="I21" s="43">
        <f>$I$16*I11</f>
        <v>442.16784374999997</v>
      </c>
      <c r="J21" s="43">
        <f>$J$16*J11</f>
        <v>442.16784374999997</v>
      </c>
      <c r="K21" s="43">
        <f t="shared" ref="K21:L23" si="2">$K$16*K11</f>
        <v>442.16784374999997</v>
      </c>
      <c r="L21" s="43">
        <f t="shared" si="2"/>
        <v>442.16784374999997</v>
      </c>
      <c r="M21" s="43"/>
      <c r="N21" s="43"/>
      <c r="O21" s="43"/>
      <c r="P21" s="43"/>
      <c r="Q21" s="43"/>
      <c r="R21" s="43"/>
      <c r="S21" s="43"/>
      <c r="T21" s="43"/>
    </row>
    <row r="22" spans="1:23">
      <c r="A22" s="67" t="s">
        <v>144</v>
      </c>
      <c r="B22" s="84"/>
      <c r="C22" s="84"/>
      <c r="D22" s="43">
        <f>$D$16*D12</f>
        <v>58.500000000000007</v>
      </c>
      <c r="E22" s="43">
        <f>$E$16*E12</f>
        <v>68.25</v>
      </c>
      <c r="F22" s="43">
        <f>$F$16*F12</f>
        <v>78</v>
      </c>
      <c r="G22" s="43">
        <f>$G$16*G12</f>
        <v>87.75</v>
      </c>
      <c r="H22" s="43">
        <f>$H$16*H12</f>
        <v>97.5</v>
      </c>
      <c r="I22" s="43">
        <f>$I$16*I12</f>
        <v>97.5</v>
      </c>
      <c r="J22" s="43">
        <f>$J$16*J12</f>
        <v>97.5</v>
      </c>
      <c r="K22" s="43">
        <f t="shared" si="2"/>
        <v>97.5</v>
      </c>
      <c r="L22" s="43">
        <f t="shared" si="2"/>
        <v>97.5</v>
      </c>
      <c r="M22" s="43"/>
      <c r="N22" s="43"/>
      <c r="O22" s="43"/>
      <c r="P22" s="43"/>
      <c r="Q22" s="43"/>
      <c r="R22" s="43"/>
      <c r="S22" s="43"/>
      <c r="T22" s="43"/>
    </row>
    <row r="23" spans="1:23">
      <c r="A23" s="67" t="s">
        <v>145</v>
      </c>
      <c r="B23" s="84"/>
      <c r="C23" s="84"/>
      <c r="D23" s="43">
        <f>$D$16*D13</f>
        <v>13.500000000000002</v>
      </c>
      <c r="E23" s="43">
        <f>$E$16*E13</f>
        <v>15.750000000000002</v>
      </c>
      <c r="F23" s="43">
        <f>$F$16*F13</f>
        <v>18</v>
      </c>
      <c r="G23" s="43">
        <f>$G$16*G13</f>
        <v>20.25</v>
      </c>
      <c r="H23" s="43">
        <f>$H$16*H13</f>
        <v>22.5</v>
      </c>
      <c r="I23" s="43">
        <f>$I$16*I13</f>
        <v>22.5</v>
      </c>
      <c r="J23" s="43">
        <f>$J$16*J13</f>
        <v>22.5</v>
      </c>
      <c r="K23" s="43">
        <f t="shared" si="2"/>
        <v>22.5</v>
      </c>
      <c r="L23" s="43">
        <f t="shared" si="2"/>
        <v>22.5</v>
      </c>
      <c r="M23" s="43"/>
      <c r="N23" s="43"/>
      <c r="O23" s="43"/>
      <c r="P23" s="43"/>
      <c r="Q23" s="43"/>
      <c r="R23" s="43"/>
      <c r="S23" s="43"/>
      <c r="T23" s="43"/>
    </row>
    <row r="24" spans="1:23">
      <c r="A24" s="83" t="s">
        <v>146</v>
      </c>
      <c r="B24" s="84"/>
      <c r="C24" s="84"/>
      <c r="D24" s="43">
        <f>D16*D14</f>
        <v>37.725659134615384</v>
      </c>
      <c r="E24" s="43">
        <f t="shared" ref="E24:J24" si="3">E16*E14</f>
        <v>44.013268990384617</v>
      </c>
      <c r="F24" s="43">
        <f t="shared" si="3"/>
        <v>50.300878846153843</v>
      </c>
      <c r="G24" s="43">
        <f t="shared" si="3"/>
        <v>56.588488701923076</v>
      </c>
      <c r="H24" s="43">
        <f t="shared" si="3"/>
        <v>62.876098557692302</v>
      </c>
      <c r="I24" s="43">
        <f t="shared" si="3"/>
        <v>62.876098557692302</v>
      </c>
      <c r="J24" s="43">
        <f t="shared" si="3"/>
        <v>62.876098557692302</v>
      </c>
      <c r="K24" s="43">
        <f>K16*K14</f>
        <v>62.876098557692302</v>
      </c>
      <c r="L24" s="43">
        <f>L16*L14</f>
        <v>62.876098557692302</v>
      </c>
      <c r="M24" s="43"/>
      <c r="N24" s="43"/>
      <c r="O24" s="43"/>
      <c r="P24" s="43"/>
      <c r="Q24" s="43"/>
      <c r="R24" s="43"/>
      <c r="S24" s="43"/>
      <c r="T24" s="43"/>
    </row>
    <row r="25" spans="1:23" ht="13.5" thickBot="1">
      <c r="A25" s="81" t="s">
        <v>150</v>
      </c>
      <c r="B25" s="53"/>
      <c r="C25" s="53"/>
      <c r="D25" s="66">
        <f t="shared" ref="D25:K25" si="4">SUM(D20:D24)</f>
        <v>1475.5013653846156</v>
      </c>
      <c r="E25" s="66">
        <f t="shared" si="4"/>
        <v>1721.4182596153846</v>
      </c>
      <c r="F25" s="66">
        <f t="shared" si="4"/>
        <v>1967.3351538461541</v>
      </c>
      <c r="G25" s="66">
        <f t="shared" si="4"/>
        <v>2213.2520480769231</v>
      </c>
      <c r="H25" s="66">
        <f t="shared" si="4"/>
        <v>2459.1689423076923</v>
      </c>
      <c r="I25" s="66">
        <f t="shared" si="4"/>
        <v>2459.1689423076923</v>
      </c>
      <c r="J25" s="66">
        <f t="shared" si="4"/>
        <v>2459.1689423076923</v>
      </c>
      <c r="K25" s="66">
        <f t="shared" si="4"/>
        <v>2459.1689423076923</v>
      </c>
      <c r="L25" s="66">
        <f>SUM(L20:L24)</f>
        <v>2459.1689423076923</v>
      </c>
      <c r="M25" s="6"/>
      <c r="N25" s="6"/>
      <c r="O25" s="6"/>
      <c r="P25" s="6"/>
      <c r="Q25" s="6"/>
      <c r="R25" s="6"/>
      <c r="S25" s="6"/>
      <c r="T25" s="43"/>
    </row>
    <row r="26" spans="1:23" ht="13.5" thickTop="1">
      <c r="A26" s="83"/>
      <c r="B26" s="84"/>
      <c r="C26" s="84"/>
      <c r="D26" s="84"/>
      <c r="E26" s="84"/>
      <c r="F26" s="84"/>
      <c r="G26" s="84"/>
      <c r="H26" s="84"/>
      <c r="I26" s="84"/>
      <c r="J26" s="84"/>
      <c r="K26" s="84"/>
      <c r="L26" s="84"/>
      <c r="M26" s="84"/>
      <c r="N26" s="84"/>
      <c r="O26" s="84"/>
      <c r="P26" s="84"/>
      <c r="Q26" s="84"/>
      <c r="R26" s="84"/>
      <c r="S26" s="84"/>
      <c r="T26" s="84"/>
    </row>
    <row r="27" spans="1:23">
      <c r="A27" s="77" t="s">
        <v>151</v>
      </c>
      <c r="B27" s="82" t="s">
        <v>152</v>
      </c>
      <c r="C27" s="82" t="s">
        <v>153</v>
      </c>
      <c r="D27" s="84"/>
      <c r="E27" s="84"/>
      <c r="F27" s="84"/>
      <c r="G27" s="84"/>
      <c r="H27" s="84"/>
      <c r="I27" s="84"/>
      <c r="J27" s="84"/>
      <c r="K27" s="84"/>
      <c r="L27" s="84"/>
      <c r="M27" s="84"/>
      <c r="N27" s="84"/>
      <c r="O27" s="84"/>
      <c r="P27" s="84"/>
      <c r="Q27" s="84"/>
      <c r="R27" s="84"/>
      <c r="S27" s="84"/>
      <c r="T27" s="84"/>
      <c r="U27" s="50"/>
    </row>
    <row r="28" spans="1:23">
      <c r="A28" s="77"/>
      <c r="B28" s="82"/>
      <c r="C28" s="82"/>
      <c r="D28" s="84"/>
      <c r="E28" s="84"/>
      <c r="F28" s="84"/>
      <c r="G28" s="84"/>
      <c r="H28" s="84"/>
      <c r="I28" s="84"/>
      <c r="J28" s="84"/>
      <c r="K28" s="84"/>
      <c r="L28" s="84"/>
      <c r="M28" s="84"/>
      <c r="N28" s="84"/>
      <c r="O28" s="84"/>
      <c r="P28" s="84"/>
      <c r="Q28" s="84"/>
      <c r="R28" s="84"/>
      <c r="S28" s="84"/>
      <c r="T28" s="84"/>
    </row>
    <row r="29" spans="1:23">
      <c r="A29" s="83" t="s">
        <v>154</v>
      </c>
      <c r="B29" s="86">
        <v>0.4</v>
      </c>
      <c r="C29" s="85" t="s">
        <v>155</v>
      </c>
      <c r="D29" s="43">
        <f>ROUND(B29*D21,2)</f>
        <v>106.12</v>
      </c>
      <c r="E29" s="43">
        <f>B29*E21</f>
        <v>123.80699625</v>
      </c>
      <c r="F29" s="43">
        <f>B29*F21</f>
        <v>141.49371000000002</v>
      </c>
      <c r="G29" s="43">
        <f>B29*G21</f>
        <v>159.18042375000002</v>
      </c>
      <c r="H29" s="43">
        <f>B29*H21</f>
        <v>176.86713750000001</v>
      </c>
      <c r="I29" s="43">
        <f>B29*I21</f>
        <v>176.86713750000001</v>
      </c>
      <c r="J29" s="43">
        <f>$B$29*J21</f>
        <v>176.86713750000001</v>
      </c>
      <c r="K29" s="43">
        <f>$B$29*K21</f>
        <v>176.86713750000001</v>
      </c>
      <c r="L29" s="43">
        <f>$B$29*L21</f>
        <v>176.86713750000001</v>
      </c>
      <c r="M29" s="43"/>
      <c r="N29" s="43"/>
      <c r="O29" s="43"/>
      <c r="P29" s="43"/>
      <c r="Q29" s="43"/>
      <c r="R29" s="43"/>
      <c r="S29" s="43"/>
      <c r="T29" s="43"/>
      <c r="U29" s="67"/>
      <c r="V29" s="67"/>
      <c r="W29" s="67"/>
    </row>
    <row r="30" spans="1:23">
      <c r="A30" s="83" t="s">
        <v>156</v>
      </c>
      <c r="B30" s="86">
        <v>0.25</v>
      </c>
      <c r="C30" s="85" t="s">
        <v>157</v>
      </c>
      <c r="D30" s="43">
        <f>(D22+D23)*$B$30</f>
        <v>18.000000000000004</v>
      </c>
      <c r="E30" s="43">
        <f t="shared" ref="E30:K30" si="5">(E22+E23)*$B$30</f>
        <v>21</v>
      </c>
      <c r="F30" s="43">
        <f t="shared" si="5"/>
        <v>24</v>
      </c>
      <c r="G30" s="43">
        <f t="shared" si="5"/>
        <v>27</v>
      </c>
      <c r="H30" s="43">
        <f t="shared" si="5"/>
        <v>30</v>
      </c>
      <c r="I30" s="43">
        <f t="shared" si="5"/>
        <v>30</v>
      </c>
      <c r="J30" s="43">
        <f t="shared" si="5"/>
        <v>30</v>
      </c>
      <c r="K30" s="43">
        <f t="shared" si="5"/>
        <v>30</v>
      </c>
      <c r="L30" s="43">
        <f>(L22+L23)*$B$30</f>
        <v>30</v>
      </c>
      <c r="M30" s="43"/>
      <c r="N30" s="43"/>
      <c r="O30" s="43"/>
      <c r="P30" s="43"/>
      <c r="Q30" s="43"/>
      <c r="R30" s="43"/>
      <c r="S30" s="43"/>
      <c r="T30" s="43"/>
      <c r="U30" s="67"/>
      <c r="V30" s="67"/>
      <c r="W30" s="67"/>
    </row>
    <row r="31" spans="1:23">
      <c r="A31" s="83" t="s">
        <v>158</v>
      </c>
      <c r="B31" s="86">
        <v>0.09</v>
      </c>
      <c r="C31" s="85" t="s">
        <v>159</v>
      </c>
      <c r="D31" s="43">
        <f>B31*D25</f>
        <v>132.79512288461541</v>
      </c>
      <c r="E31" s="43">
        <f>B31*E25*1.05</f>
        <v>162.67402553365383</v>
      </c>
      <c r="F31" s="43">
        <f>B31*F25*1.1</f>
        <v>194.76618023076927</v>
      </c>
      <c r="G31" s="43">
        <f>B31*G25*1.2</f>
        <v>239.03122119230767</v>
      </c>
      <c r="H31" s="43">
        <f>B31*H25*1.2</f>
        <v>265.59024576923076</v>
      </c>
      <c r="I31" s="43">
        <f>B31*I25*1.25</f>
        <v>276.65650600961538</v>
      </c>
      <c r="J31" s="43">
        <f>$B$31*J25*1.3</f>
        <v>287.72276625000001</v>
      </c>
      <c r="K31" s="43">
        <f>$B$31*K25*1.35</f>
        <v>298.78902649038463</v>
      </c>
      <c r="L31" s="43">
        <f>$B$31*L25*1.4</f>
        <v>309.85528673076919</v>
      </c>
      <c r="M31" s="43"/>
      <c r="N31" s="43"/>
      <c r="O31" s="43"/>
      <c r="P31" s="43" t="s">
        <v>160</v>
      </c>
      <c r="Q31" s="43"/>
      <c r="R31" s="43"/>
      <c r="S31" s="43"/>
      <c r="T31" s="43"/>
      <c r="U31" s="67"/>
      <c r="V31" s="67"/>
      <c r="W31" s="67"/>
    </row>
    <row r="32" spans="1:23">
      <c r="A32" s="83" t="s">
        <v>161</v>
      </c>
      <c r="B32" s="86">
        <v>7.4999999999999997E-2</v>
      </c>
      <c r="C32" s="85" t="s">
        <v>159</v>
      </c>
      <c r="D32" s="43">
        <f>ROUND(B32*D25,2)</f>
        <v>110.66</v>
      </c>
      <c r="E32" s="43">
        <f>B32*E25</f>
        <v>129.10636947115384</v>
      </c>
      <c r="F32" s="43">
        <f>B32*F25</f>
        <v>147.55013653846154</v>
      </c>
      <c r="G32" s="43">
        <f>B32*G25</f>
        <v>165.99390360576922</v>
      </c>
      <c r="H32" s="43">
        <f>B32*H25</f>
        <v>184.43767067307692</v>
      </c>
      <c r="I32" s="43">
        <f>B32*I25</f>
        <v>184.43767067307692</v>
      </c>
      <c r="J32" s="43">
        <f>$B$32*J25</f>
        <v>184.43767067307692</v>
      </c>
      <c r="K32" s="43">
        <f>$B$32*K25</f>
        <v>184.43767067307692</v>
      </c>
      <c r="L32" s="43">
        <f>$B$32*L25</f>
        <v>184.43767067307692</v>
      </c>
      <c r="M32" s="43"/>
      <c r="N32" s="43"/>
      <c r="O32" s="43"/>
      <c r="P32" s="43"/>
      <c r="Q32" s="43"/>
      <c r="R32" s="43"/>
      <c r="S32" s="43"/>
      <c r="T32" s="43"/>
      <c r="U32" s="67"/>
      <c r="V32" s="67"/>
      <c r="W32" s="67"/>
    </row>
    <row r="33" spans="1:23">
      <c r="A33" s="83" t="s">
        <v>162</v>
      </c>
      <c r="B33" s="86">
        <v>5.0000000000000001E-3</v>
      </c>
      <c r="C33" s="85" t="s">
        <v>163</v>
      </c>
      <c r="D33" s="43">
        <f>depreciation!D147*0.5%</f>
        <v>19.058351139626691</v>
      </c>
      <c r="E33" s="43">
        <f>depreciation!E147*1%</f>
        <v>33.594761682286752</v>
      </c>
      <c r="F33" s="43">
        <f>depreciation!F147*1.25%</f>
        <v>37.528526356650175</v>
      </c>
      <c r="G33" s="43">
        <f>depreciation!G147*2.5%</f>
        <v>64.002201220883805</v>
      </c>
      <c r="H33" s="43">
        <f>depreciation!H147*2.5%</f>
        <v>55.697349728467259</v>
      </c>
      <c r="I33" s="43">
        <f>depreciation!I147*3%</f>
        <v>56.570997883260844</v>
      </c>
      <c r="J33" s="43">
        <f>depreciation!J147*3.5%</f>
        <v>54.197705441087834</v>
      </c>
      <c r="K33" s="43">
        <f>depreciation!K147*4%</f>
        <v>47.852472401948191</v>
      </c>
      <c r="L33" s="43">
        <f>depreciation!L147*4.75%</f>
        <v>39.383093141722036</v>
      </c>
      <c r="M33" s="43"/>
      <c r="N33" s="43"/>
      <c r="O33" s="43"/>
      <c r="P33" s="43" t="s">
        <v>160</v>
      </c>
      <c r="Q33" s="43"/>
      <c r="R33" s="43"/>
      <c r="S33" s="43"/>
      <c r="T33" s="43"/>
      <c r="U33" s="67"/>
      <c r="V33" s="67"/>
      <c r="W33" s="67"/>
    </row>
    <row r="34" spans="1:23">
      <c r="A34" s="83" t="s">
        <v>164</v>
      </c>
      <c r="B34" s="86">
        <v>0.05</v>
      </c>
      <c r="C34" s="85" t="s">
        <v>149</v>
      </c>
      <c r="D34" s="43">
        <f>D20*B34</f>
        <v>55.023750000000007</v>
      </c>
      <c r="E34" s="43">
        <f>E20*B34*1.5</f>
        <v>96.291562500000012</v>
      </c>
      <c r="F34" s="43">
        <f>F20*B34*2</f>
        <v>146.73000000000002</v>
      </c>
      <c r="G34" s="43">
        <f>G20*B34*2.15</f>
        <v>177.45159375</v>
      </c>
      <c r="H34" s="43">
        <f>H20*B34*2.25</f>
        <v>206.33906250000001</v>
      </c>
      <c r="I34" s="43">
        <f>I20*B34*2.5</f>
        <v>229.26562500000003</v>
      </c>
      <c r="J34" s="43">
        <f>J20*$B$34*2.5</f>
        <v>229.26562500000003</v>
      </c>
      <c r="K34" s="43">
        <f>K20*$B$34*2.5</f>
        <v>229.26562500000003</v>
      </c>
      <c r="L34" s="43">
        <f>L20*$B$34*2.5</f>
        <v>229.26562500000003</v>
      </c>
      <c r="M34" s="43"/>
      <c r="N34" s="43"/>
      <c r="O34" s="43"/>
      <c r="P34" s="43" t="s">
        <v>160</v>
      </c>
      <c r="Q34" s="43" t="s">
        <v>165</v>
      </c>
      <c r="R34" s="43"/>
      <c r="S34" s="43"/>
      <c r="T34" s="43"/>
      <c r="U34" s="67"/>
      <c r="V34" s="67"/>
      <c r="W34" s="67"/>
    </row>
    <row r="35" spans="1:23">
      <c r="A35" s="83" t="s">
        <v>166</v>
      </c>
      <c r="B35" s="86">
        <v>0.04</v>
      </c>
      <c r="C35" s="85" t="s">
        <v>149</v>
      </c>
      <c r="D35" s="43">
        <f>B35*D20</f>
        <v>44.019000000000005</v>
      </c>
      <c r="E35" s="43">
        <f>B35*E20*1.25</f>
        <v>64.194375000000008</v>
      </c>
      <c r="F35" s="43">
        <f>B35*F20*1.25</f>
        <v>73.365000000000009</v>
      </c>
      <c r="G35" s="43">
        <f>B35*G20*1.25</f>
        <v>82.53562500000001</v>
      </c>
      <c r="H35" s="43">
        <f>B35*H20*1.25</f>
        <v>91.706249999999997</v>
      </c>
      <c r="I35" s="43">
        <f>B35*I20*1.25</f>
        <v>91.706249999999997</v>
      </c>
      <c r="J35" s="43">
        <f>B35*J20*1.25</f>
        <v>91.706249999999997</v>
      </c>
      <c r="K35" s="43">
        <f>B35*K20*1.25</f>
        <v>91.706249999999997</v>
      </c>
      <c r="L35" s="43">
        <f>B35*L20*1.25</f>
        <v>91.706249999999997</v>
      </c>
      <c r="M35" s="43"/>
      <c r="N35" s="43"/>
      <c r="O35" s="43"/>
      <c r="P35" s="43" t="s">
        <v>160</v>
      </c>
      <c r="Q35" s="43" t="s">
        <v>167</v>
      </c>
      <c r="R35" s="43"/>
      <c r="S35" s="43"/>
      <c r="T35" s="43"/>
      <c r="U35" s="67"/>
      <c r="V35" s="67"/>
      <c r="W35" s="67"/>
    </row>
    <row r="36" spans="1:23">
      <c r="A36" s="83" t="s">
        <v>168</v>
      </c>
      <c r="B36" s="86">
        <v>0.01</v>
      </c>
      <c r="C36" s="85" t="s">
        <v>159</v>
      </c>
      <c r="D36" s="43">
        <f>B36*D25</f>
        <v>14.755013653846156</v>
      </c>
      <c r="E36" s="43">
        <f>B36*E25</f>
        <v>17.214182596153847</v>
      </c>
      <c r="F36" s="43">
        <f>B36*F25*1.1</f>
        <v>21.6406866923077</v>
      </c>
      <c r="G36" s="43">
        <f>B36*G25*1.2</f>
        <v>26.559024576923076</v>
      </c>
      <c r="H36" s="43">
        <f>B36*H25*1.2</f>
        <v>29.510027307692308</v>
      </c>
      <c r="I36" s="43">
        <f>B36*I25*1.2</f>
        <v>29.510027307692308</v>
      </c>
      <c r="J36" s="43">
        <f>B36*J25*1.2</f>
        <v>29.510027307692308</v>
      </c>
      <c r="K36" s="43">
        <f>B36*K25*1.2</f>
        <v>29.510027307692308</v>
      </c>
      <c r="L36" s="43">
        <f>B36*L25*1.2</f>
        <v>29.510027307692308</v>
      </c>
      <c r="M36" s="43"/>
      <c r="N36" s="43"/>
      <c r="O36" s="43"/>
      <c r="P36" s="43" t="s">
        <v>160</v>
      </c>
      <c r="Q36" s="43" t="s">
        <v>167</v>
      </c>
      <c r="R36" s="43"/>
      <c r="S36" s="43"/>
      <c r="T36" s="43"/>
      <c r="U36" s="67"/>
      <c r="V36" s="67"/>
      <c r="W36" s="67"/>
    </row>
    <row r="37" spans="1:23">
      <c r="A37" s="83" t="s">
        <v>169</v>
      </c>
      <c r="B37" s="86">
        <v>2.2499999999999999E-2</v>
      </c>
      <c r="C37" s="85" t="s">
        <v>159</v>
      </c>
      <c r="D37" s="43">
        <f>B37*D25</f>
        <v>33.198780721153852</v>
      </c>
      <c r="E37" s="43">
        <f>B37*E25*1.1</f>
        <v>42.605101925480767</v>
      </c>
      <c r="F37" s="43">
        <f>B37*F25*1.1</f>
        <v>48.691545057692316</v>
      </c>
      <c r="G37" s="43">
        <f>B37*G25*1.15</f>
        <v>57.267896743990377</v>
      </c>
      <c r="H37" s="43">
        <f>B37*H25*1.2</f>
        <v>66.397561442307691</v>
      </c>
      <c r="I37" s="43">
        <f>B37*I25*1.25</f>
        <v>69.164126502403846</v>
      </c>
      <c r="J37" s="43">
        <f>B37*J25*1.3</f>
        <v>71.930691562500002</v>
      </c>
      <c r="K37" s="43">
        <f>B37*K25*1.35</f>
        <v>74.697256622596157</v>
      </c>
      <c r="L37" s="43">
        <f>B37*L25*1.4</f>
        <v>77.463821682692299</v>
      </c>
      <c r="M37" s="43"/>
      <c r="N37" s="43"/>
      <c r="O37" s="43"/>
      <c r="P37" s="43" t="s">
        <v>160</v>
      </c>
      <c r="Q37" s="43"/>
      <c r="R37" s="43"/>
      <c r="S37" s="43"/>
      <c r="T37" s="43"/>
      <c r="U37" s="67"/>
      <c r="V37" s="67"/>
      <c r="W37" s="67"/>
    </row>
    <row r="38" spans="1:23" ht="13.5" thickBot="1">
      <c r="A38" s="83" t="s">
        <v>170</v>
      </c>
      <c r="B38" s="86">
        <v>2.5000000000000001E-2</v>
      </c>
      <c r="C38" s="85" t="s">
        <v>159</v>
      </c>
      <c r="D38" s="43">
        <f>B38*D25</f>
        <v>36.887534134615393</v>
      </c>
      <c r="E38" s="43">
        <f>B38*E25*1.1</f>
        <v>47.339002139423087</v>
      </c>
      <c r="F38" s="43">
        <f>B38*F25*1.1</f>
        <v>54.101716730769247</v>
      </c>
      <c r="G38" s="43">
        <f>B38*G25*1.25</f>
        <v>69.16412650240386</v>
      </c>
      <c r="H38" s="43">
        <f>B38*H25*1.25</f>
        <v>76.849029447115385</v>
      </c>
      <c r="I38" s="43">
        <f>B38*I25*1.25</f>
        <v>76.849029447115385</v>
      </c>
      <c r="J38" s="43">
        <f>B38*J25*1.25</f>
        <v>76.849029447115385</v>
      </c>
      <c r="K38" s="43">
        <f>B38*K25*1.25</f>
        <v>76.849029447115385</v>
      </c>
      <c r="L38" s="43">
        <f>B38*L25*1.25</f>
        <v>76.849029447115385</v>
      </c>
      <c r="M38" s="43"/>
      <c r="N38" s="43"/>
      <c r="O38" s="43"/>
      <c r="P38" s="43" t="s">
        <v>160</v>
      </c>
      <c r="Q38" s="43" t="s">
        <v>167</v>
      </c>
      <c r="R38" s="43"/>
      <c r="S38" s="43"/>
      <c r="T38" s="43"/>
      <c r="U38" s="66"/>
      <c r="V38" s="66"/>
      <c r="W38" s="66"/>
    </row>
    <row r="39" spans="1:23" ht="13.5" thickTop="1">
      <c r="A39" s="83" t="s">
        <v>171</v>
      </c>
      <c r="B39" s="86">
        <v>1.2500000000000001E-2</v>
      </c>
      <c r="C39" s="85" t="s">
        <v>159</v>
      </c>
      <c r="D39" s="43">
        <f>B39*D25</f>
        <v>18.443767067307697</v>
      </c>
      <c r="E39" s="43">
        <f>B39*E25*1.5</f>
        <v>32.276592367788467</v>
      </c>
      <c r="F39" s="43">
        <f>B39*F25*2</f>
        <v>49.183378846153857</v>
      </c>
      <c r="G39" s="43">
        <f>B39*G25*2.5</f>
        <v>69.16412650240386</v>
      </c>
      <c r="H39" s="43">
        <f>B39*H25*2.75</f>
        <v>84.533932391826923</v>
      </c>
      <c r="I39" s="43">
        <f>B39*I25*3.5</f>
        <v>107.58864122596154</v>
      </c>
      <c r="J39" s="43">
        <f>B39*J25*3.75</f>
        <v>115.27354417067308</v>
      </c>
      <c r="K39" s="43">
        <f>B39*K25*4</f>
        <v>122.95844711538462</v>
      </c>
      <c r="L39" s="43">
        <f>B39*L25*4.25</f>
        <v>130.64335006009617</v>
      </c>
      <c r="M39" s="43"/>
      <c r="N39" s="43"/>
      <c r="O39" s="43"/>
      <c r="P39" s="43" t="s">
        <v>160</v>
      </c>
      <c r="Q39" s="43"/>
      <c r="R39" s="43"/>
      <c r="S39" s="43"/>
      <c r="T39" s="43"/>
      <c r="U39" s="6"/>
      <c r="V39" s="6"/>
      <c r="W39" s="6"/>
    </row>
    <row r="40" spans="1:23">
      <c r="A40" s="77" t="s">
        <v>172</v>
      </c>
      <c r="B40" s="86"/>
      <c r="C40" s="85"/>
      <c r="E40" s="43"/>
      <c r="F40" s="43"/>
      <c r="G40" s="43"/>
      <c r="H40" s="43"/>
      <c r="I40" s="43"/>
      <c r="J40" s="43"/>
      <c r="K40" s="43"/>
      <c r="L40" s="43"/>
      <c r="M40" s="43"/>
      <c r="N40" s="43"/>
      <c r="O40" s="43"/>
      <c r="P40" s="43"/>
      <c r="Q40" s="43"/>
      <c r="R40" s="43"/>
      <c r="S40" s="43"/>
      <c r="T40" s="43"/>
      <c r="U40" s="57"/>
      <c r="V40" s="57"/>
      <c r="W40" s="57"/>
    </row>
    <row r="41" spans="1:23">
      <c r="A41" s="83" t="s">
        <v>173</v>
      </c>
      <c r="B41" s="86">
        <v>3.3E-3</v>
      </c>
      <c r="C41" s="86"/>
      <c r="D41" s="43">
        <f>B41*'CAPITAL COST'!C14</f>
        <v>9.5004913271399989</v>
      </c>
      <c r="E41" s="43">
        <f t="shared" ref="E41:L43" si="6">D41</f>
        <v>9.5004913271399989</v>
      </c>
      <c r="F41" s="43">
        <f t="shared" si="6"/>
        <v>9.5004913271399989</v>
      </c>
      <c r="G41" s="43">
        <f t="shared" si="6"/>
        <v>9.5004913271399989</v>
      </c>
      <c r="H41" s="43">
        <f t="shared" si="6"/>
        <v>9.5004913271399989</v>
      </c>
      <c r="I41" s="43">
        <f t="shared" si="6"/>
        <v>9.5004913271399989</v>
      </c>
      <c r="J41" s="43">
        <f t="shared" si="6"/>
        <v>9.5004913271399989</v>
      </c>
      <c r="K41" s="43">
        <f t="shared" si="6"/>
        <v>9.5004913271399989</v>
      </c>
      <c r="L41" s="43">
        <f t="shared" si="6"/>
        <v>9.5004913271399989</v>
      </c>
      <c r="R41" s="43"/>
      <c r="S41" s="43"/>
      <c r="T41" s="43"/>
      <c r="U41" s="43"/>
      <c r="V41" s="43">
        <f>B41*depreciation!D128</f>
        <v>10.488324916976719</v>
      </c>
      <c r="W41" s="43">
        <f>B41*'CAPITAL COST'!D14</f>
        <v>9.5004913271399989</v>
      </c>
    </row>
    <row r="42" spans="1:23">
      <c r="A42" s="83" t="s">
        <v>174</v>
      </c>
      <c r="B42" s="86">
        <v>5.0000000000000001E-3</v>
      </c>
      <c r="C42" s="86"/>
      <c r="D42" s="43">
        <f>B42*'CAPITAL COST'!D20+(ASSETS!I82-ASSETS!I78+('details of fixed assets  '!F145/100000+'details of fixed assets  '!F146/100000))*B42</f>
        <v>3.6821262079999997</v>
      </c>
      <c r="E42" s="43">
        <f>D42</f>
        <v>3.6821262079999997</v>
      </c>
      <c r="F42" s="43">
        <f t="shared" si="6"/>
        <v>3.6821262079999997</v>
      </c>
      <c r="G42" s="43">
        <f t="shared" si="6"/>
        <v>3.6821262079999997</v>
      </c>
      <c r="H42" s="43">
        <f t="shared" si="6"/>
        <v>3.6821262079999997</v>
      </c>
      <c r="I42" s="43">
        <f t="shared" si="6"/>
        <v>3.6821262079999997</v>
      </c>
      <c r="J42" s="43">
        <f t="shared" si="6"/>
        <v>3.6821262079999997</v>
      </c>
      <c r="K42" s="43">
        <f t="shared" si="6"/>
        <v>3.6821262079999997</v>
      </c>
      <c r="L42" s="43">
        <f t="shared" si="6"/>
        <v>3.6821262079999997</v>
      </c>
      <c r="R42" s="43"/>
      <c r="S42" s="43"/>
      <c r="T42" s="43"/>
      <c r="U42" s="43"/>
      <c r="V42" s="43"/>
      <c r="W42" s="43">
        <f>B42*('CAPITAL COST'!D20+'CAPITAL COST'!D16)</f>
        <v>4.2141962079999997</v>
      </c>
    </row>
    <row r="43" spans="1:23">
      <c r="A43" s="63" t="s">
        <v>175</v>
      </c>
      <c r="B43" s="86">
        <v>2.5000000000000001E-3</v>
      </c>
      <c r="C43" s="86"/>
      <c r="D43" s="43">
        <f>B43*(SUM('details of fixed assets  '!F138:F144))/100000</f>
        <v>0.38145000000000001</v>
      </c>
      <c r="E43" s="43">
        <f>D43</f>
        <v>0.38145000000000001</v>
      </c>
      <c r="F43" s="43">
        <f t="shared" si="6"/>
        <v>0.38145000000000001</v>
      </c>
      <c r="G43" s="43">
        <f t="shared" si="6"/>
        <v>0.38145000000000001</v>
      </c>
      <c r="H43" s="43">
        <f t="shared" si="6"/>
        <v>0.38145000000000001</v>
      </c>
      <c r="I43" s="43">
        <f t="shared" si="6"/>
        <v>0.38145000000000001</v>
      </c>
      <c r="J43" s="43">
        <f t="shared" si="6"/>
        <v>0.38145000000000001</v>
      </c>
      <c r="K43" s="43">
        <f t="shared" si="6"/>
        <v>0.38145000000000001</v>
      </c>
      <c r="L43" s="43">
        <f t="shared" si="6"/>
        <v>0.38145000000000001</v>
      </c>
      <c r="R43" s="43"/>
      <c r="S43" s="43"/>
      <c r="T43" s="43"/>
      <c r="U43" s="43"/>
      <c r="V43" s="43"/>
      <c r="W43" s="43"/>
    </row>
    <row r="44" spans="1:23">
      <c r="A44" s="83" t="s">
        <v>176</v>
      </c>
      <c r="B44" s="86">
        <v>2E-3</v>
      </c>
      <c r="C44" s="86"/>
      <c r="D44" s="43">
        <f>+' wORKING CAPITAL'!E15*$B$44</f>
        <v>2.4E-2</v>
      </c>
      <c r="E44" s="43">
        <f>+' wORKING CAPITAL'!F15*$B$44</f>
        <v>2.3922285000000001E-2</v>
      </c>
      <c r="F44" s="43">
        <f>+' wORKING CAPITAL'!G15*$B$44</f>
        <v>2.6530070625000006E-2</v>
      </c>
      <c r="G44" s="43">
        <f>+' wORKING CAPITAL'!H15*$B$44</f>
        <v>2.9477856250000004E-2</v>
      </c>
      <c r="H44" s="43">
        <f>+' wORKING CAPITAL'!I15*$B$44</f>
        <v>3.8910770250000004E-2</v>
      </c>
      <c r="I44" s="43">
        <f>+' wORKING CAPITAL'!J15*$B$44</f>
        <v>4.9522798500000006E-2</v>
      </c>
      <c r="J44" s="43">
        <f>+' wORKING CAPITAL'!K15*$B$44</f>
        <v>6.1313941000000018E-2</v>
      </c>
      <c r="K44" s="43">
        <f>+' wORKING CAPITAL'!L15*$B$44</f>
        <v>7.4284197750000017E-2</v>
      </c>
      <c r="L44" s="43">
        <f>+' wORKING CAPITAL'!M15*$B$44</f>
        <v>7.0746854999999997E-2</v>
      </c>
      <c r="R44" s="43"/>
      <c r="S44" s="43"/>
      <c r="T44" s="43"/>
      <c r="U44" s="43"/>
      <c r="V44" s="43"/>
      <c r="W44" s="43"/>
    </row>
    <row r="45" spans="1:23">
      <c r="A45" s="83" t="s">
        <v>177</v>
      </c>
      <c r="B45" s="86">
        <v>5.0000000000000001E-3</v>
      </c>
      <c r="C45" s="85" t="s">
        <v>159</v>
      </c>
      <c r="D45" s="43">
        <f>B45*D25</f>
        <v>7.3775068269230779</v>
      </c>
      <c r="E45" s="43">
        <f>B45*E25</f>
        <v>8.6070912980769236</v>
      </c>
      <c r="F45" s="43">
        <f>B45*F25*1.25</f>
        <v>12.295844711538464</v>
      </c>
      <c r="G45" s="43">
        <f>B45*G25*1.75</f>
        <v>19.365955420673075</v>
      </c>
      <c r="H45" s="43">
        <f>B45*H25*2</f>
        <v>24.591689423076925</v>
      </c>
      <c r="I45" s="43">
        <f>B45*I25*2.5</f>
        <v>30.739611778846157</v>
      </c>
      <c r="J45" s="43">
        <f>B45*J25*3</f>
        <v>36.887534134615386</v>
      </c>
      <c r="K45" s="43">
        <f>B45*K25*3.5</f>
        <v>43.035456490384618</v>
      </c>
      <c r="L45" s="43">
        <f>B45*L25*3.6</f>
        <v>44.265040961538467</v>
      </c>
      <c r="R45" s="43"/>
      <c r="S45" s="43"/>
      <c r="T45" s="43"/>
      <c r="U45" s="43" t="e">
        <f>MIN(2,#REF!,#REF!,#REF!,#REF!,#REF!,#REF!,#REF!,#REF!)</f>
        <v>#REF!</v>
      </c>
      <c r="V45" s="43"/>
      <c r="W45" s="43"/>
    </row>
    <row r="46" spans="1:23">
      <c r="A46" s="83" t="s">
        <v>107</v>
      </c>
      <c r="B46" s="84"/>
      <c r="C46" s="84"/>
      <c r="D46" s="43">
        <f>Interest!I58</f>
        <v>240.11249999999998</v>
      </c>
      <c r="E46" s="43">
        <f>Interest!I70</f>
        <v>217.78750000000002</v>
      </c>
      <c r="F46" s="43">
        <f>Interest!I82</f>
        <v>186.67500000000001</v>
      </c>
      <c r="G46" s="43">
        <f>Interest!I94</f>
        <v>147.25000000000003</v>
      </c>
      <c r="H46" s="43">
        <f>Interest!I106</f>
        <v>99.037499999999994</v>
      </c>
      <c r="I46" s="43">
        <f>Interest!I118</f>
        <v>45.125</v>
      </c>
      <c r="J46" s="43">
        <f>Interest!I130</f>
        <v>2.375</v>
      </c>
      <c r="K46" s="43">
        <f>Interest!I142</f>
        <v>0</v>
      </c>
      <c r="L46" s="43">
        <f>Interest!I154</f>
        <v>0</v>
      </c>
      <c r="M46" s="43"/>
      <c r="N46" s="43"/>
      <c r="O46" s="43"/>
      <c r="P46" s="43"/>
      <c r="Q46" s="43"/>
      <c r="R46" s="43"/>
      <c r="S46" s="43"/>
      <c r="T46" s="43"/>
      <c r="U46" s="67"/>
      <c r="V46" s="67"/>
      <c r="W46" s="67"/>
    </row>
    <row r="47" spans="1:23">
      <c r="A47" s="83" t="s">
        <v>178</v>
      </c>
      <c r="B47" s="84"/>
      <c r="C47" s="84"/>
      <c r="D47" s="43">
        <f>' wORKING CAPITAL'!E29</f>
        <v>0</v>
      </c>
      <c r="E47" s="43">
        <f>' wORKING CAPITAL'!F29</f>
        <v>0</v>
      </c>
      <c r="F47" s="43">
        <f>' wORKING CAPITAL'!G29</f>
        <v>0</v>
      </c>
      <c r="G47" s="43">
        <f>' wORKING CAPITAL'!H29</f>
        <v>0</v>
      </c>
      <c r="H47" s="43">
        <f>' wORKING CAPITAL'!I29</f>
        <v>0</v>
      </c>
      <c r="I47" s="43">
        <f>' wORKING CAPITAL'!J29</f>
        <v>0</v>
      </c>
      <c r="J47" s="43">
        <f>' wORKING CAPITAL'!K29</f>
        <v>0</v>
      </c>
      <c r="K47" s="43">
        <f>' wORKING CAPITAL'!L29</f>
        <v>0</v>
      </c>
      <c r="L47" s="43">
        <f>' wORKING CAPITAL'!M29</f>
        <v>0</v>
      </c>
      <c r="M47" s="43"/>
      <c r="N47" s="43"/>
      <c r="O47" s="43"/>
      <c r="P47" s="43"/>
      <c r="Q47" s="43"/>
      <c r="R47" s="43"/>
      <c r="S47" s="43"/>
      <c r="T47" s="43"/>
      <c r="U47" s="67"/>
      <c r="V47" s="67"/>
      <c r="W47" s="67"/>
    </row>
    <row r="48" spans="1:23">
      <c r="A48" s="83"/>
      <c r="B48" s="85"/>
      <c r="C48" s="84"/>
      <c r="D48" s="43"/>
      <c r="E48" s="43"/>
      <c r="F48" s="43"/>
      <c r="G48" s="43"/>
      <c r="H48" s="43"/>
      <c r="I48" s="43"/>
      <c r="J48" s="43"/>
      <c r="K48" s="43"/>
      <c r="L48" s="43"/>
      <c r="M48" s="43"/>
      <c r="N48" s="43"/>
      <c r="O48" s="43"/>
      <c r="P48" s="43"/>
      <c r="Q48" s="43"/>
      <c r="R48" s="43"/>
      <c r="S48" s="43"/>
      <c r="T48" s="43"/>
      <c r="U48" s="67"/>
      <c r="V48" s="67"/>
      <c r="W48" s="67"/>
    </row>
    <row r="49" spans="1:23">
      <c r="A49" s="83" t="s">
        <v>106</v>
      </c>
      <c r="B49" s="84"/>
      <c r="C49" s="84"/>
      <c r="D49" s="43">
        <f>depreciation!D139</f>
        <v>452.19405969666178</v>
      </c>
      <c r="E49" s="43">
        <f>depreciation!E139</f>
        <v>452.19405969666178</v>
      </c>
      <c r="F49" s="43">
        <f>depreciation!F139</f>
        <v>452.19405969666178</v>
      </c>
      <c r="G49" s="43">
        <f>depreciation!G139</f>
        <v>452.19405969666178</v>
      </c>
      <c r="H49" s="43">
        <f>depreciation!H139</f>
        <v>452.19405969666178</v>
      </c>
      <c r="I49" s="43">
        <f>depreciation!I139</f>
        <v>452.19405969666178</v>
      </c>
      <c r="J49" s="43">
        <f>depreciation!J139</f>
        <v>452.19405969666178</v>
      </c>
      <c r="K49" s="43">
        <f>depreciation!K139</f>
        <v>452.19405969666178</v>
      </c>
      <c r="L49" s="43">
        <f>depreciation!L139</f>
        <v>452.19405969666178</v>
      </c>
      <c r="M49" s="43"/>
      <c r="N49" s="43"/>
      <c r="O49" s="43"/>
      <c r="P49" s="43"/>
      <c r="Q49" s="43"/>
      <c r="R49" s="43"/>
      <c r="S49" s="43"/>
      <c r="T49" s="43"/>
      <c r="U49" s="67"/>
      <c r="V49" s="67"/>
      <c r="W49" s="67"/>
    </row>
    <row r="50" spans="1:23">
      <c r="A50" s="83"/>
      <c r="B50" s="84"/>
      <c r="C50" s="84"/>
      <c r="D50" s="43"/>
      <c r="E50" s="43"/>
      <c r="F50" s="43"/>
      <c r="G50" s="43"/>
      <c r="H50" s="43"/>
      <c r="I50" s="43"/>
      <c r="J50" s="43"/>
      <c r="K50" s="43"/>
      <c r="L50" s="43"/>
      <c r="M50" s="43"/>
      <c r="N50" s="43"/>
      <c r="O50" s="43"/>
      <c r="P50" s="43"/>
      <c r="Q50" s="43"/>
      <c r="R50" s="43"/>
      <c r="S50" s="43"/>
      <c r="T50" s="43"/>
      <c r="U50" s="67"/>
      <c r="V50" s="67"/>
      <c r="W50" s="67"/>
    </row>
    <row r="51" spans="1:23" ht="13.5" thickBot="1">
      <c r="A51" s="81" t="s">
        <v>179</v>
      </c>
      <c r="B51" s="53"/>
      <c r="C51" s="53"/>
      <c r="D51" s="66">
        <f>SUM(D29:D50)</f>
        <v>1302.2334536598901</v>
      </c>
      <c r="E51" s="66">
        <f t="shared" ref="E51:J51" si="7">SUM(E29:E50)</f>
        <v>1462.2796102808195</v>
      </c>
      <c r="F51" s="66">
        <f t="shared" si="7"/>
        <v>1603.8063824667695</v>
      </c>
      <c r="G51" s="66">
        <f t="shared" si="7"/>
        <v>1769.7537033534068</v>
      </c>
      <c r="H51" s="66">
        <f t="shared" si="7"/>
        <v>1857.3544941848459</v>
      </c>
      <c r="I51" s="66">
        <f t="shared" si="7"/>
        <v>1870.2882733582742</v>
      </c>
      <c r="J51" s="66">
        <f t="shared" si="7"/>
        <v>1852.8424226595628</v>
      </c>
      <c r="K51" s="66">
        <f>SUM(K29:K50)</f>
        <v>1871.8008104781347</v>
      </c>
      <c r="L51" s="66">
        <f>SUM(L29:L50)</f>
        <v>1886.0752065915046</v>
      </c>
      <c r="M51" s="6"/>
      <c r="N51" s="6"/>
      <c r="O51" s="6"/>
      <c r="P51" s="6"/>
      <c r="Q51" s="6"/>
      <c r="R51" s="6"/>
      <c r="S51" s="6"/>
      <c r="T51" s="6"/>
      <c r="U51" s="67"/>
      <c r="V51" s="67"/>
      <c r="W51" s="67"/>
    </row>
    <row r="52" spans="1:23" ht="13.5" thickTop="1">
      <c r="A52" s="83"/>
      <c r="B52" s="84"/>
      <c r="C52" s="84"/>
      <c r="D52" s="43"/>
      <c r="E52" s="43"/>
      <c r="F52" s="43"/>
      <c r="G52" s="43"/>
      <c r="H52" s="43"/>
      <c r="I52" s="43"/>
      <c r="J52" s="43"/>
      <c r="K52" s="43"/>
      <c r="L52" s="43"/>
      <c r="M52" s="43"/>
      <c r="N52" s="43"/>
      <c r="O52" s="43"/>
      <c r="P52" s="43"/>
      <c r="Q52" s="43"/>
      <c r="R52" s="43"/>
      <c r="S52" s="43"/>
      <c r="T52" s="43"/>
      <c r="U52" s="67"/>
      <c r="V52" s="67"/>
      <c r="W52" s="67"/>
    </row>
    <row r="53" spans="1:23">
      <c r="A53" s="83"/>
      <c r="B53" s="84"/>
      <c r="C53" s="84"/>
      <c r="D53" s="43"/>
      <c r="E53" s="43"/>
      <c r="F53" s="43"/>
      <c r="G53" s="43"/>
      <c r="H53" s="43"/>
      <c r="I53" s="43"/>
      <c r="J53" s="43"/>
      <c r="K53" s="43"/>
      <c r="L53" s="43"/>
      <c r="M53" s="43"/>
      <c r="N53" s="43"/>
      <c r="O53" s="43"/>
      <c r="P53" s="43"/>
      <c r="Q53" s="43"/>
      <c r="R53" s="43"/>
      <c r="S53" s="43"/>
      <c r="T53" s="43"/>
      <c r="U53" s="67"/>
      <c r="V53" s="67"/>
      <c r="W53" s="67"/>
    </row>
    <row r="54" spans="1:23">
      <c r="A54" s="83"/>
      <c r="B54" s="84"/>
      <c r="C54" s="84"/>
      <c r="D54" s="43"/>
      <c r="E54" s="43"/>
      <c r="F54" s="43"/>
      <c r="G54" s="43"/>
      <c r="H54" s="43"/>
      <c r="I54" s="43"/>
      <c r="J54" s="43"/>
      <c r="K54" s="43"/>
      <c r="L54" s="43"/>
      <c r="M54" s="43"/>
      <c r="N54" s="43"/>
      <c r="O54" s="43"/>
      <c r="P54" s="43"/>
      <c r="Q54" s="43"/>
      <c r="R54" s="43"/>
      <c r="S54" s="43"/>
      <c r="T54" s="43"/>
      <c r="U54" s="67"/>
      <c r="V54" s="67"/>
      <c r="W54" s="67"/>
    </row>
    <row r="55" spans="1:23">
      <c r="A55" s="77" t="s">
        <v>180</v>
      </c>
      <c r="B55" s="78"/>
      <c r="C55" s="78"/>
      <c r="D55" s="6">
        <f t="shared" ref="D55:K55" si="8">D25-D51</f>
        <v>173.26791172472554</v>
      </c>
      <c r="E55" s="6">
        <f t="shared" si="8"/>
        <v>259.13864933456512</v>
      </c>
      <c r="F55" s="6">
        <f t="shared" si="8"/>
        <v>363.52877137938458</v>
      </c>
      <c r="G55" s="6">
        <f t="shared" si="8"/>
        <v>443.49834472351631</v>
      </c>
      <c r="H55" s="6">
        <f t="shared" si="8"/>
        <v>601.81444812284644</v>
      </c>
      <c r="I55" s="6">
        <f t="shared" si="8"/>
        <v>588.88066894941812</v>
      </c>
      <c r="J55" s="6">
        <f t="shared" si="8"/>
        <v>606.32651964812953</v>
      </c>
      <c r="K55" s="6">
        <f t="shared" si="8"/>
        <v>587.36813182955757</v>
      </c>
      <c r="L55" s="6">
        <f>L25-L51</f>
        <v>573.09373571618767</v>
      </c>
      <c r="M55" s="6"/>
      <c r="N55" s="6"/>
      <c r="O55" s="6"/>
      <c r="P55" s="6"/>
      <c r="Q55" s="6"/>
      <c r="R55" s="6"/>
      <c r="S55" s="6"/>
      <c r="T55" s="6"/>
    </row>
    <row r="56" spans="1:23">
      <c r="A56" s="83"/>
      <c r="B56" s="84"/>
      <c r="C56" s="84"/>
      <c r="D56" s="43"/>
      <c r="E56" s="43"/>
      <c r="F56" s="43"/>
      <c r="G56" s="43"/>
      <c r="H56" s="43"/>
      <c r="I56" s="43"/>
      <c r="J56" s="43"/>
      <c r="K56" s="43"/>
      <c r="L56" s="43"/>
      <c r="M56" s="43"/>
      <c r="N56" s="43"/>
      <c r="O56" s="43"/>
      <c r="P56" s="43"/>
      <c r="Q56" s="43"/>
      <c r="R56" s="43"/>
      <c r="S56" s="43"/>
      <c r="T56" s="43"/>
    </row>
    <row r="57" spans="1:23">
      <c r="A57" s="77" t="s">
        <v>181</v>
      </c>
      <c r="B57" s="84"/>
      <c r="C57" s="84"/>
      <c r="D57" s="43">
        <f>D55+D47+D46</f>
        <v>413.38041172472549</v>
      </c>
      <c r="E57" s="43">
        <f t="shared" ref="E57:J57" si="9">E55+E47+E46</f>
        <v>476.92614933456514</v>
      </c>
      <c r="F57" s="43">
        <f t="shared" si="9"/>
        <v>550.20377137938453</v>
      </c>
      <c r="G57" s="43">
        <f t="shared" si="9"/>
        <v>590.74834472351631</v>
      </c>
      <c r="H57" s="43">
        <f t="shared" si="9"/>
        <v>700.85194812284647</v>
      </c>
      <c r="I57" s="43">
        <f t="shared" si="9"/>
        <v>634.00566894941812</v>
      </c>
      <c r="J57" s="43">
        <f t="shared" si="9"/>
        <v>608.70151964812953</v>
      </c>
      <c r="K57" s="43">
        <f>K55+K47+K46</f>
        <v>587.36813182955757</v>
      </c>
      <c r="L57" s="43">
        <f>L55+L47+L46</f>
        <v>573.09373571618767</v>
      </c>
      <c r="M57" s="43"/>
      <c r="N57" s="43"/>
      <c r="O57" s="43"/>
      <c r="P57" s="43"/>
      <c r="Q57" s="43"/>
      <c r="R57" s="43"/>
      <c r="S57" s="43"/>
      <c r="T57" s="43"/>
    </row>
    <row r="58" spans="1:23">
      <c r="A58" s="83" t="s">
        <v>182</v>
      </c>
      <c r="B58" s="84"/>
      <c r="C58" s="84"/>
      <c r="D58" s="43">
        <f>'iNCOME tAX cOMPUTATION'!D19*0</f>
        <v>0</v>
      </c>
      <c r="E58" s="43">
        <v>0</v>
      </c>
      <c r="F58" s="43">
        <v>0</v>
      </c>
      <c r="G58" s="43">
        <v>0</v>
      </c>
      <c r="H58" s="43">
        <f>'iNCOME tAX cOMPUTATION'!H19*0.85</f>
        <v>163.97516052329948</v>
      </c>
      <c r="I58" s="43">
        <f>'iNCOME tAX cOMPUTATION'!I19</f>
        <v>225.86516222390313</v>
      </c>
      <c r="J58" s="43">
        <f>'iNCOME tAX cOMPUTATION'!J19</f>
        <v>263.37452133572316</v>
      </c>
      <c r="K58" s="43">
        <f>'iNCOME tAX cOMPUTATION'!K19</f>
        <v>297.1422342575479</v>
      </c>
      <c r="L58" s="43" t="e">
        <f>'iNCOME tAX cOMPUTATION'!L19</f>
        <v>#VALUE!</v>
      </c>
      <c r="M58" s="43"/>
      <c r="N58" s="43"/>
      <c r="O58" s="43"/>
      <c r="P58" s="43"/>
      <c r="Q58" s="43"/>
      <c r="R58" s="43"/>
      <c r="S58" s="43"/>
      <c r="T58" s="43"/>
    </row>
    <row r="59" spans="1:23">
      <c r="A59" s="77" t="s">
        <v>105</v>
      </c>
      <c r="B59" s="78"/>
      <c r="C59" s="78"/>
      <c r="D59" s="6">
        <f>D55-D58</f>
        <v>173.26791172472554</v>
      </c>
      <c r="E59" s="6">
        <f t="shared" ref="E59:J59" si="10">E55-E58</f>
        <v>259.13864933456512</v>
      </c>
      <c r="F59" s="6">
        <f t="shared" si="10"/>
        <v>363.52877137938458</v>
      </c>
      <c r="G59" s="6">
        <f t="shared" si="10"/>
        <v>443.49834472351631</v>
      </c>
      <c r="H59" s="6">
        <f t="shared" si="10"/>
        <v>437.83928759954699</v>
      </c>
      <c r="I59" s="6">
        <f t="shared" si="10"/>
        <v>363.01550672551502</v>
      </c>
      <c r="J59" s="6">
        <f t="shared" si="10"/>
        <v>342.95199831240637</v>
      </c>
      <c r="K59" s="6">
        <f>K55-K58</f>
        <v>290.22589757200967</v>
      </c>
      <c r="L59" s="6" t="e">
        <f>L55-L58</f>
        <v>#VALUE!</v>
      </c>
      <c r="M59" s="6"/>
      <c r="N59" s="6"/>
      <c r="O59" s="6"/>
      <c r="P59" s="6"/>
      <c r="Q59" s="6"/>
      <c r="R59" s="6"/>
      <c r="S59" s="6"/>
      <c r="T59" s="6"/>
    </row>
    <row r="60" spans="1:23">
      <c r="A60" s="83" t="s">
        <v>183</v>
      </c>
      <c r="B60" s="84"/>
      <c r="C60" s="84"/>
      <c r="D60" s="488">
        <f>D59</f>
        <v>173.26791172472554</v>
      </c>
      <c r="E60" s="488">
        <f t="shared" ref="E60:L60" si="11">D60+E59</f>
        <v>432.40656105929065</v>
      </c>
      <c r="F60" s="488">
        <f t="shared" si="11"/>
        <v>795.93533243867523</v>
      </c>
      <c r="G60" s="488">
        <f t="shared" si="11"/>
        <v>1239.4336771621915</v>
      </c>
      <c r="H60" s="488">
        <f t="shared" si="11"/>
        <v>1677.2729647617384</v>
      </c>
      <c r="I60" s="488">
        <f t="shared" si="11"/>
        <v>2040.2884714872534</v>
      </c>
      <c r="J60" s="488">
        <f t="shared" si="11"/>
        <v>2383.2404697996599</v>
      </c>
      <c r="K60" s="488">
        <f t="shared" si="11"/>
        <v>2673.4663673716695</v>
      </c>
      <c r="L60" s="488" t="e">
        <f t="shared" si="11"/>
        <v>#VALUE!</v>
      </c>
      <c r="M60" s="43"/>
      <c r="N60" s="43"/>
      <c r="O60" s="43"/>
      <c r="P60" s="43"/>
      <c r="Q60" s="43"/>
      <c r="R60" s="43"/>
      <c r="S60" s="43"/>
      <c r="T60" s="43"/>
    </row>
    <row r="61" spans="1:23">
      <c r="A61" s="83" t="s">
        <v>184</v>
      </c>
      <c r="B61" s="84"/>
      <c r="C61" s="84"/>
      <c r="D61" s="488">
        <f>D55+D49</f>
        <v>625.46197142138726</v>
      </c>
      <c r="E61" s="488">
        <f t="shared" ref="E61:L61" si="12">E55+E49</f>
        <v>711.33270903122684</v>
      </c>
      <c r="F61" s="488">
        <f t="shared" si="12"/>
        <v>815.7228310760463</v>
      </c>
      <c r="G61" s="488">
        <f t="shared" si="12"/>
        <v>895.69240442017804</v>
      </c>
      <c r="H61" s="488">
        <f t="shared" si="12"/>
        <v>1054.0085078195082</v>
      </c>
      <c r="I61" s="488">
        <f t="shared" si="12"/>
        <v>1041.0747286460798</v>
      </c>
      <c r="J61" s="488">
        <f t="shared" si="12"/>
        <v>1058.5205793447913</v>
      </c>
      <c r="K61" s="488">
        <f t="shared" si="12"/>
        <v>1039.5621915262193</v>
      </c>
      <c r="L61" s="488">
        <f t="shared" si="12"/>
        <v>1025.2877954128494</v>
      </c>
      <c r="M61" s="43"/>
      <c r="N61" s="43"/>
      <c r="O61" s="43"/>
      <c r="P61" s="43"/>
      <c r="Q61" s="43"/>
      <c r="R61" s="43"/>
      <c r="S61" s="43"/>
      <c r="T61" s="43"/>
    </row>
    <row r="62" spans="1:23">
      <c r="A62" s="83" t="s">
        <v>185</v>
      </c>
      <c r="B62" s="84"/>
      <c r="C62" s="84"/>
      <c r="D62" s="488">
        <f>D61/D25*100</f>
        <v>42.389792791438694</v>
      </c>
      <c r="E62" s="488">
        <f t="shared" ref="E62:L62" si="13">E61/E25*100</f>
        <v>41.322479592505282</v>
      </c>
      <c r="F62" s="488">
        <f t="shared" si="13"/>
        <v>41.463338337715484</v>
      </c>
      <c r="G62" s="488">
        <f t="shared" si="13"/>
        <v>40.469516573968065</v>
      </c>
      <c r="H62" s="488">
        <f t="shared" si="13"/>
        <v>42.860353743343197</v>
      </c>
      <c r="I62" s="488">
        <f t="shared" si="13"/>
        <v>42.334412684519826</v>
      </c>
      <c r="J62" s="488">
        <f t="shared" si="13"/>
        <v>43.043833269603347</v>
      </c>
      <c r="K62" s="488">
        <f t="shared" si="13"/>
        <v>42.272906657266532</v>
      </c>
      <c r="L62" s="488">
        <f t="shared" si="13"/>
        <v>41.692450558143271</v>
      </c>
      <c r="M62" s="43"/>
      <c r="N62" s="43"/>
      <c r="O62" s="43"/>
      <c r="P62" s="43"/>
      <c r="Q62" s="43"/>
      <c r="R62" s="43"/>
      <c r="S62" s="43"/>
      <c r="T62" s="43"/>
    </row>
    <row r="63" spans="1:23">
      <c r="A63" s="83" t="s">
        <v>186</v>
      </c>
      <c r="B63" s="84"/>
      <c r="C63" s="84"/>
      <c r="D63" s="489">
        <f>D59/D25*100</f>
        <v>11.742985522725029</v>
      </c>
      <c r="E63" s="489">
        <f t="shared" ref="E63:L63" si="14">E59/E25*100</f>
        <v>15.053787647893563</v>
      </c>
      <c r="F63" s="489">
        <f t="shared" si="14"/>
        <v>18.478232886180233</v>
      </c>
      <c r="G63" s="489">
        <f t="shared" si="14"/>
        <v>20.038311728158952</v>
      </c>
      <c r="H63" s="489">
        <f t="shared" si="14"/>
        <v>17.804359841527486</v>
      </c>
      <c r="I63" s="489">
        <f t="shared" si="14"/>
        <v>14.761714841147111</v>
      </c>
      <c r="J63" s="489">
        <f t="shared" si="14"/>
        <v>13.945849445812335</v>
      </c>
      <c r="K63" s="489">
        <f t="shared" si="14"/>
        <v>11.801787692538957</v>
      </c>
      <c r="L63" s="489" t="e">
        <f t="shared" si="14"/>
        <v>#VALUE!</v>
      </c>
      <c r="M63" s="43"/>
      <c r="N63" s="43"/>
      <c r="O63" s="43"/>
      <c r="P63" s="43"/>
      <c r="Q63" s="43"/>
      <c r="R63" s="43"/>
      <c r="S63" s="43"/>
      <c r="T63" s="43"/>
    </row>
    <row r="64" spans="1:23">
      <c r="A64" s="87" t="s">
        <v>187</v>
      </c>
      <c r="B64" s="88"/>
      <c r="C64" s="88"/>
      <c r="D64" s="490">
        <f>D59</f>
        <v>173.26791172472554</v>
      </c>
      <c r="E64" s="490">
        <f t="shared" ref="E64:J64" si="15">E59</f>
        <v>259.13864933456512</v>
      </c>
      <c r="F64" s="490">
        <f t="shared" si="15"/>
        <v>363.52877137938458</v>
      </c>
      <c r="G64" s="490">
        <f t="shared" si="15"/>
        <v>443.49834472351631</v>
      </c>
      <c r="H64" s="490">
        <f t="shared" si="15"/>
        <v>437.83928759954699</v>
      </c>
      <c r="I64" s="490">
        <f t="shared" si="15"/>
        <v>363.01550672551502</v>
      </c>
      <c r="J64" s="490">
        <f t="shared" si="15"/>
        <v>342.95199831240637</v>
      </c>
      <c r="K64" s="490">
        <f>K59</f>
        <v>290.22589757200967</v>
      </c>
      <c r="L64" s="490" t="e">
        <f>L59</f>
        <v>#VALUE!</v>
      </c>
      <c r="M64" s="43"/>
      <c r="N64" s="43"/>
      <c r="O64" s="43"/>
      <c r="P64" s="43"/>
      <c r="Q64" s="43"/>
      <c r="R64" s="43"/>
      <c r="S64" s="43"/>
      <c r="T64" s="43"/>
    </row>
    <row r="65" spans="1:20">
      <c r="D65" s="67"/>
      <c r="E65" s="67"/>
      <c r="F65" s="67"/>
      <c r="G65" s="67"/>
      <c r="H65" s="67"/>
      <c r="I65" s="67"/>
      <c r="J65" s="67"/>
      <c r="K65" s="67"/>
      <c r="L65" s="67"/>
      <c r="M65" s="67"/>
      <c r="N65" s="67"/>
      <c r="O65" s="67"/>
      <c r="P65" s="67"/>
      <c r="Q65" s="67"/>
      <c r="R65" s="67"/>
      <c r="S65" s="67"/>
      <c r="T65" s="43"/>
    </row>
    <row r="66" spans="1:20">
      <c r="A66" s="84" t="s">
        <v>188</v>
      </c>
      <c r="D66" s="67"/>
      <c r="E66" s="67"/>
      <c r="F66" s="67"/>
      <c r="G66" s="67"/>
      <c r="H66" s="67"/>
      <c r="I66" s="67"/>
      <c r="J66" s="67"/>
      <c r="K66" s="67"/>
      <c r="L66" s="67"/>
      <c r="M66" s="67"/>
      <c r="N66" s="67"/>
      <c r="O66" s="67"/>
      <c r="P66" s="67"/>
      <c r="Q66" s="67"/>
      <c r="R66" s="67"/>
      <c r="S66" s="67"/>
      <c r="T66" s="43"/>
    </row>
    <row r="67" spans="1:20">
      <c r="A67" s="84" t="s">
        <v>189</v>
      </c>
      <c r="D67" s="67">
        <f>D59+D49+D46</f>
        <v>865.57447142138722</v>
      </c>
      <c r="E67" s="67">
        <f t="shared" ref="E67:K67" si="16">E59+E49+E46</f>
        <v>929.12020903122686</v>
      </c>
      <c r="F67" s="67">
        <f t="shared" si="16"/>
        <v>1002.3978310760463</v>
      </c>
      <c r="G67" s="67">
        <f t="shared" si="16"/>
        <v>1042.942404420178</v>
      </c>
      <c r="H67" s="67">
        <f t="shared" si="16"/>
        <v>989.07084729620885</v>
      </c>
      <c r="I67" s="67">
        <f t="shared" si="16"/>
        <v>860.33456642217675</v>
      </c>
      <c r="J67" s="67">
        <f t="shared" si="16"/>
        <v>797.52105800906816</v>
      </c>
      <c r="K67" s="67">
        <f t="shared" si="16"/>
        <v>742.4199572686714</v>
      </c>
      <c r="L67" s="67" t="e">
        <f>L59+L49+L46</f>
        <v>#VALUE!</v>
      </c>
      <c r="M67" s="67"/>
      <c r="N67" s="67"/>
      <c r="O67" s="67"/>
      <c r="P67" s="67"/>
      <c r="Q67" s="67"/>
      <c r="R67" s="67"/>
      <c r="S67" s="67"/>
      <c r="T67" s="43"/>
    </row>
    <row r="68" spans="1:20">
      <c r="A68" s="84" t="s">
        <v>190</v>
      </c>
      <c r="D68" s="67" t="e">
        <f>#REF!</f>
        <v>#REF!</v>
      </c>
      <c r="E68" s="67" t="e">
        <f>#REF!</f>
        <v>#REF!</v>
      </c>
      <c r="F68" s="67" t="e">
        <f>#REF!</f>
        <v>#REF!</v>
      </c>
      <c r="G68" s="67" t="e">
        <f>#REF!</f>
        <v>#REF!</v>
      </c>
      <c r="H68" s="67" t="e">
        <f>#REF!</f>
        <v>#REF!</v>
      </c>
      <c r="I68" s="67" t="e">
        <f>#REF!</f>
        <v>#REF!</v>
      </c>
      <c r="J68" s="67" t="e">
        <f>#REF!</f>
        <v>#REF!</v>
      </c>
      <c r="K68" s="67" t="e">
        <f>#REF!</f>
        <v>#REF!</v>
      </c>
      <c r="L68" s="67" t="e">
        <f>#REF!</f>
        <v>#REF!</v>
      </c>
      <c r="M68" s="67"/>
      <c r="N68" s="67"/>
      <c r="O68" s="67"/>
      <c r="P68" s="67"/>
      <c r="Q68" s="67"/>
      <c r="R68" s="67"/>
      <c r="S68" s="67"/>
      <c r="T68" s="43"/>
    </row>
    <row r="69" spans="1:20">
      <c r="D69" s="67" t="e">
        <f>D67/D68</f>
        <v>#REF!</v>
      </c>
      <c r="E69" s="67" t="e">
        <f t="shared" ref="E69:K69" si="17">E67/E68</f>
        <v>#REF!</v>
      </c>
      <c r="F69" s="67" t="e">
        <f t="shared" si="17"/>
        <v>#REF!</v>
      </c>
      <c r="G69" s="67" t="e">
        <f t="shared" si="17"/>
        <v>#REF!</v>
      </c>
      <c r="H69" s="67" t="e">
        <f t="shared" si="17"/>
        <v>#REF!</v>
      </c>
      <c r="I69" s="67" t="e">
        <f t="shared" si="17"/>
        <v>#REF!</v>
      </c>
      <c r="J69" s="67" t="e">
        <f t="shared" si="17"/>
        <v>#REF!</v>
      </c>
      <c r="K69" s="67" t="e">
        <f t="shared" si="17"/>
        <v>#REF!</v>
      </c>
      <c r="L69" s="67" t="e">
        <f>L67/L68</f>
        <v>#VALUE!</v>
      </c>
      <c r="M69" s="67"/>
      <c r="N69" s="67"/>
      <c r="O69" s="67"/>
      <c r="P69" s="67"/>
      <c r="Q69" s="67"/>
      <c r="R69" s="67"/>
      <c r="S69" s="67"/>
      <c r="T69" s="43"/>
    </row>
    <row r="70" spans="1:20">
      <c r="D70" s="67"/>
      <c r="E70" s="67"/>
      <c r="F70" s="67"/>
      <c r="G70" s="67"/>
      <c r="H70" s="67"/>
      <c r="I70" s="67"/>
      <c r="J70" s="67"/>
      <c r="K70" s="67"/>
      <c r="L70" s="67"/>
      <c r="M70" s="67"/>
      <c r="N70" s="67"/>
      <c r="O70" s="67"/>
      <c r="P70" s="67"/>
      <c r="Q70" s="67"/>
      <c r="R70" s="67"/>
      <c r="S70" s="67"/>
      <c r="T70" s="43"/>
    </row>
    <row r="71" spans="1:20">
      <c r="D71" s="67" t="e">
        <f>AVERAGE(D69:K69)</f>
        <v>#REF!</v>
      </c>
      <c r="E71" s="67"/>
      <c r="F71" s="67"/>
      <c r="G71" s="67"/>
      <c r="H71" s="67"/>
      <c r="I71" s="67"/>
      <c r="J71" s="67"/>
      <c r="K71" s="67"/>
      <c r="L71" s="67"/>
      <c r="M71" s="67"/>
      <c r="N71" s="67"/>
      <c r="O71" s="67"/>
      <c r="P71" s="67"/>
      <c r="Q71" s="67"/>
      <c r="R71" s="67"/>
      <c r="S71" s="67"/>
      <c r="T71" s="43"/>
    </row>
    <row r="72" spans="1:20">
      <c r="D72" s="67"/>
      <c r="E72" s="67"/>
      <c r="F72" s="67"/>
      <c r="G72" s="67"/>
      <c r="H72" s="67"/>
      <c r="I72" s="67"/>
      <c r="J72" s="67"/>
      <c r="K72" s="67"/>
      <c r="L72" s="67"/>
      <c r="M72" s="67"/>
      <c r="N72" s="67"/>
      <c r="O72" s="67"/>
      <c r="P72" s="67"/>
      <c r="Q72" s="67"/>
      <c r="R72" s="67"/>
      <c r="S72" s="67"/>
      <c r="T72" s="43"/>
    </row>
    <row r="73" spans="1:20">
      <c r="D73" s="67"/>
      <c r="E73" s="67"/>
      <c r="F73" s="67"/>
      <c r="G73" s="67"/>
      <c r="H73" s="67"/>
      <c r="I73" s="67"/>
      <c r="J73" s="67"/>
      <c r="K73" s="67"/>
      <c r="L73" s="67"/>
      <c r="M73" s="67"/>
      <c r="N73" s="67"/>
      <c r="O73" s="67"/>
      <c r="P73" s="67"/>
      <c r="Q73" s="67"/>
      <c r="R73" s="67"/>
      <c r="S73" s="67"/>
      <c r="T73" s="43"/>
    </row>
    <row r="74" spans="1:20">
      <c r="D74" s="67"/>
      <c r="E74" s="67"/>
      <c r="F74" s="67"/>
      <c r="G74" s="67"/>
      <c r="H74" s="67"/>
      <c r="I74" s="67"/>
      <c r="J74" s="67"/>
      <c r="K74" s="67"/>
      <c r="L74" s="67"/>
      <c r="M74" s="67"/>
      <c r="N74" s="67"/>
      <c r="O74" s="67"/>
      <c r="P74" s="67"/>
      <c r="Q74" s="67"/>
      <c r="R74" s="67"/>
      <c r="S74" s="67"/>
      <c r="T74" s="43"/>
    </row>
    <row r="75" spans="1:20">
      <c r="D75" s="67"/>
      <c r="E75" s="67"/>
      <c r="F75" s="67"/>
      <c r="G75" s="67"/>
      <c r="H75" s="67"/>
      <c r="I75" s="67"/>
      <c r="J75" s="67"/>
      <c r="K75" s="67"/>
      <c r="L75" s="67"/>
      <c r="M75" s="67"/>
      <c r="N75" s="67"/>
      <c r="O75" s="67"/>
      <c r="P75" s="67"/>
      <c r="Q75" s="67"/>
      <c r="R75" s="67"/>
      <c r="S75" s="67"/>
      <c r="T75" s="43"/>
    </row>
    <row r="76" spans="1:20">
      <c r="D76" s="67"/>
      <c r="E76" s="67"/>
      <c r="F76" s="67"/>
      <c r="G76" s="67"/>
      <c r="H76" s="67"/>
      <c r="I76" s="67"/>
      <c r="J76" s="67"/>
      <c r="K76" s="67"/>
      <c r="L76" s="67"/>
      <c r="M76" s="67"/>
      <c r="N76" s="67"/>
      <c r="O76" s="67"/>
      <c r="P76" s="67"/>
      <c r="Q76" s="67"/>
      <c r="R76" s="67"/>
      <c r="S76" s="67"/>
      <c r="T76" s="43"/>
    </row>
    <row r="77" spans="1:20">
      <c r="D77" s="67"/>
      <c r="E77" s="67"/>
      <c r="F77" s="67"/>
      <c r="G77" s="67"/>
      <c r="H77" s="67"/>
      <c r="I77" s="67"/>
      <c r="J77" s="67"/>
      <c r="K77" s="67"/>
      <c r="L77" s="67"/>
      <c r="M77" s="67"/>
      <c r="N77" s="67"/>
      <c r="O77" s="67"/>
      <c r="P77" s="67"/>
      <c r="Q77" s="67"/>
      <c r="R77" s="67"/>
      <c r="S77" s="67"/>
      <c r="T77" s="43"/>
    </row>
    <row r="78" spans="1:20">
      <c r="D78" s="67"/>
      <c r="E78" s="67"/>
      <c r="F78" s="67"/>
      <c r="G78" s="67"/>
      <c r="H78" s="67"/>
      <c r="I78" s="67"/>
      <c r="J78" s="67"/>
      <c r="K78" s="67"/>
      <c r="L78" s="67"/>
      <c r="M78" s="67"/>
      <c r="N78" s="67"/>
      <c r="O78" s="67"/>
      <c r="P78" s="67"/>
      <c r="Q78" s="67"/>
      <c r="R78" s="67"/>
      <c r="S78" s="67"/>
      <c r="T78" s="43"/>
    </row>
    <row r="79" spans="1:20">
      <c r="D79" s="67"/>
      <c r="E79" s="67"/>
      <c r="F79" s="67"/>
      <c r="G79" s="67"/>
      <c r="H79" s="67"/>
      <c r="I79" s="67"/>
      <c r="J79" s="67"/>
      <c r="K79" s="67"/>
      <c r="L79" s="67"/>
      <c r="M79" s="67"/>
      <c r="N79" s="67"/>
      <c r="O79" s="67"/>
      <c r="P79" s="67"/>
      <c r="Q79" s="67"/>
      <c r="R79" s="67"/>
      <c r="S79" s="67"/>
      <c r="T79" s="43"/>
    </row>
    <row r="80" spans="1:20">
      <c r="D80" s="67"/>
      <c r="E80" s="67"/>
      <c r="F80" s="67"/>
      <c r="G80" s="67"/>
      <c r="H80" s="67"/>
      <c r="I80" s="67"/>
      <c r="J80" s="67"/>
      <c r="K80" s="67"/>
      <c r="L80" s="67"/>
      <c r="M80" s="67"/>
      <c r="N80" s="67"/>
      <c r="O80" s="67"/>
      <c r="P80" s="67"/>
      <c r="Q80" s="67"/>
      <c r="R80" s="67"/>
      <c r="S80" s="67"/>
      <c r="T80" s="43"/>
    </row>
    <row r="81" spans="4:20">
      <c r="D81" s="67"/>
      <c r="E81" s="67"/>
      <c r="F81" s="67"/>
      <c r="G81" s="67"/>
      <c r="H81" s="67"/>
      <c r="I81" s="67"/>
      <c r="J81" s="67"/>
      <c r="K81" s="67"/>
      <c r="L81" s="67"/>
      <c r="M81" s="67"/>
      <c r="N81" s="67"/>
      <c r="O81" s="67"/>
      <c r="P81" s="67"/>
      <c r="Q81" s="67"/>
      <c r="R81" s="67"/>
      <c r="S81" s="67"/>
      <c r="T81" s="43"/>
    </row>
    <row r="82" spans="4:20">
      <c r="D82" s="67"/>
      <c r="E82" s="67"/>
      <c r="F82" s="67"/>
      <c r="G82" s="67"/>
      <c r="H82" s="67"/>
      <c r="I82" s="67"/>
      <c r="J82" s="67"/>
      <c r="K82" s="67"/>
      <c r="L82" s="67"/>
      <c r="M82" s="67"/>
      <c r="N82" s="67"/>
      <c r="O82" s="67"/>
      <c r="P82" s="67"/>
      <c r="Q82" s="67"/>
      <c r="R82" s="67"/>
      <c r="S82" s="67"/>
      <c r="T82" s="43"/>
    </row>
    <row r="83" spans="4:20">
      <c r="D83" s="67"/>
      <c r="E83" s="67"/>
      <c r="F83" s="67"/>
      <c r="G83" s="67"/>
      <c r="H83" s="67"/>
      <c r="I83" s="67"/>
      <c r="J83" s="67"/>
      <c r="K83" s="67"/>
      <c r="L83" s="67"/>
      <c r="M83" s="67"/>
      <c r="N83" s="67"/>
      <c r="O83" s="67"/>
      <c r="P83" s="67"/>
      <c r="Q83" s="67"/>
      <c r="R83" s="67"/>
      <c r="S83" s="67"/>
      <c r="T83" s="43"/>
    </row>
    <row r="84" spans="4:20">
      <c r="D84" s="67"/>
      <c r="E84" s="67"/>
      <c r="F84" s="67"/>
      <c r="G84" s="67"/>
      <c r="H84" s="67"/>
      <c r="I84" s="67"/>
      <c r="J84" s="67"/>
      <c r="K84" s="67"/>
      <c r="L84" s="67"/>
      <c r="M84" s="67"/>
      <c r="N84" s="67"/>
      <c r="O84" s="67"/>
      <c r="P84" s="67"/>
      <c r="Q84" s="67"/>
      <c r="R84" s="67"/>
      <c r="S84" s="67"/>
      <c r="T84" s="43"/>
    </row>
    <row r="85" spans="4:20">
      <c r="D85" s="67"/>
      <c r="E85" s="67"/>
      <c r="F85" s="67"/>
      <c r="G85" s="67"/>
      <c r="H85" s="67"/>
      <c r="I85" s="67"/>
      <c r="J85" s="67"/>
      <c r="K85" s="67"/>
      <c r="L85" s="67"/>
      <c r="M85" s="67"/>
      <c r="N85" s="67"/>
      <c r="O85" s="67"/>
      <c r="P85" s="67"/>
      <c r="Q85" s="67"/>
      <c r="R85" s="67"/>
      <c r="S85" s="67"/>
      <c r="T85" s="43"/>
    </row>
    <row r="86" spans="4:20">
      <c r="D86" s="67"/>
      <c r="E86" s="67"/>
      <c r="F86" s="67"/>
      <c r="G86" s="67"/>
      <c r="H86" s="67"/>
      <c r="I86" s="67"/>
      <c r="J86" s="67"/>
      <c r="K86" s="67"/>
      <c r="L86" s="67"/>
      <c r="M86" s="67"/>
      <c r="N86" s="67"/>
      <c r="O86" s="67"/>
      <c r="P86" s="67"/>
      <c r="Q86" s="67"/>
      <c r="R86" s="67"/>
      <c r="S86" s="67"/>
      <c r="T86" s="43"/>
    </row>
    <row r="87" spans="4:20">
      <c r="D87" s="67"/>
      <c r="E87" s="67"/>
      <c r="F87" s="67"/>
      <c r="G87" s="67"/>
      <c r="H87" s="67"/>
      <c r="I87" s="67"/>
      <c r="J87" s="67"/>
      <c r="K87" s="67"/>
      <c r="L87" s="67"/>
      <c r="M87" s="67"/>
      <c r="N87" s="67"/>
      <c r="O87" s="67"/>
      <c r="P87" s="67"/>
      <c r="Q87" s="67"/>
      <c r="R87" s="67"/>
      <c r="S87" s="67"/>
      <c r="T87" s="43"/>
    </row>
    <row r="88" spans="4:20">
      <c r="D88" s="67"/>
      <c r="E88" s="67"/>
      <c r="F88" s="67"/>
      <c r="G88" s="67"/>
      <c r="H88" s="67"/>
      <c r="I88" s="67"/>
      <c r="J88" s="67"/>
      <c r="K88" s="67"/>
      <c r="L88" s="67"/>
      <c r="M88" s="67"/>
      <c r="N88" s="67"/>
      <c r="O88" s="67"/>
      <c r="P88" s="67"/>
      <c r="Q88" s="67"/>
      <c r="R88" s="67"/>
      <c r="S88" s="67"/>
      <c r="T88" s="43"/>
    </row>
    <row r="89" spans="4:20">
      <c r="D89" s="67"/>
      <c r="E89" s="67"/>
      <c r="F89" s="67"/>
      <c r="G89" s="67"/>
      <c r="H89" s="67"/>
      <c r="I89" s="67"/>
      <c r="J89" s="67"/>
      <c r="K89" s="67"/>
      <c r="L89" s="67"/>
      <c r="M89" s="67"/>
      <c r="N89" s="67"/>
      <c r="O89" s="67"/>
      <c r="P89" s="67"/>
      <c r="Q89" s="67"/>
      <c r="R89" s="67"/>
      <c r="S89" s="67"/>
      <c r="T89" s="43"/>
    </row>
    <row r="90" spans="4:20">
      <c r="D90" s="67"/>
      <c r="E90" s="67"/>
      <c r="F90" s="67"/>
      <c r="G90" s="67"/>
      <c r="H90" s="67"/>
      <c r="I90" s="67"/>
      <c r="J90" s="67"/>
      <c r="K90" s="67"/>
      <c r="L90" s="67"/>
      <c r="M90" s="67"/>
      <c r="N90" s="67"/>
      <c r="O90" s="67"/>
      <c r="P90" s="67"/>
      <c r="Q90" s="67"/>
      <c r="R90" s="67"/>
      <c r="S90" s="67"/>
      <c r="T90" s="43"/>
    </row>
    <row r="91" spans="4:20">
      <c r="D91" s="67"/>
      <c r="E91" s="67"/>
      <c r="F91" s="67"/>
      <c r="G91" s="67"/>
      <c r="H91" s="67"/>
      <c r="I91" s="67"/>
      <c r="J91" s="67"/>
      <c r="K91" s="67"/>
      <c r="L91" s="67"/>
      <c r="M91" s="67"/>
      <c r="N91" s="67"/>
      <c r="O91" s="67"/>
      <c r="P91" s="67"/>
      <c r="Q91" s="67"/>
      <c r="R91" s="67"/>
      <c r="S91" s="67"/>
      <c r="T91" s="43"/>
    </row>
    <row r="92" spans="4:20">
      <c r="D92" s="67"/>
      <c r="E92" s="67"/>
      <c r="F92" s="67"/>
      <c r="G92" s="67"/>
      <c r="H92" s="67"/>
      <c r="I92" s="67"/>
      <c r="J92" s="67"/>
      <c r="K92" s="67"/>
      <c r="L92" s="67"/>
      <c r="M92" s="67"/>
      <c r="N92" s="67"/>
      <c r="O92" s="67"/>
      <c r="P92" s="67"/>
      <c r="Q92" s="67"/>
      <c r="R92" s="67"/>
      <c r="S92" s="67"/>
      <c r="T92" s="43"/>
    </row>
    <row r="93" spans="4:20">
      <c r="D93" s="67"/>
      <c r="E93" s="67"/>
      <c r="F93" s="67"/>
      <c r="G93" s="67"/>
      <c r="H93" s="67"/>
      <c r="I93" s="67"/>
      <c r="J93" s="67"/>
      <c r="K93" s="67"/>
      <c r="L93" s="67"/>
      <c r="M93" s="67"/>
      <c r="N93" s="67"/>
      <c r="O93" s="67"/>
      <c r="P93" s="67"/>
      <c r="Q93" s="67"/>
      <c r="R93" s="67"/>
      <c r="S93" s="67"/>
      <c r="T93" s="43"/>
    </row>
    <row r="94" spans="4:20">
      <c r="D94" s="67"/>
      <c r="E94" s="67"/>
      <c r="F94" s="67"/>
      <c r="G94" s="67"/>
      <c r="H94" s="67"/>
      <c r="I94" s="67"/>
      <c r="J94" s="67"/>
      <c r="K94" s="67"/>
      <c r="L94" s="67"/>
      <c r="M94" s="67"/>
      <c r="N94" s="67"/>
      <c r="O94" s="67"/>
      <c r="P94" s="67"/>
      <c r="Q94" s="67"/>
      <c r="R94" s="67"/>
      <c r="S94" s="67"/>
      <c r="T94" s="43"/>
    </row>
    <row r="95" spans="4:20">
      <c r="D95" s="67"/>
      <c r="E95" s="67"/>
      <c r="F95" s="67"/>
      <c r="G95" s="67"/>
      <c r="H95" s="67"/>
      <c r="I95" s="67"/>
      <c r="J95" s="67"/>
      <c r="K95" s="67"/>
      <c r="L95" s="67"/>
      <c r="M95" s="67"/>
      <c r="N95" s="67"/>
      <c r="O95" s="67"/>
      <c r="P95" s="67"/>
      <c r="Q95" s="67"/>
      <c r="R95" s="67"/>
      <c r="S95" s="67"/>
      <c r="T95" s="43"/>
    </row>
    <row r="96" spans="4:20">
      <c r="D96" s="67"/>
      <c r="E96" s="67"/>
      <c r="F96" s="67"/>
      <c r="G96" s="67"/>
      <c r="H96" s="67"/>
      <c r="I96" s="67"/>
      <c r="J96" s="67"/>
      <c r="K96" s="67"/>
      <c r="L96" s="67"/>
      <c r="M96" s="67"/>
      <c r="N96" s="67"/>
      <c r="O96" s="67"/>
      <c r="P96" s="67"/>
      <c r="Q96" s="67"/>
      <c r="R96" s="67"/>
      <c r="S96" s="67"/>
      <c r="T96" s="43"/>
    </row>
    <row r="97" spans="4:20">
      <c r="D97" s="67"/>
      <c r="E97" s="67"/>
      <c r="F97" s="67"/>
      <c r="G97" s="67"/>
      <c r="H97" s="67"/>
      <c r="I97" s="67"/>
      <c r="J97" s="67"/>
      <c r="K97" s="67"/>
      <c r="L97" s="67"/>
      <c r="M97" s="67"/>
      <c r="N97" s="67"/>
      <c r="O97" s="67"/>
      <c r="P97" s="67"/>
      <c r="Q97" s="67"/>
      <c r="R97" s="67"/>
      <c r="S97" s="67"/>
      <c r="T97" s="43"/>
    </row>
    <row r="98" spans="4:20">
      <c r="D98" s="67"/>
      <c r="E98" s="67"/>
      <c r="F98" s="67"/>
      <c r="G98" s="67"/>
      <c r="H98" s="67"/>
      <c r="I98" s="67"/>
      <c r="J98" s="67"/>
      <c r="K98" s="67"/>
      <c r="L98" s="67"/>
      <c r="M98" s="67"/>
      <c r="N98" s="67"/>
      <c r="O98" s="67"/>
      <c r="P98" s="67"/>
      <c r="Q98" s="67"/>
      <c r="R98" s="67"/>
      <c r="S98" s="67"/>
      <c r="T98" s="43"/>
    </row>
    <row r="99" spans="4:20">
      <c r="D99" s="67"/>
      <c r="E99" s="67"/>
      <c r="F99" s="67"/>
      <c r="G99" s="67"/>
      <c r="H99" s="67"/>
      <c r="I99" s="67"/>
      <c r="J99" s="67"/>
      <c r="K99" s="67"/>
      <c r="L99" s="67"/>
      <c r="M99" s="67"/>
      <c r="N99" s="67"/>
      <c r="O99" s="67"/>
      <c r="P99" s="67"/>
      <c r="Q99" s="67"/>
      <c r="R99" s="67"/>
      <c r="S99" s="67"/>
      <c r="T99" s="43"/>
    </row>
    <row r="100" spans="4:20">
      <c r="D100" s="67"/>
      <c r="E100" s="67"/>
      <c r="F100" s="67"/>
      <c r="G100" s="67"/>
      <c r="H100" s="67"/>
      <c r="I100" s="67"/>
      <c r="J100" s="67"/>
      <c r="K100" s="67"/>
      <c r="L100" s="67"/>
      <c r="M100" s="67"/>
      <c r="N100" s="67"/>
      <c r="O100" s="67"/>
      <c r="P100" s="67"/>
      <c r="Q100" s="67"/>
      <c r="R100" s="67"/>
      <c r="S100" s="67"/>
      <c r="T100" s="43"/>
    </row>
    <row r="101" spans="4:20">
      <c r="D101" s="67"/>
      <c r="E101" s="67"/>
      <c r="F101" s="67"/>
      <c r="G101" s="67"/>
      <c r="H101" s="67"/>
      <c r="I101" s="67"/>
      <c r="J101" s="67"/>
      <c r="K101" s="67"/>
      <c r="L101" s="67"/>
      <c r="M101" s="67"/>
      <c r="N101" s="67"/>
      <c r="O101" s="67"/>
      <c r="P101" s="67"/>
      <c r="Q101" s="67"/>
      <c r="R101" s="67"/>
      <c r="S101" s="67"/>
      <c r="T101" s="43"/>
    </row>
    <row r="102" spans="4:20">
      <c r="D102" s="67"/>
      <c r="E102" s="67"/>
      <c r="F102" s="67"/>
      <c r="G102" s="67"/>
      <c r="H102" s="67"/>
      <c r="I102" s="67"/>
      <c r="J102" s="67"/>
      <c r="K102" s="67"/>
      <c r="L102" s="67"/>
      <c r="M102" s="67"/>
      <c r="N102" s="67"/>
      <c r="O102" s="67"/>
      <c r="P102" s="67"/>
      <c r="Q102" s="67"/>
      <c r="R102" s="67"/>
      <c r="S102" s="67"/>
      <c r="T102" s="43"/>
    </row>
    <row r="103" spans="4:20">
      <c r="D103" s="67"/>
      <c r="E103" s="67"/>
      <c r="F103" s="67"/>
      <c r="G103" s="67"/>
      <c r="H103" s="67"/>
      <c r="I103" s="67"/>
      <c r="J103" s="67"/>
      <c r="K103" s="67"/>
      <c r="L103" s="67"/>
      <c r="M103" s="67"/>
      <c r="N103" s="67"/>
      <c r="O103" s="67"/>
      <c r="P103" s="67"/>
      <c r="Q103" s="67"/>
      <c r="R103" s="67"/>
      <c r="S103" s="67"/>
      <c r="T103" s="43"/>
    </row>
    <row r="104" spans="4:20">
      <c r="D104" s="67"/>
      <c r="E104" s="67"/>
      <c r="F104" s="67"/>
      <c r="G104" s="67"/>
      <c r="H104" s="67"/>
      <c r="I104" s="67"/>
      <c r="J104" s="67"/>
      <c r="K104" s="67"/>
      <c r="L104" s="67"/>
      <c r="M104" s="67"/>
      <c r="N104" s="67"/>
      <c r="O104" s="67"/>
      <c r="P104" s="67"/>
      <c r="Q104" s="67"/>
      <c r="R104" s="67"/>
      <c r="S104" s="67"/>
      <c r="T104" s="43"/>
    </row>
    <row r="105" spans="4:20">
      <c r="D105" s="67"/>
      <c r="E105" s="67"/>
      <c r="F105" s="67"/>
      <c r="G105" s="67"/>
      <c r="H105" s="67"/>
      <c r="I105" s="67"/>
      <c r="J105" s="67"/>
      <c r="K105" s="67"/>
      <c r="L105" s="67"/>
      <c r="M105" s="67"/>
      <c r="N105" s="67"/>
      <c r="O105" s="67"/>
      <c r="P105" s="67"/>
      <c r="Q105" s="67"/>
      <c r="R105" s="67"/>
      <c r="S105" s="67"/>
      <c r="T105" s="43"/>
    </row>
    <row r="106" spans="4:20">
      <c r="D106" s="67"/>
      <c r="E106" s="67"/>
      <c r="F106" s="67"/>
      <c r="G106" s="67"/>
      <c r="H106" s="67"/>
      <c r="I106" s="67"/>
      <c r="J106" s="67"/>
      <c r="K106" s="67"/>
      <c r="L106" s="67"/>
      <c r="M106" s="67"/>
      <c r="N106" s="67"/>
      <c r="O106" s="67"/>
      <c r="P106" s="67"/>
      <c r="Q106" s="67"/>
      <c r="R106" s="67"/>
      <c r="S106" s="67"/>
      <c r="T106" s="67"/>
    </row>
    <row r="107" spans="4:20">
      <c r="D107" s="67"/>
      <c r="E107" s="67"/>
      <c r="F107" s="67"/>
      <c r="G107" s="67"/>
      <c r="H107" s="67"/>
      <c r="I107" s="67"/>
      <c r="J107" s="67"/>
      <c r="K107" s="67"/>
      <c r="L107" s="67"/>
      <c r="M107" s="67"/>
      <c r="N107" s="67"/>
      <c r="O107" s="67"/>
      <c r="P107" s="67"/>
      <c r="Q107" s="67"/>
      <c r="R107" s="67"/>
      <c r="S107" s="67"/>
      <c r="T107" s="67"/>
    </row>
    <row r="108" spans="4:20">
      <c r="D108" s="67"/>
      <c r="E108" s="67"/>
      <c r="F108" s="67"/>
      <c r="G108" s="67"/>
      <c r="H108" s="67"/>
      <c r="I108" s="67"/>
      <c r="J108" s="67"/>
      <c r="K108" s="67"/>
      <c r="L108" s="67"/>
      <c r="M108" s="67"/>
      <c r="N108" s="67"/>
      <c r="O108" s="67"/>
      <c r="P108" s="67"/>
      <c r="Q108" s="67"/>
      <c r="R108" s="67"/>
      <c r="S108" s="67"/>
      <c r="T108" s="67"/>
    </row>
    <row r="109" spans="4:20">
      <c r="D109" s="67"/>
      <c r="E109" s="67"/>
      <c r="F109" s="67"/>
      <c r="G109" s="67"/>
      <c r="H109" s="67"/>
      <c r="I109" s="67"/>
      <c r="J109" s="67"/>
      <c r="K109" s="67"/>
      <c r="L109" s="67"/>
      <c r="M109" s="67"/>
      <c r="N109" s="67"/>
      <c r="O109" s="67"/>
      <c r="P109" s="67"/>
      <c r="Q109" s="67"/>
      <c r="R109" s="67"/>
      <c r="S109" s="67"/>
      <c r="T109" s="67"/>
    </row>
    <row r="118" spans="4:12">
      <c r="D118" s="67">
        <f>D55+D49</f>
        <v>625.46197142138726</v>
      </c>
      <c r="E118" s="67">
        <f t="shared" ref="E118:K118" si="18">E55+E49</f>
        <v>711.33270903122684</v>
      </c>
      <c r="F118" s="67">
        <f t="shared" si="18"/>
        <v>815.7228310760463</v>
      </c>
      <c r="G118" s="67">
        <f t="shared" si="18"/>
        <v>895.69240442017804</v>
      </c>
      <c r="H118" s="67">
        <f t="shared" si="18"/>
        <v>1054.0085078195082</v>
      </c>
      <c r="I118" s="67">
        <f t="shared" si="18"/>
        <v>1041.0747286460798</v>
      </c>
      <c r="J118" s="67">
        <f t="shared" si="18"/>
        <v>1058.5205793447913</v>
      </c>
      <c r="K118" s="67">
        <f t="shared" si="18"/>
        <v>1039.5621915262193</v>
      </c>
      <c r="L118" s="67">
        <f>L55+L49</f>
        <v>1025.2877954128494</v>
      </c>
    </row>
    <row r="119" spans="4:12">
      <c r="D119" s="67"/>
      <c r="E119" s="67"/>
      <c r="F119" s="67"/>
      <c r="G119" s="67"/>
      <c r="H119" s="67"/>
      <c r="I119" s="67"/>
      <c r="J119" s="67"/>
      <c r="K119" s="67"/>
      <c r="L119" s="67"/>
    </row>
    <row r="120" spans="4:12">
      <c r="D120" s="67">
        <f>D118/D25*100</f>
        <v>42.389792791438694</v>
      </c>
      <c r="E120" s="67">
        <f t="shared" ref="E120:K120" si="19">E118/E25*100</f>
        <v>41.322479592505282</v>
      </c>
      <c r="F120" s="67">
        <f t="shared" si="19"/>
        <v>41.463338337715484</v>
      </c>
      <c r="G120" s="67">
        <f t="shared" si="19"/>
        <v>40.469516573968065</v>
      </c>
      <c r="H120" s="67">
        <f t="shared" si="19"/>
        <v>42.860353743343197</v>
      </c>
      <c r="I120" s="67">
        <f t="shared" si="19"/>
        <v>42.334412684519826</v>
      </c>
      <c r="J120" s="67">
        <f t="shared" si="19"/>
        <v>43.043833269603347</v>
      </c>
      <c r="K120" s="67">
        <f t="shared" si="19"/>
        <v>42.272906657266532</v>
      </c>
      <c r="L120" s="67">
        <f>L118/L25*100</f>
        <v>41.692450558143271</v>
      </c>
    </row>
    <row r="121" spans="4:12">
      <c r="D121" s="67"/>
      <c r="E121" s="67"/>
      <c r="F121" s="67"/>
      <c r="G121" s="67"/>
      <c r="H121" s="67"/>
      <c r="I121" s="67"/>
      <c r="J121" s="67"/>
      <c r="K121" s="67"/>
      <c r="L121" s="67"/>
    </row>
    <row r="122" spans="4:12">
      <c r="D122" s="67">
        <f>D49+D46+D55</f>
        <v>865.57447142138733</v>
      </c>
      <c r="E122" s="67">
        <f t="shared" ref="E122:K122" si="20">E49+E46+E55</f>
        <v>929.12020903122698</v>
      </c>
      <c r="F122" s="67">
        <f t="shared" si="20"/>
        <v>1002.3978310760464</v>
      </c>
      <c r="G122" s="67">
        <f t="shared" si="20"/>
        <v>1042.9424044201783</v>
      </c>
      <c r="H122" s="67">
        <f t="shared" si="20"/>
        <v>1153.0460078195083</v>
      </c>
      <c r="I122" s="67">
        <f t="shared" si="20"/>
        <v>1086.1997286460798</v>
      </c>
      <c r="J122" s="67">
        <f t="shared" si="20"/>
        <v>1060.8955793447913</v>
      </c>
      <c r="K122" s="67">
        <f t="shared" si="20"/>
        <v>1039.5621915262193</v>
      </c>
      <c r="L122" s="67">
        <f>L49+L46+L55</f>
        <v>1025.2877954128494</v>
      </c>
    </row>
    <row r="123" spans="4:12">
      <c r="D123" s="67"/>
      <c r="E123" s="67"/>
      <c r="F123" s="67"/>
      <c r="G123" s="67"/>
      <c r="H123" s="67"/>
      <c r="I123" s="67"/>
      <c r="J123" s="67"/>
      <c r="K123" s="67"/>
      <c r="L123" s="67"/>
    </row>
    <row r="124" spans="4:12">
      <c r="D124" s="67">
        <f>D122/D25*100</f>
        <v>58.66307492001269</v>
      </c>
      <c r="E124" s="67">
        <f t="shared" ref="E124:J124" si="21">E122/E25*100</f>
        <v>53.974111395728997</v>
      </c>
      <c r="F124" s="67">
        <f t="shared" si="21"/>
        <v>50.952062190133262</v>
      </c>
      <c r="G124" s="67">
        <f t="shared" si="21"/>
        <v>47.122622356833801</v>
      </c>
      <c r="H124" s="67">
        <f t="shared" si="21"/>
        <v>46.887628905132729</v>
      </c>
      <c r="I124" s="67">
        <f t="shared" si="21"/>
        <v>44.169382182697312</v>
      </c>
      <c r="J124" s="67">
        <f t="shared" si="21"/>
        <v>43.140410611612687</v>
      </c>
      <c r="K124" s="67">
        <f>K122/K25*100</f>
        <v>42.272906657266532</v>
      </c>
      <c r="L124" s="67">
        <f>L122/L25*100</f>
        <v>41.692450558143271</v>
      </c>
    </row>
    <row r="126" spans="4:12">
      <c r="D126" s="67">
        <f>D46+D49</f>
        <v>692.30655969666179</v>
      </c>
      <c r="E126" s="67">
        <f t="shared" ref="E126:K126" si="22">E46+E49</f>
        <v>669.98155969666186</v>
      </c>
      <c r="F126" s="67">
        <f t="shared" si="22"/>
        <v>638.86905969666179</v>
      </c>
      <c r="G126" s="67">
        <f t="shared" si="22"/>
        <v>599.44405969666184</v>
      </c>
      <c r="H126" s="67">
        <f t="shared" si="22"/>
        <v>551.23155969666175</v>
      </c>
      <c r="I126" s="67">
        <f t="shared" si="22"/>
        <v>497.31905969666178</v>
      </c>
      <c r="J126" s="67">
        <f t="shared" si="22"/>
        <v>454.56905969666178</v>
      </c>
      <c r="K126" s="67">
        <f t="shared" si="22"/>
        <v>452.19405969666178</v>
      </c>
      <c r="L126" s="67">
        <f>L46+L49</f>
        <v>452.19405969666178</v>
      </c>
    </row>
  </sheetData>
  <mergeCells count="1">
    <mergeCell ref="C5:E5"/>
  </mergeCells>
  <printOptions horizontalCentered="1" verticalCentered="1"/>
  <pageMargins left="1.37" right="0.25" top="0.49" bottom="0.2" header="0.2" footer="0.2"/>
  <pageSetup paperSize="9" scale="85" orientation="landscape" r:id="rId1"/>
  <headerFooter alignWithMargins="0">
    <oddHeader>&amp;C&amp;"Arial,Bold"&amp;12ROYALE de CASA
(A UNIT OF ROYALE INDIA PVT. LTD.)</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6C534-327D-4AF9-9868-526E1381D28C}">
  <sheetPr>
    <tabColor indexed="10"/>
  </sheetPr>
  <dimension ref="B2:Q36"/>
  <sheetViews>
    <sheetView topLeftCell="A9" zoomScale="96" zoomScaleNormal="96" workbookViewId="0">
      <selection activeCell="Q11" sqref="Q11"/>
    </sheetView>
  </sheetViews>
  <sheetFormatPr defaultRowHeight="12.75"/>
  <cols>
    <col min="1" max="1" width="9.140625" style="51"/>
    <col min="2" max="2" width="14.28515625" style="51" bestFit="1" customWidth="1"/>
    <col min="3" max="3" width="21.42578125" style="51" customWidth="1"/>
    <col min="4" max="4" width="12.28515625" style="51" bestFit="1" customWidth="1"/>
    <col min="5" max="5" width="15.7109375" style="51" customWidth="1"/>
    <col min="6" max="6" width="11.85546875" style="51" customWidth="1"/>
    <col min="7" max="7" width="11.28515625" style="51" customWidth="1"/>
    <col min="8" max="8" width="10.5703125" style="51" customWidth="1"/>
    <col min="9" max="9" width="10.7109375" style="51" customWidth="1"/>
    <col min="10" max="10" width="10.42578125" style="51" customWidth="1"/>
    <col min="11" max="12" width="10.28515625" style="51" customWidth="1"/>
    <col min="13" max="13" width="10.28515625" style="51" hidden="1" customWidth="1"/>
    <col min="14" max="14" width="9.140625" style="51"/>
    <col min="15" max="15" width="10.28515625" style="51" bestFit="1" customWidth="1"/>
    <col min="16" max="16" width="9.140625" style="51"/>
    <col min="17" max="17" width="10.7109375" style="51" bestFit="1" customWidth="1"/>
    <col min="18" max="16384" width="9.140625" style="51"/>
  </cols>
  <sheetData>
    <row r="2" spans="2:17">
      <c r="F2" s="456" t="s">
        <v>89</v>
      </c>
    </row>
    <row r="4" spans="2:17" ht="18">
      <c r="E4" s="1037" t="s">
        <v>90</v>
      </c>
      <c r="F4" s="1037"/>
      <c r="G4" s="1037"/>
    </row>
    <row r="5" spans="2:17" ht="18">
      <c r="D5" s="1037" t="s">
        <v>91</v>
      </c>
      <c r="E5" s="1037"/>
      <c r="F5" s="1037"/>
      <c r="G5" s="1037"/>
      <c r="H5" s="1037"/>
    </row>
    <row r="6" spans="2:17">
      <c r="E6" s="1038" t="s">
        <v>92</v>
      </c>
      <c r="F6" s="1038"/>
      <c r="G6" s="1038"/>
    </row>
    <row r="7" spans="2:17" ht="13.5" thickBot="1"/>
    <row r="8" spans="2:17" ht="13.5" thickBot="1">
      <c r="B8" s="1039" t="s">
        <v>93</v>
      </c>
      <c r="C8" s="1040"/>
      <c r="D8" s="157" t="s">
        <v>94</v>
      </c>
      <c r="E8" s="996" t="s">
        <v>95</v>
      </c>
      <c r="F8" s="996" t="s">
        <v>96</v>
      </c>
      <c r="G8" s="996" t="s">
        <v>97</v>
      </c>
      <c r="H8" s="996" t="s">
        <v>98</v>
      </c>
      <c r="I8" s="996" t="s">
        <v>99</v>
      </c>
      <c r="J8" s="996" t="s">
        <v>100</v>
      </c>
      <c r="K8" s="996" t="s">
        <v>101</v>
      </c>
      <c r="L8" s="996" t="s">
        <v>102</v>
      </c>
      <c r="M8" s="996" t="s">
        <v>103</v>
      </c>
    </row>
    <row r="9" spans="2:17">
      <c r="B9" s="67"/>
      <c r="C9" s="67"/>
      <c r="D9" s="67"/>
      <c r="E9" s="67"/>
      <c r="F9" s="67"/>
      <c r="G9" s="67"/>
      <c r="H9" s="67"/>
      <c r="I9" s="67"/>
      <c r="J9" s="67"/>
      <c r="K9" s="67"/>
      <c r="L9" s="67"/>
      <c r="M9" s="67"/>
    </row>
    <row r="10" spans="2:17">
      <c r="B10" s="1041" t="s">
        <v>104</v>
      </c>
      <c r="C10" s="1042"/>
      <c r="D10" s="160"/>
      <c r="E10" s="179"/>
      <c r="F10" s="179"/>
      <c r="G10" s="179"/>
      <c r="H10" s="179"/>
      <c r="I10" s="179"/>
      <c r="J10" s="179"/>
      <c r="K10" s="179"/>
      <c r="L10" s="179"/>
      <c r="M10" s="179"/>
      <c r="Q10" s="670">
        <v>0.15017800000000001</v>
      </c>
    </row>
    <row r="11" spans="2:17">
      <c r="B11" s="1035"/>
      <c r="C11" s="1035"/>
      <c r="D11" s="181"/>
      <c r="E11" s="182"/>
      <c r="F11" s="182"/>
      <c r="G11" s="182"/>
      <c r="H11" s="182"/>
      <c r="I11" s="182"/>
      <c r="J11" s="182"/>
      <c r="K11" s="182"/>
      <c r="L11" s="182"/>
      <c r="M11" s="182"/>
    </row>
    <row r="12" spans="2:17">
      <c r="B12" s="1033" t="s">
        <v>105</v>
      </c>
      <c r="C12" s="1033"/>
      <c r="D12" s="183"/>
      <c r="E12" s="141">
        <f>'P  L _Case_III'!D59</f>
        <v>374.30811739780245</v>
      </c>
      <c r="F12" s="141">
        <f>'P  L _Case_III'!E59</f>
        <v>427.4197499403345</v>
      </c>
      <c r="G12" s="141">
        <f>'P  L _Case_III'!F59</f>
        <v>374.79916479457836</v>
      </c>
      <c r="H12" s="141">
        <f>'P  L _Case_III'!G59</f>
        <v>397.07842503757649</v>
      </c>
      <c r="I12" s="141">
        <f>'P  L _Case_III'!H59</f>
        <v>505.82162519823532</v>
      </c>
      <c r="J12" s="141">
        <f>'P  L _Case_III'!I59</f>
        <v>446.74223355964978</v>
      </c>
      <c r="K12" s="141">
        <f>'P  L _Case_III'!J59</f>
        <v>421.1455950263491</v>
      </c>
      <c r="L12" s="141">
        <f>'P  L _Case_III'!K59</f>
        <v>362.88636416575946</v>
      </c>
      <c r="M12" s="141" t="e">
        <f>'P  L _Case_III'!L59</f>
        <v>#VALUE!</v>
      </c>
    </row>
    <row r="13" spans="2:17">
      <c r="B13" s="1033" t="s">
        <v>106</v>
      </c>
      <c r="C13" s="1033"/>
      <c r="D13" s="183"/>
      <c r="E13" s="141">
        <f>'P  L '!D53</f>
        <v>452.19405969666178</v>
      </c>
      <c r="F13" s="141">
        <f>'P  L '!E53</f>
        <v>452.19405969666178</v>
      </c>
      <c r="G13" s="141">
        <f>'P  L '!F53</f>
        <v>452.19405969666178</v>
      </c>
      <c r="H13" s="141">
        <f>'P  L '!G53</f>
        <v>452.19405969666178</v>
      </c>
      <c r="I13" s="141">
        <f>'P  L '!H53</f>
        <v>452.19405969666178</v>
      </c>
      <c r="J13" s="141">
        <f>'P  L '!I53</f>
        <v>452.19405969666178</v>
      </c>
      <c r="K13" s="160">
        <f>'P  L '!J53</f>
        <v>452.19405969666178</v>
      </c>
      <c r="L13" s="160">
        <f>'P  L '!K53</f>
        <v>452.19405969666178</v>
      </c>
      <c r="M13" s="160">
        <f>'P  L '!L53</f>
        <v>452.19405969666178</v>
      </c>
    </row>
    <row r="14" spans="2:17">
      <c r="B14" s="1033" t="s">
        <v>107</v>
      </c>
      <c r="C14" s="1033"/>
      <c r="D14" s="183"/>
      <c r="E14" s="141">
        <f>'P  L '!D50</f>
        <v>254.71875</v>
      </c>
      <c r="F14" s="141">
        <f>'P  L '!E50</f>
        <v>240.11249999999998</v>
      </c>
      <c r="G14" s="141">
        <f>'P  L '!F50</f>
        <v>217.78750000000002</v>
      </c>
      <c r="H14" s="141">
        <f>'P  L '!G50</f>
        <v>186.67500000000001</v>
      </c>
      <c r="I14" s="141">
        <f>'P  L '!H50</f>
        <v>147.25000000000003</v>
      </c>
      <c r="J14" s="141">
        <f>'P  L '!I50</f>
        <v>99.037499999999994</v>
      </c>
      <c r="K14" s="160">
        <f>'P  L '!J50</f>
        <v>45.125</v>
      </c>
      <c r="L14" s="160">
        <f>'P  L '!K50</f>
        <v>2.375</v>
      </c>
      <c r="M14" s="160">
        <f>'P  L '!L50</f>
        <v>0</v>
      </c>
    </row>
    <row r="15" spans="2:17">
      <c r="B15" s="183" t="s">
        <v>108</v>
      </c>
      <c r="C15" s="183"/>
      <c r="D15" s="183"/>
      <c r="E15" s="183"/>
      <c r="F15" s="183"/>
      <c r="G15" s="183"/>
      <c r="H15" s="183"/>
      <c r="I15" s="183"/>
      <c r="J15" s="183"/>
      <c r="K15" s="181"/>
      <c r="L15" s="160">
        <f>0.5*'B  S '!L13</f>
        <v>598.15590502435271</v>
      </c>
      <c r="M15" s="160"/>
      <c r="N15" s="491" t="s">
        <v>109</v>
      </c>
    </row>
    <row r="16" spans="2:17">
      <c r="B16" s="183"/>
      <c r="C16" s="183"/>
      <c r="D16" s="183"/>
      <c r="E16" s="183"/>
      <c r="F16" s="183"/>
      <c r="G16" s="183"/>
      <c r="H16" s="183"/>
      <c r="I16" s="183"/>
      <c r="J16" s="183"/>
      <c r="K16" s="181"/>
      <c r="L16" s="181"/>
      <c r="M16" s="181"/>
    </row>
    <row r="17" spans="2:13">
      <c r="B17" s="183" t="s">
        <v>110</v>
      </c>
      <c r="C17" s="183"/>
      <c r="D17" s="141">
        <f>SUM(D10:D15)</f>
        <v>0</v>
      </c>
      <c r="E17" s="141">
        <f t="shared" ref="E17:K17" si="0">SUM(E10:E15)</f>
        <v>1081.2209270944643</v>
      </c>
      <c r="F17" s="141">
        <f t="shared" si="0"/>
        <v>1119.7263096369963</v>
      </c>
      <c r="G17" s="141">
        <f t="shared" si="0"/>
        <v>1044.7807244912401</v>
      </c>
      <c r="H17" s="141">
        <f t="shared" si="0"/>
        <v>1035.9474847342383</v>
      </c>
      <c r="I17" s="141">
        <f t="shared" si="0"/>
        <v>1105.265684894897</v>
      </c>
      <c r="J17" s="141">
        <f t="shared" si="0"/>
        <v>997.97379325631152</v>
      </c>
      <c r="K17" s="160">
        <f t="shared" si="0"/>
        <v>918.46465472301088</v>
      </c>
      <c r="L17" s="160">
        <f>SUM(L10:L15)</f>
        <v>1415.6113288867739</v>
      </c>
      <c r="M17" s="160" t="e">
        <f>SUM(M10:M15)</f>
        <v>#VALUE!</v>
      </c>
    </row>
    <row r="18" spans="2:13">
      <c r="B18" s="183"/>
      <c r="C18" s="183"/>
      <c r="D18" s="183"/>
      <c r="E18" s="183"/>
      <c r="F18" s="183"/>
      <c r="G18" s="183"/>
      <c r="H18" s="183"/>
      <c r="I18" s="183"/>
      <c r="J18" s="183"/>
      <c r="K18" s="181"/>
      <c r="L18" s="181"/>
      <c r="M18" s="181"/>
    </row>
    <row r="19" spans="2:13">
      <c r="B19" s="1036" t="s">
        <v>111</v>
      </c>
      <c r="C19" s="1033"/>
      <c r="D19" s="181"/>
      <c r="E19" s="182"/>
      <c r="F19" s="182"/>
      <c r="G19" s="182"/>
      <c r="H19" s="182"/>
      <c r="I19" s="182"/>
      <c r="J19" s="182"/>
      <c r="K19" s="182"/>
      <c r="L19" s="182"/>
      <c r="M19" s="182"/>
    </row>
    <row r="20" spans="2:13">
      <c r="B20" s="1035"/>
      <c r="C20" s="1035"/>
      <c r="D20" s="181"/>
      <c r="E20" s="182"/>
      <c r="F20" s="182"/>
      <c r="G20" s="182"/>
      <c r="H20" s="182"/>
      <c r="I20" s="182"/>
      <c r="J20" s="182"/>
      <c r="K20" s="182"/>
      <c r="L20" s="182"/>
      <c r="M20" s="182"/>
    </row>
    <row r="21" spans="2:13">
      <c r="B21" s="1033" t="s">
        <v>112</v>
      </c>
      <c r="C21" s="1033"/>
      <c r="D21" s="141">
        <f>'CAPITAL COST'!D36+'CAPITAL COST'!D34</f>
        <v>4263.8642876220001</v>
      </c>
      <c r="E21" s="183">
        <v>0</v>
      </c>
      <c r="F21" s="183">
        <v>0</v>
      </c>
      <c r="G21" s="183">
        <v>0</v>
      </c>
      <c r="H21" s="183">
        <v>0</v>
      </c>
      <c r="I21" s="183">
        <v>0</v>
      </c>
      <c r="J21" s="183">
        <v>0</v>
      </c>
      <c r="K21" s="183">
        <v>0</v>
      </c>
      <c r="L21" s="183">
        <v>0</v>
      </c>
      <c r="M21" s="183">
        <v>0</v>
      </c>
    </row>
    <row r="22" spans="2:13">
      <c r="B22" s="1035"/>
      <c r="C22" s="1035"/>
      <c r="D22" s="183"/>
      <c r="E22" s="183"/>
      <c r="F22" s="183"/>
      <c r="G22" s="183"/>
      <c r="H22" s="183"/>
      <c r="I22" s="183"/>
      <c r="J22" s="183"/>
      <c r="K22" s="181"/>
      <c r="L22" s="181"/>
      <c r="M22" s="181"/>
    </row>
    <row r="23" spans="2:13">
      <c r="B23" s="183" t="s">
        <v>113</v>
      </c>
      <c r="C23" s="183"/>
      <c r="D23" s="141">
        <f>SUM(D19:D22)</f>
        <v>4263.8642876220001</v>
      </c>
      <c r="E23" s="183">
        <f t="shared" ref="E23:K23" si="1">SUM(E19:E22)</f>
        <v>0</v>
      </c>
      <c r="F23" s="183">
        <f t="shared" si="1"/>
        <v>0</v>
      </c>
      <c r="G23" s="183">
        <f t="shared" si="1"/>
        <v>0</v>
      </c>
      <c r="H23" s="183">
        <f t="shared" si="1"/>
        <v>0</v>
      </c>
      <c r="I23" s="183">
        <f t="shared" si="1"/>
        <v>0</v>
      </c>
      <c r="J23" s="183">
        <f t="shared" si="1"/>
        <v>0</v>
      </c>
      <c r="K23" s="181">
        <f t="shared" si="1"/>
        <v>0</v>
      </c>
      <c r="L23" s="181">
        <f>SUM(L19:L22)</f>
        <v>0</v>
      </c>
      <c r="M23" s="181">
        <f>SUM(M19:M22)</f>
        <v>0</v>
      </c>
    </row>
    <row r="24" spans="2:13">
      <c r="B24" s="183"/>
      <c r="C24" s="183"/>
      <c r="D24" s="183"/>
      <c r="E24" s="183"/>
      <c r="F24" s="183"/>
      <c r="G24" s="183"/>
      <c r="H24" s="183"/>
      <c r="I24" s="183"/>
      <c r="J24" s="183"/>
      <c r="K24" s="181"/>
      <c r="L24" s="181"/>
      <c r="M24" s="181"/>
    </row>
    <row r="25" spans="2:13">
      <c r="B25" s="132" t="s">
        <v>114</v>
      </c>
      <c r="C25" s="183"/>
      <c r="D25" s="141">
        <f>D17-D23</f>
        <v>-4263.8642876220001</v>
      </c>
      <c r="E25" s="141">
        <f t="shared" ref="E25:K25" si="2">E17-E23</f>
        <v>1081.2209270944643</v>
      </c>
      <c r="F25" s="141">
        <f t="shared" si="2"/>
        <v>1119.7263096369963</v>
      </c>
      <c r="G25" s="141">
        <f t="shared" si="2"/>
        <v>1044.7807244912401</v>
      </c>
      <c r="H25" s="141">
        <f t="shared" si="2"/>
        <v>1035.9474847342383</v>
      </c>
      <c r="I25" s="141">
        <f t="shared" si="2"/>
        <v>1105.265684894897</v>
      </c>
      <c r="J25" s="141">
        <f t="shared" si="2"/>
        <v>997.97379325631152</v>
      </c>
      <c r="K25" s="160">
        <f t="shared" si="2"/>
        <v>918.46465472301088</v>
      </c>
      <c r="L25" s="160">
        <f>L17-L23</f>
        <v>1415.6113288867739</v>
      </c>
      <c r="M25" s="160" t="e">
        <f>M17-M23</f>
        <v>#VALUE!</v>
      </c>
    </row>
    <row r="26" spans="2:13">
      <c r="B26" s="1035"/>
      <c r="C26" s="1035"/>
      <c r="D26" s="183"/>
      <c r="E26" s="183"/>
      <c r="F26" s="183"/>
      <c r="G26" s="183"/>
      <c r="H26" s="183"/>
      <c r="I26" s="183"/>
      <c r="J26" s="183"/>
      <c r="K26" s="181"/>
      <c r="L26" s="181"/>
      <c r="M26" s="181"/>
    </row>
    <row r="27" spans="2:13">
      <c r="B27" s="1032" t="s">
        <v>115</v>
      </c>
      <c r="C27" s="1032"/>
      <c r="D27" s="998">
        <v>1</v>
      </c>
      <c r="E27" s="174">
        <v>1</v>
      </c>
      <c r="F27" s="174">
        <f>1/(1+Q10)</f>
        <v>0.86943064464804587</v>
      </c>
      <c r="G27" s="174">
        <f t="shared" ref="G27:M27" si="3">+F27/(1+$Q$10)</f>
        <v>0.7559096458531166</v>
      </c>
      <c r="H27" s="174">
        <f t="shared" si="3"/>
        <v>0.65721101068975118</v>
      </c>
      <c r="I27" s="174">
        <f t="shared" si="3"/>
        <v>0.57139939269378415</v>
      </c>
      <c r="J27" s="174">
        <f t="shared" si="3"/>
        <v>0.49679214234125862</v>
      </c>
      <c r="K27" s="175">
        <f t="shared" si="3"/>
        <v>0.43192631257184422</v>
      </c>
      <c r="L27" s="175">
        <f t="shared" si="3"/>
        <v>0.37552997237979185</v>
      </c>
      <c r="M27" s="175">
        <f t="shared" si="3"/>
        <v>0.32649726597082529</v>
      </c>
    </row>
    <row r="28" spans="2:13">
      <c r="B28" s="1032" t="s">
        <v>116</v>
      </c>
      <c r="C28" s="1033"/>
      <c r="D28" s="176">
        <f>D25*D27</f>
        <v>-4263.8642876220001</v>
      </c>
      <c r="E28" s="176">
        <f>E25*E27</f>
        <v>1081.2209270944643</v>
      </c>
      <c r="F28" s="176">
        <f t="shared" ref="F28:K28" si="4">F25*F27</f>
        <v>973.52436721707113</v>
      </c>
      <c r="G28" s="176">
        <f t="shared" si="4"/>
        <v>789.75982744433588</v>
      </c>
      <c r="H28" s="176">
        <f t="shared" si="4"/>
        <v>680.83609346369428</v>
      </c>
      <c r="I28" s="176">
        <f t="shared" si="4"/>
        <v>631.54814111422354</v>
      </c>
      <c r="J28" s="176">
        <f t="shared" si="4"/>
        <v>495.78553875223531</v>
      </c>
      <c r="K28" s="177">
        <f t="shared" si="4"/>
        <v>396.70905154208219</v>
      </c>
      <c r="L28" s="177">
        <f>L25*L27</f>
        <v>531.60448323737069</v>
      </c>
      <c r="M28" s="177" t="e">
        <f>M25*M27</f>
        <v>#VALUE!</v>
      </c>
    </row>
    <row r="29" spans="2:13">
      <c r="B29" s="1032"/>
      <c r="C29" s="1033"/>
      <c r="D29" s="183"/>
      <c r="E29" s="176"/>
      <c r="F29" s="176"/>
      <c r="G29" s="176"/>
      <c r="H29" s="176"/>
      <c r="I29" s="176"/>
      <c r="J29" s="176"/>
      <c r="K29" s="177"/>
      <c r="L29" s="177"/>
      <c r="M29" s="177"/>
    </row>
    <row r="30" spans="2:13">
      <c r="B30" s="1034"/>
      <c r="C30" s="1034"/>
      <c r="D30" s="183"/>
      <c r="E30" s="176"/>
      <c r="F30" s="176"/>
      <c r="G30" s="176"/>
      <c r="H30" s="176"/>
      <c r="I30" s="176"/>
      <c r="J30" s="176"/>
      <c r="K30" s="177"/>
      <c r="L30" s="177"/>
      <c r="M30" s="177"/>
    </row>
    <row r="31" spans="2:13">
      <c r="B31" s="1032" t="s">
        <v>117</v>
      </c>
      <c r="C31" s="1033"/>
      <c r="D31" s="183"/>
      <c r="E31" s="178">
        <f>SUM(D28:L28)</f>
        <v>1317.1241422434766</v>
      </c>
      <c r="F31" s="998"/>
      <c r="G31" s="998"/>
      <c r="H31" s="998"/>
      <c r="I31" s="998"/>
      <c r="J31" s="998"/>
      <c r="K31" s="1011"/>
      <c r="L31" s="1011"/>
      <c r="M31" s="1011"/>
    </row>
    <row r="32" spans="2:13">
      <c r="B32" s="1034"/>
      <c r="C32" s="1034"/>
      <c r="D32" s="183"/>
      <c r="E32" s="998"/>
      <c r="F32" s="998"/>
      <c r="G32" s="998"/>
      <c r="H32" s="998"/>
      <c r="I32" s="998"/>
      <c r="J32" s="998"/>
      <c r="K32" s="1011"/>
      <c r="L32" s="1011"/>
      <c r="M32" s="1011"/>
    </row>
    <row r="33" spans="2:13">
      <c r="B33" s="1032" t="s">
        <v>118</v>
      </c>
      <c r="C33" s="1033"/>
      <c r="D33" s="183"/>
      <c r="E33" s="184">
        <f>Q10</f>
        <v>0.15017800000000001</v>
      </c>
      <c r="F33" s="998"/>
      <c r="G33" s="998"/>
      <c r="H33" s="998"/>
      <c r="I33" s="998"/>
      <c r="J33" s="998"/>
      <c r="K33" s="1011"/>
      <c r="L33" s="1011"/>
      <c r="M33" s="1011"/>
    </row>
    <row r="34" spans="2:13">
      <c r="B34" s="1034"/>
      <c r="C34" s="1034"/>
      <c r="D34" s="183"/>
      <c r="E34" s="998"/>
      <c r="F34" s="998"/>
      <c r="G34" s="998"/>
      <c r="H34" s="998"/>
      <c r="I34" s="998"/>
      <c r="J34" s="998"/>
      <c r="K34" s="1011"/>
      <c r="L34" s="1011"/>
      <c r="M34" s="1011"/>
    </row>
    <row r="36" spans="2:13">
      <c r="B36" s="74" t="s">
        <v>119</v>
      </c>
    </row>
  </sheetData>
  <mergeCells count="22">
    <mergeCell ref="B34:C34"/>
    <mergeCell ref="B22:C22"/>
    <mergeCell ref="B26:C26"/>
    <mergeCell ref="B27:C27"/>
    <mergeCell ref="B28:C28"/>
    <mergeCell ref="B29:C29"/>
    <mergeCell ref="B30:C30"/>
    <mergeCell ref="B20:C20"/>
    <mergeCell ref="B21:C21"/>
    <mergeCell ref="B31:C31"/>
    <mergeCell ref="B32:C32"/>
    <mergeCell ref="B33:C33"/>
    <mergeCell ref="B11:C11"/>
    <mergeCell ref="B12:C12"/>
    <mergeCell ref="B13:C13"/>
    <mergeCell ref="B14:C14"/>
    <mergeCell ref="B19:C19"/>
    <mergeCell ref="E4:G4"/>
    <mergeCell ref="D5:H5"/>
    <mergeCell ref="E6:G6"/>
    <mergeCell ref="B8:C8"/>
    <mergeCell ref="B10:C10"/>
  </mergeCells>
  <pageMargins left="0.75" right="0.75" top="1" bottom="1" header="0.5" footer="0.5"/>
  <pageSetup paperSize="9" scale="73" orientation="landscape" r:id="rId1"/>
  <headerFooter alignWithMargins="0">
    <oddHeader>&amp;C&amp;"Arial,Bold"&amp;12ROYALE de CASA
(A UNIT OF ROYALE INDIA PVT. LTD.)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3FCD-D0D2-45FD-AD90-2AB9E41899A6}">
  <sheetPr>
    <tabColor indexed="13"/>
  </sheetPr>
  <dimension ref="A1:Y126"/>
  <sheetViews>
    <sheetView view="pageBreakPreview" zoomScale="60" zoomScaleNormal="115" workbookViewId="0">
      <selection activeCell="I99" sqref="I99"/>
    </sheetView>
  </sheetViews>
  <sheetFormatPr defaultRowHeight="12.75"/>
  <cols>
    <col min="1" max="1" width="33.7109375" style="51" customWidth="1"/>
    <col min="2" max="2" width="9.140625" style="51"/>
    <col min="3" max="3" width="13.85546875" style="51" bestFit="1" customWidth="1"/>
    <col min="4" max="11" width="9.140625" style="51"/>
    <col min="12" max="12" width="9.140625" style="51" hidden="1" customWidth="1"/>
    <col min="13" max="16384" width="9.140625" style="51"/>
  </cols>
  <sheetData>
    <row r="1" spans="1:25" ht="4.5" customHeight="1"/>
    <row r="2" spans="1:25">
      <c r="D2" s="1009" t="s">
        <v>138</v>
      </c>
    </row>
    <row r="3" spans="1:25" ht="5.25" customHeight="1"/>
    <row r="4" spans="1:25">
      <c r="D4" s="999" t="s">
        <v>139</v>
      </c>
      <c r="E4" s="999"/>
      <c r="F4" s="999"/>
    </row>
    <row r="5" spans="1:25">
      <c r="C5" s="1021" t="s">
        <v>140</v>
      </c>
      <c r="D5" s="1021"/>
      <c r="E5" s="1021"/>
      <c r="F5" s="999"/>
    </row>
    <row r="6" spans="1:25">
      <c r="D6" s="1008"/>
      <c r="E6" s="1008"/>
      <c r="J6" s="306" t="s">
        <v>141</v>
      </c>
    </row>
    <row r="7" spans="1:25">
      <c r="T7" s="84"/>
    </row>
    <row r="8" spans="1:25">
      <c r="A8" s="998" t="s">
        <v>93</v>
      </c>
      <c r="B8" s="998"/>
      <c r="C8" s="998"/>
      <c r="D8" s="998">
        <v>1</v>
      </c>
      <c r="E8" s="998">
        <v>2</v>
      </c>
      <c r="F8" s="998">
        <v>3</v>
      </c>
      <c r="G8" s="998">
        <v>4</v>
      </c>
      <c r="H8" s="998">
        <v>5</v>
      </c>
      <c r="I8" s="998">
        <v>6</v>
      </c>
      <c r="J8" s="1011">
        <v>7</v>
      </c>
      <c r="K8" s="1011">
        <v>8</v>
      </c>
      <c r="L8" s="1011">
        <v>9</v>
      </c>
      <c r="M8" s="82"/>
      <c r="N8" s="82"/>
      <c r="O8" s="82"/>
      <c r="P8" s="82"/>
      <c r="Q8" s="82"/>
      <c r="R8" s="82"/>
      <c r="S8" s="82"/>
      <c r="T8" s="82"/>
    </row>
    <row r="9" spans="1:25">
      <c r="A9" s="83"/>
      <c r="B9" s="84"/>
      <c r="C9" s="84"/>
      <c r="D9" s="84"/>
      <c r="E9" s="84"/>
      <c r="F9" s="84"/>
      <c r="G9" s="84"/>
      <c r="H9" s="84"/>
      <c r="I9" s="84"/>
      <c r="J9" s="84"/>
      <c r="K9" s="84"/>
      <c r="L9" s="84"/>
      <c r="M9" s="84"/>
      <c r="N9" s="84"/>
      <c r="O9" s="84"/>
      <c r="P9" s="84"/>
      <c r="Q9" s="84"/>
      <c r="R9" s="84"/>
      <c r="S9" s="84"/>
      <c r="T9" s="84"/>
    </row>
    <row r="10" spans="1:25">
      <c r="A10" s="83" t="s">
        <v>142</v>
      </c>
      <c r="B10" s="84"/>
      <c r="C10" s="84"/>
      <c r="D10" s="43">
        <f>SALESPROJECTION!E74</f>
        <v>3668.25</v>
      </c>
      <c r="E10" s="43">
        <f>SALESPROJECTION!F74</f>
        <v>3668.25</v>
      </c>
      <c r="F10" s="43">
        <f>SALESPROJECTION!G74</f>
        <v>3668.25</v>
      </c>
      <c r="G10" s="43">
        <f>SALESPROJECTION!H74</f>
        <v>3668.25</v>
      </c>
      <c r="H10" s="43">
        <f>SALESPROJECTION!I74</f>
        <v>3668.25</v>
      </c>
      <c r="I10" s="43">
        <f>SALESPROJECTION!J74</f>
        <v>3668.25</v>
      </c>
      <c r="J10" s="43">
        <f>SALESPROJECTION!K74</f>
        <v>3668.25</v>
      </c>
      <c r="K10" s="43">
        <f>SALESPROJECTION!L74</f>
        <v>3668.25</v>
      </c>
      <c r="L10" s="43">
        <f>SALESPROJECTION!M74</f>
        <v>3668.25</v>
      </c>
      <c r="M10" s="43"/>
      <c r="N10" s="43"/>
      <c r="O10" s="43"/>
      <c r="P10" s="43"/>
      <c r="Q10" s="43"/>
      <c r="R10" s="43"/>
      <c r="S10" s="43"/>
      <c r="T10" s="43"/>
    </row>
    <row r="11" spans="1:25">
      <c r="A11" s="83" t="s">
        <v>143</v>
      </c>
      <c r="B11" s="84"/>
      <c r="C11" s="84"/>
      <c r="D11" s="43">
        <f>SALESPROJECTION!E75</f>
        <v>884.33568749999995</v>
      </c>
      <c r="E11" s="43">
        <f>SALESPROJECTION!F75</f>
        <v>884.33568749999995</v>
      </c>
      <c r="F11" s="43">
        <f>SALESPROJECTION!G75</f>
        <v>884.33568749999995</v>
      </c>
      <c r="G11" s="43">
        <f>SALESPROJECTION!H75</f>
        <v>884.33568749999995</v>
      </c>
      <c r="H11" s="43">
        <f>SALESPROJECTION!I75</f>
        <v>884.33568749999995</v>
      </c>
      <c r="I11" s="43">
        <f>SALESPROJECTION!J75</f>
        <v>884.33568749999995</v>
      </c>
      <c r="J11" s="43">
        <f>SALESPROJECTION!K75</f>
        <v>884.33568749999995</v>
      </c>
      <c r="K11" s="43">
        <f>SALESPROJECTION!L75</f>
        <v>884.33568749999995</v>
      </c>
      <c r="L11" s="43">
        <f>SALESPROJECTION!M75</f>
        <v>884.33568749999995</v>
      </c>
      <c r="M11" s="43"/>
      <c r="N11" s="43"/>
      <c r="O11" s="43"/>
      <c r="P11" s="43"/>
      <c r="Q11" s="43"/>
      <c r="R11" s="43"/>
      <c r="S11" s="43"/>
      <c r="T11" s="43"/>
    </row>
    <row r="12" spans="1:25">
      <c r="A12" s="67" t="s">
        <v>144</v>
      </c>
      <c r="B12" s="84"/>
      <c r="C12" s="84"/>
      <c r="D12" s="43">
        <f>SALESPROJECTION!E76</f>
        <v>195</v>
      </c>
      <c r="E12" s="43">
        <f>SALESPROJECTION!F76</f>
        <v>195</v>
      </c>
      <c r="F12" s="43">
        <f>SALESPROJECTION!G76</f>
        <v>195</v>
      </c>
      <c r="G12" s="43">
        <f>SALESPROJECTION!H76</f>
        <v>195</v>
      </c>
      <c r="H12" s="43">
        <f>SALESPROJECTION!I76</f>
        <v>195</v>
      </c>
      <c r="I12" s="43">
        <f>SALESPROJECTION!J76</f>
        <v>195</v>
      </c>
      <c r="J12" s="43">
        <f>SALESPROJECTION!K76</f>
        <v>195</v>
      </c>
      <c r="K12" s="43">
        <f>SALESPROJECTION!L76</f>
        <v>195</v>
      </c>
      <c r="L12" s="43">
        <f>SALESPROJECTION!M76</f>
        <v>195</v>
      </c>
      <c r="M12" s="43"/>
      <c r="N12" s="43"/>
      <c r="O12" s="43"/>
      <c r="P12" s="43"/>
      <c r="Q12" s="43"/>
      <c r="R12" s="43"/>
      <c r="S12" s="43"/>
      <c r="T12" s="43"/>
    </row>
    <row r="13" spans="1:25">
      <c r="A13" s="67" t="s">
        <v>145</v>
      </c>
      <c r="B13" s="84"/>
      <c r="C13" s="84"/>
      <c r="D13" s="43">
        <f>SALESPROJECTION!E79</f>
        <v>45</v>
      </c>
      <c r="E13" s="43">
        <f>SALESPROJECTION!F79</f>
        <v>45</v>
      </c>
      <c r="F13" s="43">
        <f>SALESPROJECTION!G79</f>
        <v>45</v>
      </c>
      <c r="G13" s="43">
        <f>SALESPROJECTION!H79</f>
        <v>45</v>
      </c>
      <c r="H13" s="43">
        <f>SALESPROJECTION!I79</f>
        <v>45</v>
      </c>
      <c r="I13" s="43">
        <f>SALESPROJECTION!J79</f>
        <v>45</v>
      </c>
      <c r="J13" s="43">
        <f>SALESPROJECTION!K79</f>
        <v>45</v>
      </c>
      <c r="K13" s="43">
        <f>SALESPROJECTION!L79</f>
        <v>45</v>
      </c>
      <c r="L13" s="43">
        <f>SALESPROJECTION!M79</f>
        <v>45</v>
      </c>
      <c r="M13" s="43"/>
      <c r="N13" s="43"/>
      <c r="O13" s="43"/>
      <c r="P13" s="43"/>
      <c r="Q13" s="43"/>
      <c r="R13" s="43"/>
      <c r="S13" s="43"/>
      <c r="T13" s="43"/>
    </row>
    <row r="14" spans="1:25">
      <c r="A14" s="83" t="s">
        <v>146</v>
      </c>
      <c r="B14" s="84"/>
      <c r="C14" s="84"/>
      <c r="D14" s="43">
        <f>SALESPROJECTION!E80</f>
        <v>125.7521971153846</v>
      </c>
      <c r="E14" s="43">
        <f>SALESPROJECTION!F80</f>
        <v>125.7521971153846</v>
      </c>
      <c r="F14" s="43">
        <f>SALESPROJECTION!G80</f>
        <v>125.7521971153846</v>
      </c>
      <c r="G14" s="43">
        <f>SALESPROJECTION!H80</f>
        <v>125.7521971153846</v>
      </c>
      <c r="H14" s="43">
        <f>SALESPROJECTION!I80</f>
        <v>125.7521971153846</v>
      </c>
      <c r="I14" s="43">
        <f>SALESPROJECTION!J80</f>
        <v>125.7521971153846</v>
      </c>
      <c r="J14" s="43">
        <f>SALESPROJECTION!K80</f>
        <v>125.7521971153846</v>
      </c>
      <c r="K14" s="43">
        <f>SALESPROJECTION!L80</f>
        <v>125.7521971153846</v>
      </c>
      <c r="L14" s="43">
        <f>SALESPROJECTION!M80</f>
        <v>125.7521971153846</v>
      </c>
      <c r="M14" s="43"/>
      <c r="N14" s="43"/>
      <c r="O14" s="43"/>
      <c r="P14" s="43"/>
      <c r="Q14" s="43"/>
      <c r="R14" s="43"/>
      <c r="S14" s="43"/>
      <c r="T14" s="43"/>
    </row>
    <row r="15" spans="1:25">
      <c r="A15" s="77" t="s">
        <v>124</v>
      </c>
      <c r="B15" s="78"/>
      <c r="C15" s="78"/>
      <c r="D15" s="6">
        <f>SUM(D10:D14)</f>
        <v>4918.3378846153846</v>
      </c>
      <c r="E15" s="6">
        <f t="shared" ref="E15:K15" si="0">SUM(E10:E14)</f>
        <v>4918.3378846153846</v>
      </c>
      <c r="F15" s="6">
        <f t="shared" si="0"/>
        <v>4918.3378846153846</v>
      </c>
      <c r="G15" s="6">
        <f t="shared" si="0"/>
        <v>4918.3378846153846</v>
      </c>
      <c r="H15" s="6">
        <f t="shared" si="0"/>
        <v>4918.3378846153846</v>
      </c>
      <c r="I15" s="6">
        <f t="shared" si="0"/>
        <v>4918.3378846153846</v>
      </c>
      <c r="J15" s="6">
        <f t="shared" si="0"/>
        <v>4918.3378846153846</v>
      </c>
      <c r="K15" s="6">
        <f t="shared" si="0"/>
        <v>4918.3378846153846</v>
      </c>
      <c r="L15" s="6">
        <f>SUM(L10:L14)</f>
        <v>4918.3378846153846</v>
      </c>
      <c r="M15" s="6"/>
      <c r="N15" s="6"/>
      <c r="O15" s="6"/>
      <c r="P15" s="6"/>
      <c r="Q15" s="6"/>
      <c r="R15" s="6"/>
      <c r="S15" s="6"/>
      <c r="T15" s="43">
        <f>E15-SALESPROJECTION!F81</f>
        <v>-111.75</v>
      </c>
      <c r="U15" s="43">
        <f>F15-SALESPROJECTION!G81</f>
        <v>-111.75</v>
      </c>
      <c r="V15" s="43">
        <f>G15-SALESPROJECTION!H81</f>
        <v>-111.75</v>
      </c>
      <c r="W15" s="43">
        <f>H15-SALESPROJECTION!I81</f>
        <v>-111.75</v>
      </c>
      <c r="X15" s="43">
        <f>I15-SALESPROJECTION!J81</f>
        <v>-111.75</v>
      </c>
      <c r="Y15" s="43">
        <f>J15-SALESPROJECTION!K81</f>
        <v>-111.75</v>
      </c>
    </row>
    <row r="16" spans="1:25">
      <c r="A16" s="77" t="s">
        <v>147</v>
      </c>
      <c r="B16" s="78"/>
      <c r="C16" s="78"/>
      <c r="D16" s="79">
        <f>40%</f>
        <v>0.4</v>
      </c>
      <c r="E16" s="79">
        <f>D16+0.05</f>
        <v>0.45</v>
      </c>
      <c r="F16" s="79">
        <f>E16+0.05</f>
        <v>0.5</v>
      </c>
      <c r="G16" s="79">
        <f>F16+0.05</f>
        <v>0.55000000000000004</v>
      </c>
      <c r="H16" s="79">
        <f>G16+5%</f>
        <v>0.60000000000000009</v>
      </c>
      <c r="I16" s="79">
        <f>H16</f>
        <v>0.60000000000000009</v>
      </c>
      <c r="J16" s="79">
        <f>I16</f>
        <v>0.60000000000000009</v>
      </c>
      <c r="K16" s="79">
        <f>J16</f>
        <v>0.60000000000000009</v>
      </c>
      <c r="L16" s="79">
        <f>K16</f>
        <v>0.60000000000000009</v>
      </c>
      <c r="M16" s="79"/>
      <c r="N16" s="79"/>
      <c r="O16" s="79"/>
      <c r="P16" s="79"/>
      <c r="Q16" s="79"/>
      <c r="R16" s="79"/>
      <c r="S16" s="79"/>
      <c r="T16" s="85"/>
    </row>
    <row r="17" spans="1:23">
      <c r="A17" s="83"/>
      <c r="B17" s="84"/>
      <c r="C17" s="84"/>
      <c r="D17" s="84"/>
      <c r="E17" s="84"/>
      <c r="F17" s="84"/>
      <c r="G17" s="84"/>
      <c r="H17" s="84"/>
      <c r="I17" s="84"/>
      <c r="J17" s="84"/>
      <c r="K17" s="84"/>
      <c r="L17" s="84"/>
      <c r="M17" s="84"/>
      <c r="N17" s="84"/>
      <c r="O17" s="84"/>
      <c r="P17" s="84"/>
      <c r="Q17" s="84"/>
      <c r="R17" s="84"/>
      <c r="S17" s="84"/>
      <c r="T17" s="84"/>
    </row>
    <row r="18" spans="1:23">
      <c r="A18" s="80" t="s">
        <v>148</v>
      </c>
      <c r="B18" s="78"/>
      <c r="C18" s="78"/>
      <c r="D18" s="78"/>
      <c r="E18" s="78"/>
      <c r="F18" s="78"/>
      <c r="G18" s="84"/>
      <c r="H18" s="84"/>
      <c r="I18" s="84"/>
      <c r="J18" s="84"/>
      <c r="K18" s="84"/>
      <c r="L18" s="84"/>
      <c r="M18" s="84"/>
      <c r="N18" s="84"/>
      <c r="O18" s="84"/>
      <c r="P18" s="84"/>
      <c r="Q18" s="84"/>
      <c r="R18" s="84"/>
      <c r="S18" s="84"/>
      <c r="T18" s="84"/>
    </row>
    <row r="19" spans="1:23">
      <c r="A19" s="80"/>
      <c r="B19" s="78"/>
      <c r="C19" s="78"/>
      <c r="D19" s="78"/>
      <c r="E19" s="78"/>
      <c r="F19" s="78"/>
      <c r="G19" s="84"/>
      <c r="H19" s="84"/>
      <c r="I19" s="84"/>
      <c r="J19" s="84"/>
      <c r="K19" s="84"/>
      <c r="L19" s="84"/>
      <c r="M19" s="84"/>
      <c r="N19" s="84"/>
      <c r="O19" s="84"/>
      <c r="P19" s="84"/>
      <c r="Q19" s="84"/>
      <c r="R19" s="84"/>
      <c r="S19" s="84"/>
      <c r="T19" s="84"/>
    </row>
    <row r="20" spans="1:23">
      <c r="A20" s="83" t="s">
        <v>149</v>
      </c>
      <c r="B20" s="84"/>
      <c r="C20" s="84"/>
      <c r="D20" s="43">
        <f t="shared" ref="D20:J20" si="1">D16*D10</f>
        <v>1467.3000000000002</v>
      </c>
      <c r="E20" s="43">
        <f t="shared" si="1"/>
        <v>1650.7125000000001</v>
      </c>
      <c r="F20" s="43">
        <f t="shared" si="1"/>
        <v>1834.125</v>
      </c>
      <c r="G20" s="43">
        <f t="shared" si="1"/>
        <v>2017.5375000000001</v>
      </c>
      <c r="H20" s="43">
        <f t="shared" si="1"/>
        <v>2200.9500000000003</v>
      </c>
      <c r="I20" s="43">
        <f t="shared" si="1"/>
        <v>2200.9500000000003</v>
      </c>
      <c r="J20" s="43">
        <f t="shared" si="1"/>
        <v>2200.9500000000003</v>
      </c>
      <c r="K20" s="43">
        <f>K16*K10</f>
        <v>2200.9500000000003</v>
      </c>
      <c r="L20" s="43">
        <f>L16*L10</f>
        <v>2200.9500000000003</v>
      </c>
      <c r="M20" s="43"/>
      <c r="N20" s="43"/>
      <c r="O20" s="43"/>
      <c r="P20" s="43"/>
      <c r="Q20" s="43"/>
      <c r="R20" s="43"/>
      <c r="S20" s="43"/>
      <c r="T20" s="43"/>
    </row>
    <row r="21" spans="1:23">
      <c r="A21" s="83" t="s">
        <v>143</v>
      </c>
      <c r="B21" s="84"/>
      <c r="C21" s="84"/>
      <c r="D21" s="43">
        <f>$D$16*D11</f>
        <v>353.73427500000003</v>
      </c>
      <c r="E21" s="43">
        <f>$E$16*E11</f>
        <v>397.951059375</v>
      </c>
      <c r="F21" s="43">
        <f>$F$16*F11</f>
        <v>442.16784374999997</v>
      </c>
      <c r="G21" s="43">
        <f>$G$16*G11</f>
        <v>486.38462812500001</v>
      </c>
      <c r="H21" s="43">
        <f>$H$16*H11</f>
        <v>530.60141250000004</v>
      </c>
      <c r="I21" s="43">
        <f>$I$16*I11</f>
        <v>530.60141250000004</v>
      </c>
      <c r="J21" s="43">
        <f>$J$16*J11</f>
        <v>530.60141250000004</v>
      </c>
      <c r="K21" s="43">
        <f t="shared" ref="K21:L23" si="2">$K$16*K11</f>
        <v>530.60141250000004</v>
      </c>
      <c r="L21" s="43">
        <f t="shared" si="2"/>
        <v>530.60141250000004</v>
      </c>
      <c r="M21" s="43"/>
      <c r="N21" s="43"/>
      <c r="O21" s="43"/>
      <c r="P21" s="43"/>
      <c r="Q21" s="43"/>
      <c r="R21" s="43"/>
      <c r="S21" s="43"/>
      <c r="T21" s="43"/>
    </row>
    <row r="22" spans="1:23">
      <c r="A22" s="67" t="s">
        <v>144</v>
      </c>
      <c r="B22" s="84"/>
      <c r="C22" s="84"/>
      <c r="D22" s="43">
        <f>$D$16*D12</f>
        <v>78</v>
      </c>
      <c r="E22" s="43">
        <f>$E$16*E12</f>
        <v>87.75</v>
      </c>
      <c r="F22" s="43">
        <f>$F$16*F12</f>
        <v>97.5</v>
      </c>
      <c r="G22" s="43">
        <f>$G$16*G12</f>
        <v>107.25000000000001</v>
      </c>
      <c r="H22" s="43">
        <f>$H$16*H12</f>
        <v>117.00000000000001</v>
      </c>
      <c r="I22" s="43">
        <f>$I$16*I12</f>
        <v>117.00000000000001</v>
      </c>
      <c r="J22" s="43">
        <f>$J$16*J12</f>
        <v>117.00000000000001</v>
      </c>
      <c r="K22" s="43">
        <f t="shared" si="2"/>
        <v>117.00000000000001</v>
      </c>
      <c r="L22" s="43">
        <f t="shared" si="2"/>
        <v>117.00000000000001</v>
      </c>
      <c r="M22" s="43"/>
      <c r="N22" s="43"/>
      <c r="O22" s="43"/>
      <c r="P22" s="43"/>
      <c r="Q22" s="43"/>
      <c r="R22" s="43"/>
      <c r="S22" s="43"/>
      <c r="T22" s="43"/>
    </row>
    <row r="23" spans="1:23">
      <c r="A23" s="67" t="s">
        <v>145</v>
      </c>
      <c r="B23" s="84"/>
      <c r="C23" s="84"/>
      <c r="D23" s="43">
        <f>$D$16*D13</f>
        <v>18</v>
      </c>
      <c r="E23" s="43">
        <f>$E$16*E13</f>
        <v>20.25</v>
      </c>
      <c r="F23" s="43">
        <f>$F$16*F13</f>
        <v>22.5</v>
      </c>
      <c r="G23" s="43">
        <f>$G$16*G13</f>
        <v>24.750000000000004</v>
      </c>
      <c r="H23" s="43">
        <f>$H$16*H13</f>
        <v>27.000000000000004</v>
      </c>
      <c r="I23" s="43">
        <f>$I$16*I13</f>
        <v>27.000000000000004</v>
      </c>
      <c r="J23" s="43">
        <f>$J$16*J13</f>
        <v>27.000000000000004</v>
      </c>
      <c r="K23" s="43">
        <f t="shared" si="2"/>
        <v>27.000000000000004</v>
      </c>
      <c r="L23" s="43">
        <f t="shared" si="2"/>
        <v>27.000000000000004</v>
      </c>
      <c r="M23" s="43"/>
      <c r="N23" s="43"/>
      <c r="O23" s="43"/>
      <c r="P23" s="43"/>
      <c r="Q23" s="43"/>
      <c r="R23" s="43"/>
      <c r="S23" s="43"/>
      <c r="T23" s="43"/>
    </row>
    <row r="24" spans="1:23">
      <c r="A24" s="83" t="s">
        <v>146</v>
      </c>
      <c r="B24" s="84"/>
      <c r="C24" s="84"/>
      <c r="D24" s="43">
        <f>D16*D14</f>
        <v>50.300878846153843</v>
      </c>
      <c r="E24" s="43">
        <f t="shared" ref="E24:J24" si="3">E16*E14</f>
        <v>56.588488701923076</v>
      </c>
      <c r="F24" s="43">
        <f t="shared" si="3"/>
        <v>62.876098557692302</v>
      </c>
      <c r="G24" s="43">
        <f t="shared" si="3"/>
        <v>69.163708413461535</v>
      </c>
      <c r="H24" s="43">
        <f t="shared" si="3"/>
        <v>75.451318269230768</v>
      </c>
      <c r="I24" s="43">
        <f t="shared" si="3"/>
        <v>75.451318269230768</v>
      </c>
      <c r="J24" s="43">
        <f t="shared" si="3"/>
        <v>75.451318269230768</v>
      </c>
      <c r="K24" s="43">
        <f>K16*K14</f>
        <v>75.451318269230768</v>
      </c>
      <c r="L24" s="43">
        <f>L16*L14</f>
        <v>75.451318269230768</v>
      </c>
      <c r="M24" s="43"/>
      <c r="N24" s="43"/>
      <c r="O24" s="43"/>
      <c r="P24" s="43"/>
      <c r="Q24" s="43"/>
      <c r="R24" s="43"/>
      <c r="S24" s="43"/>
      <c r="T24" s="43"/>
    </row>
    <row r="25" spans="1:23" ht="13.5" thickBot="1">
      <c r="A25" s="81" t="s">
        <v>150</v>
      </c>
      <c r="B25" s="53"/>
      <c r="C25" s="53"/>
      <c r="D25" s="66">
        <f>SUM(D20:D24)</f>
        <v>1967.3351538461541</v>
      </c>
      <c r="E25" s="66">
        <f t="shared" ref="E25:K25" si="4">SUM(E20:E24)</f>
        <v>2213.2520480769231</v>
      </c>
      <c r="F25" s="66">
        <f t="shared" si="4"/>
        <v>2459.1689423076923</v>
      </c>
      <c r="G25" s="66">
        <f t="shared" si="4"/>
        <v>2705.0858365384615</v>
      </c>
      <c r="H25" s="66">
        <f t="shared" si="4"/>
        <v>2951.0027307692312</v>
      </c>
      <c r="I25" s="66">
        <f t="shared" si="4"/>
        <v>2951.0027307692312</v>
      </c>
      <c r="J25" s="66">
        <f t="shared" si="4"/>
        <v>2951.0027307692312</v>
      </c>
      <c r="K25" s="66">
        <f t="shared" si="4"/>
        <v>2951.0027307692312</v>
      </c>
      <c r="L25" s="66">
        <f>SUM(L20:L24)</f>
        <v>2951.0027307692312</v>
      </c>
      <c r="M25" s="6"/>
      <c r="N25" s="6"/>
      <c r="O25" s="6"/>
      <c r="P25" s="6"/>
      <c r="Q25" s="6"/>
      <c r="R25" s="6"/>
      <c r="S25" s="6"/>
      <c r="T25" s="43"/>
    </row>
    <row r="26" spans="1:23" ht="13.5" thickTop="1">
      <c r="A26" s="83"/>
      <c r="B26" s="84"/>
      <c r="C26" s="84"/>
      <c r="D26" s="84"/>
      <c r="E26" s="84"/>
      <c r="F26" s="84"/>
      <c r="G26" s="84"/>
      <c r="H26" s="84"/>
      <c r="I26" s="84"/>
      <c r="J26" s="84"/>
      <c r="K26" s="84"/>
      <c r="L26" s="84"/>
      <c r="M26" s="84"/>
      <c r="N26" s="84"/>
      <c r="O26" s="84"/>
      <c r="P26" s="84"/>
      <c r="Q26" s="84"/>
      <c r="R26" s="84"/>
      <c r="S26" s="84"/>
      <c r="T26" s="84"/>
    </row>
    <row r="27" spans="1:23">
      <c r="A27" s="77" t="s">
        <v>151</v>
      </c>
      <c r="B27" s="82" t="s">
        <v>152</v>
      </c>
      <c r="C27" s="82" t="s">
        <v>153</v>
      </c>
      <c r="D27" s="84"/>
      <c r="E27" s="84"/>
      <c r="F27" s="84"/>
      <c r="G27" s="84"/>
      <c r="H27" s="84"/>
      <c r="I27" s="84"/>
      <c r="J27" s="84"/>
      <c r="K27" s="84"/>
      <c r="L27" s="84"/>
      <c r="M27" s="84"/>
      <c r="N27" s="84"/>
      <c r="O27" s="84"/>
      <c r="P27" s="84"/>
      <c r="Q27" s="84"/>
      <c r="R27" s="84"/>
      <c r="S27" s="84"/>
      <c r="T27" s="84"/>
      <c r="U27" s="50"/>
    </row>
    <row r="28" spans="1:23">
      <c r="A28" s="77"/>
      <c r="B28" s="82"/>
      <c r="C28" s="82"/>
      <c r="D28" s="84"/>
      <c r="E28" s="84"/>
      <c r="F28" s="84"/>
      <c r="G28" s="84"/>
      <c r="H28" s="84"/>
      <c r="I28" s="84"/>
      <c r="J28" s="84"/>
      <c r="K28" s="84"/>
      <c r="L28" s="84"/>
      <c r="M28" s="84"/>
      <c r="N28" s="84"/>
      <c r="O28" s="84"/>
      <c r="P28" s="84"/>
      <c r="Q28" s="84"/>
      <c r="R28" s="84"/>
      <c r="S28" s="84"/>
      <c r="T28" s="84"/>
    </row>
    <row r="29" spans="1:23">
      <c r="A29" s="83" t="s">
        <v>154</v>
      </c>
      <c r="B29" s="86">
        <v>0.4</v>
      </c>
      <c r="C29" s="85" t="s">
        <v>155</v>
      </c>
      <c r="D29" s="43">
        <f>ROUND(B29*D21,2)</f>
        <v>141.49</v>
      </c>
      <c r="E29" s="43">
        <f>B29*E21</f>
        <v>159.18042375000002</v>
      </c>
      <c r="F29" s="43">
        <f>B29*F21</f>
        <v>176.86713750000001</v>
      </c>
      <c r="G29" s="43">
        <f>B29*G21</f>
        <v>194.55385125000001</v>
      </c>
      <c r="H29" s="43">
        <f>B29*H21</f>
        <v>212.24056500000003</v>
      </c>
      <c r="I29" s="43">
        <f>B29*I21</f>
        <v>212.24056500000003</v>
      </c>
      <c r="J29" s="43">
        <f>$B$29*J21</f>
        <v>212.24056500000003</v>
      </c>
      <c r="K29" s="43">
        <f>$B$29*K21</f>
        <v>212.24056500000003</v>
      </c>
      <c r="L29" s="43">
        <f>$B$29*L21</f>
        <v>212.24056500000003</v>
      </c>
      <c r="M29" s="43"/>
      <c r="N29" s="43"/>
      <c r="O29" s="43"/>
      <c r="P29" s="43"/>
      <c r="Q29" s="43"/>
      <c r="R29" s="43"/>
      <c r="S29" s="43"/>
      <c r="T29" s="43"/>
      <c r="U29" s="67"/>
      <c r="V29" s="67"/>
      <c r="W29" s="67"/>
    </row>
    <row r="30" spans="1:23">
      <c r="A30" s="83" t="s">
        <v>156</v>
      </c>
      <c r="B30" s="86">
        <v>0.25</v>
      </c>
      <c r="C30" s="85" t="s">
        <v>157</v>
      </c>
      <c r="D30" s="43">
        <f>(D22+D23)*$B$30</f>
        <v>24</v>
      </c>
      <c r="E30" s="43">
        <f t="shared" ref="E30:K30" si="5">(E22+E23)*$B$30</f>
        <v>27</v>
      </c>
      <c r="F30" s="43">
        <f t="shared" si="5"/>
        <v>30</v>
      </c>
      <c r="G30" s="43">
        <f t="shared" si="5"/>
        <v>33.000000000000007</v>
      </c>
      <c r="H30" s="43">
        <f t="shared" si="5"/>
        <v>36.000000000000007</v>
      </c>
      <c r="I30" s="43">
        <f t="shared" si="5"/>
        <v>36.000000000000007</v>
      </c>
      <c r="J30" s="43">
        <f t="shared" si="5"/>
        <v>36.000000000000007</v>
      </c>
      <c r="K30" s="43">
        <f t="shared" si="5"/>
        <v>36.000000000000007</v>
      </c>
      <c r="L30" s="43">
        <f>(L22+L23)*$B$30</f>
        <v>36.000000000000007</v>
      </c>
      <c r="M30" s="43"/>
      <c r="N30" s="43"/>
      <c r="O30" s="43"/>
      <c r="P30" s="43"/>
      <c r="Q30" s="43"/>
      <c r="R30" s="43"/>
      <c r="S30" s="43"/>
      <c r="T30" s="43"/>
      <c r="U30" s="67"/>
      <c r="V30" s="67"/>
      <c r="W30" s="67"/>
    </row>
    <row r="31" spans="1:23">
      <c r="A31" s="83" t="s">
        <v>158</v>
      </c>
      <c r="B31" s="86">
        <v>0.09</v>
      </c>
      <c r="C31" s="85" t="s">
        <v>159</v>
      </c>
      <c r="D31" s="43">
        <f>B31*D25</f>
        <v>177.06016384615387</v>
      </c>
      <c r="E31" s="43">
        <f>B31*E25*1.05</f>
        <v>209.15231854326922</v>
      </c>
      <c r="F31" s="43">
        <f>B31*F25*1.1</f>
        <v>243.45772528846155</v>
      </c>
      <c r="G31" s="43">
        <f>B31*G25*1.2</f>
        <v>292.1492703461538</v>
      </c>
      <c r="H31" s="43">
        <f>B31*H25*1.2</f>
        <v>318.70829492307695</v>
      </c>
      <c r="I31" s="43">
        <f>B31*I25*1.25</f>
        <v>331.98780721153855</v>
      </c>
      <c r="J31" s="43">
        <f>$B$31*J25*1.3</f>
        <v>345.2673195000001</v>
      </c>
      <c r="K31" s="43">
        <f>$B$31*K25*1.35</f>
        <v>358.54683178846165</v>
      </c>
      <c r="L31" s="43">
        <f>$B$31*L25*1.4</f>
        <v>371.82634407692314</v>
      </c>
      <c r="M31" s="43"/>
      <c r="N31" s="43"/>
      <c r="O31" s="43"/>
      <c r="P31" s="43" t="s">
        <v>160</v>
      </c>
      <c r="Q31" s="43"/>
      <c r="R31" s="43"/>
      <c r="S31" s="43"/>
      <c r="T31" s="43"/>
      <c r="U31" s="67"/>
      <c r="V31" s="67"/>
      <c r="W31" s="67"/>
    </row>
    <row r="32" spans="1:23">
      <c r="A32" s="83" t="s">
        <v>161</v>
      </c>
      <c r="B32" s="86">
        <v>7.4999999999999997E-2</v>
      </c>
      <c r="C32" s="85" t="s">
        <v>159</v>
      </c>
      <c r="D32" s="43">
        <f>ROUND(B32*D25,2)</f>
        <v>147.55000000000001</v>
      </c>
      <c r="E32" s="43">
        <f>B32*E25</f>
        <v>165.99390360576922</v>
      </c>
      <c r="F32" s="43">
        <f>B32*F25</f>
        <v>184.43767067307692</v>
      </c>
      <c r="G32" s="43">
        <f>B32*G25</f>
        <v>202.8814377403846</v>
      </c>
      <c r="H32" s="43">
        <f>B32*H25</f>
        <v>221.32520480769233</v>
      </c>
      <c r="I32" s="43">
        <f>B32*I25</f>
        <v>221.32520480769233</v>
      </c>
      <c r="J32" s="43">
        <f>$B$32*J25</f>
        <v>221.32520480769233</v>
      </c>
      <c r="K32" s="43">
        <f>$B$32*K25</f>
        <v>221.32520480769233</v>
      </c>
      <c r="L32" s="43">
        <f>$B$32*L25</f>
        <v>221.32520480769233</v>
      </c>
      <c r="M32" s="43"/>
      <c r="N32" s="43"/>
      <c r="O32" s="43"/>
      <c r="P32" s="43"/>
      <c r="Q32" s="43"/>
      <c r="R32" s="43"/>
      <c r="S32" s="43"/>
      <c r="T32" s="43"/>
      <c r="U32" s="67"/>
      <c r="V32" s="67"/>
      <c r="W32" s="67"/>
    </row>
    <row r="33" spans="1:23">
      <c r="A33" s="83" t="s">
        <v>162</v>
      </c>
      <c r="B33" s="86">
        <v>5.0000000000000001E-3</v>
      </c>
      <c r="C33" s="85" t="s">
        <v>163</v>
      </c>
      <c r="D33" s="43">
        <f>depreciation!D147*0.5%</f>
        <v>19.058351139626691</v>
      </c>
      <c r="E33" s="43">
        <f>depreciation!E147*1%</f>
        <v>33.594761682286752</v>
      </c>
      <c r="F33" s="43">
        <f>depreciation!F147*1.25%</f>
        <v>37.528526356650175</v>
      </c>
      <c r="G33" s="43">
        <f>depreciation!G147*2.5%</f>
        <v>64.002201220883805</v>
      </c>
      <c r="H33" s="43">
        <f>depreciation!H147*2.5%</f>
        <v>55.697349728467259</v>
      </c>
      <c r="I33" s="43">
        <f>depreciation!I147*3%</f>
        <v>56.570997883260844</v>
      </c>
      <c r="J33" s="43">
        <f>depreciation!J147*3.5%</f>
        <v>54.197705441087834</v>
      </c>
      <c r="K33" s="43">
        <f>depreciation!K147*4%</f>
        <v>47.852472401948191</v>
      </c>
      <c r="L33" s="43">
        <f>depreciation!L147*4.75%</f>
        <v>39.383093141722036</v>
      </c>
      <c r="M33" s="43"/>
      <c r="N33" s="43"/>
      <c r="O33" s="43"/>
      <c r="P33" s="43" t="s">
        <v>160</v>
      </c>
      <c r="Q33" s="43"/>
      <c r="R33" s="43"/>
      <c r="S33" s="43"/>
      <c r="T33" s="43"/>
      <c r="U33" s="67"/>
      <c r="V33" s="67"/>
      <c r="W33" s="67"/>
    </row>
    <row r="34" spans="1:23">
      <c r="A34" s="83" t="s">
        <v>164</v>
      </c>
      <c r="B34" s="86">
        <v>0.05</v>
      </c>
      <c r="C34" s="85" t="s">
        <v>149</v>
      </c>
      <c r="D34" s="43">
        <f>D20*B34</f>
        <v>73.365000000000009</v>
      </c>
      <c r="E34" s="43">
        <f>E20*B34*1.5</f>
        <v>123.80343750000002</v>
      </c>
      <c r="F34" s="43">
        <f>F20*B34*2</f>
        <v>183.41250000000002</v>
      </c>
      <c r="G34" s="43">
        <f>G20*B34*2.15</f>
        <v>216.88528125000002</v>
      </c>
      <c r="H34" s="43">
        <f>H20*B34*2.25</f>
        <v>247.60687500000003</v>
      </c>
      <c r="I34" s="43">
        <f>I20*B34*2.5</f>
        <v>275.11875000000003</v>
      </c>
      <c r="J34" s="43">
        <f>J20*$B$34*2.5</f>
        <v>275.11875000000003</v>
      </c>
      <c r="K34" s="43">
        <f>K20*$B$34*2.5</f>
        <v>275.11875000000003</v>
      </c>
      <c r="L34" s="43">
        <f>L20*$B$34*2.5</f>
        <v>275.11875000000003</v>
      </c>
      <c r="M34" s="43"/>
      <c r="N34" s="43"/>
      <c r="O34" s="43"/>
      <c r="P34" s="43" t="s">
        <v>160</v>
      </c>
      <c r="Q34" s="43" t="s">
        <v>165</v>
      </c>
      <c r="R34" s="43"/>
      <c r="S34" s="43"/>
      <c r="T34" s="43"/>
      <c r="U34" s="67"/>
      <c r="V34" s="67"/>
      <c r="W34" s="67"/>
    </row>
    <row r="35" spans="1:23">
      <c r="A35" s="83" t="s">
        <v>166</v>
      </c>
      <c r="B35" s="86">
        <v>0.04</v>
      </c>
      <c r="C35" s="85" t="s">
        <v>149</v>
      </c>
      <c r="D35" s="43">
        <f>B35*D20</f>
        <v>58.692000000000007</v>
      </c>
      <c r="E35" s="43">
        <f>B35*E20*1.25</f>
        <v>82.53562500000001</v>
      </c>
      <c r="F35" s="43">
        <f>B35*F20*1.25</f>
        <v>91.706249999999997</v>
      </c>
      <c r="G35" s="43">
        <f>B35*G20*1.25</f>
        <v>100.87687500000001</v>
      </c>
      <c r="H35" s="43">
        <f>B35*H20*1.25</f>
        <v>110.04750000000001</v>
      </c>
      <c r="I35" s="43">
        <f>B35*I20*1.25</f>
        <v>110.04750000000001</v>
      </c>
      <c r="J35" s="43">
        <f>B35*J20*1.25</f>
        <v>110.04750000000001</v>
      </c>
      <c r="K35" s="43">
        <f>B35*K20*1.25</f>
        <v>110.04750000000001</v>
      </c>
      <c r="L35" s="43">
        <f>B35*L20*1.25</f>
        <v>110.04750000000001</v>
      </c>
      <c r="M35" s="43"/>
      <c r="N35" s="43"/>
      <c r="O35" s="43"/>
      <c r="P35" s="43" t="s">
        <v>160</v>
      </c>
      <c r="Q35" s="43" t="s">
        <v>167</v>
      </c>
      <c r="R35" s="43"/>
      <c r="S35" s="43"/>
      <c r="T35" s="43"/>
      <c r="U35" s="67"/>
      <c r="V35" s="67"/>
      <c r="W35" s="67"/>
    </row>
    <row r="36" spans="1:23">
      <c r="A36" s="83" t="s">
        <v>168</v>
      </c>
      <c r="B36" s="86">
        <v>0.01</v>
      </c>
      <c r="C36" s="85" t="s">
        <v>159</v>
      </c>
      <c r="D36" s="43">
        <f>B36*D25</f>
        <v>19.673351538461542</v>
      </c>
      <c r="E36" s="43">
        <f>B36*E25</f>
        <v>22.13252048076923</v>
      </c>
      <c r="F36" s="43">
        <f>B36*F25*1.1</f>
        <v>27.05085836538462</v>
      </c>
      <c r="G36" s="43">
        <f>B36*G25*1.2</f>
        <v>32.461030038461537</v>
      </c>
      <c r="H36" s="43">
        <f>B36*H25*1.2</f>
        <v>35.41203276923077</v>
      </c>
      <c r="I36" s="43">
        <f>B36*I25*1.2</f>
        <v>35.41203276923077</v>
      </c>
      <c r="J36" s="43">
        <f>B36*J25*1.2</f>
        <v>35.41203276923077</v>
      </c>
      <c r="K36" s="43">
        <f>B36*K25*1.2</f>
        <v>35.41203276923077</v>
      </c>
      <c r="L36" s="43">
        <f>B36*L25*1.2</f>
        <v>35.41203276923077</v>
      </c>
      <c r="M36" s="43"/>
      <c r="N36" s="43"/>
      <c r="O36" s="43"/>
      <c r="P36" s="43" t="s">
        <v>160</v>
      </c>
      <c r="Q36" s="43" t="s">
        <v>167</v>
      </c>
      <c r="R36" s="43"/>
      <c r="S36" s="43"/>
      <c r="T36" s="43"/>
      <c r="U36" s="67"/>
      <c r="V36" s="67"/>
      <c r="W36" s="67"/>
    </row>
    <row r="37" spans="1:23">
      <c r="A37" s="83" t="s">
        <v>169</v>
      </c>
      <c r="B37" s="86">
        <v>2.2499999999999999E-2</v>
      </c>
      <c r="C37" s="85" t="s">
        <v>159</v>
      </c>
      <c r="D37" s="43">
        <f>B37*D25</f>
        <v>44.265040961538467</v>
      </c>
      <c r="E37" s="43">
        <f>B37*E25*1.1</f>
        <v>54.777988189903844</v>
      </c>
      <c r="F37" s="43">
        <f>B37*F25*1.1</f>
        <v>60.864431322115387</v>
      </c>
      <c r="G37" s="43">
        <f>B37*G25*1.15</f>
        <v>69.994096020432679</v>
      </c>
      <c r="H37" s="43">
        <f>B37*H25*1.2</f>
        <v>79.677073730769237</v>
      </c>
      <c r="I37" s="43">
        <f>B37*I25*1.25</f>
        <v>82.996951802884638</v>
      </c>
      <c r="J37" s="43">
        <f>B37*J25*1.3</f>
        <v>86.316829875000025</v>
      </c>
      <c r="K37" s="43">
        <f>B37*K25*1.35</f>
        <v>89.636707947115411</v>
      </c>
      <c r="L37" s="43">
        <f>B37*L25*1.4</f>
        <v>92.956586019230784</v>
      </c>
      <c r="M37" s="43"/>
      <c r="N37" s="43"/>
      <c r="O37" s="43"/>
      <c r="P37" s="43" t="s">
        <v>160</v>
      </c>
      <c r="Q37" s="43"/>
      <c r="R37" s="43"/>
      <c r="S37" s="43"/>
      <c r="T37" s="43"/>
      <c r="U37" s="67"/>
      <c r="V37" s="67"/>
      <c r="W37" s="67"/>
    </row>
    <row r="38" spans="1:23" ht="13.5" thickBot="1">
      <c r="A38" s="83" t="s">
        <v>170</v>
      </c>
      <c r="B38" s="86">
        <v>2.5000000000000001E-2</v>
      </c>
      <c r="C38" s="85" t="s">
        <v>159</v>
      </c>
      <c r="D38" s="43">
        <f>B38*D25</f>
        <v>49.183378846153857</v>
      </c>
      <c r="E38" s="43">
        <f>B38*E25*1.1</f>
        <v>60.864431322115394</v>
      </c>
      <c r="F38" s="43">
        <f>B38*F25*1.1</f>
        <v>67.627145913461547</v>
      </c>
      <c r="G38" s="43">
        <f>B38*G25*1.25</f>
        <v>84.533932391826937</v>
      </c>
      <c r="H38" s="43">
        <f>B38*H25*1.25</f>
        <v>92.21883533653849</v>
      </c>
      <c r="I38" s="43">
        <f>B38*I25*1.25</f>
        <v>92.21883533653849</v>
      </c>
      <c r="J38" s="43">
        <f>B38*J25*1.25</f>
        <v>92.21883533653849</v>
      </c>
      <c r="K38" s="43">
        <f>B38*K25*1.25</f>
        <v>92.21883533653849</v>
      </c>
      <c r="L38" s="43">
        <f>B38*L25*1.25</f>
        <v>92.21883533653849</v>
      </c>
      <c r="M38" s="43"/>
      <c r="N38" s="43"/>
      <c r="O38" s="43"/>
      <c r="P38" s="43" t="s">
        <v>160</v>
      </c>
      <c r="Q38" s="43" t="s">
        <v>167</v>
      </c>
      <c r="R38" s="43"/>
      <c r="S38" s="43"/>
      <c r="T38" s="43"/>
      <c r="U38" s="66"/>
      <c r="V38" s="66"/>
      <c r="W38" s="66"/>
    </row>
    <row r="39" spans="1:23" ht="13.5" thickTop="1">
      <c r="A39" s="83" t="s">
        <v>171</v>
      </c>
      <c r="B39" s="86">
        <v>1.2500000000000001E-2</v>
      </c>
      <c r="C39" s="85" t="s">
        <v>159</v>
      </c>
      <c r="D39" s="43">
        <f>B39*D25</f>
        <v>24.591689423076929</v>
      </c>
      <c r="E39" s="43">
        <f>B39*E25*1.5</f>
        <v>41.498475901442312</v>
      </c>
      <c r="F39" s="43">
        <f>B39*F25*2</f>
        <v>61.479223557692308</v>
      </c>
      <c r="G39" s="43">
        <f>B39*G25*2.5</f>
        <v>84.533932391826937</v>
      </c>
      <c r="H39" s="43">
        <f>B39*H25*2.75</f>
        <v>101.44071887019233</v>
      </c>
      <c r="I39" s="43">
        <f>B39*I25*3.5</f>
        <v>129.10636947115387</v>
      </c>
      <c r="J39" s="43">
        <f>B39*J25*3.75</f>
        <v>138.32825300480772</v>
      </c>
      <c r="K39" s="43">
        <f>B39*K25*4</f>
        <v>147.55013653846157</v>
      </c>
      <c r="L39" s="43">
        <f>B39*L25*4.25</f>
        <v>156.77202007211542</v>
      </c>
      <c r="M39" s="43"/>
      <c r="N39" s="43"/>
      <c r="O39" s="43"/>
      <c r="P39" s="43" t="s">
        <v>160</v>
      </c>
      <c r="Q39" s="43"/>
      <c r="R39" s="43"/>
      <c r="S39" s="43"/>
      <c r="T39" s="43"/>
      <c r="U39" s="6"/>
      <c r="V39" s="6"/>
      <c r="W39" s="6"/>
    </row>
    <row r="40" spans="1:23">
      <c r="A40" s="77" t="s">
        <v>172</v>
      </c>
      <c r="B40" s="86"/>
      <c r="C40" s="85"/>
      <c r="E40" s="43"/>
      <c r="F40" s="43"/>
      <c r="G40" s="43"/>
      <c r="H40" s="43"/>
      <c r="I40" s="43"/>
      <c r="J40" s="43"/>
      <c r="K40" s="43"/>
      <c r="L40" s="43"/>
      <c r="M40" s="43"/>
      <c r="N40" s="43"/>
      <c r="O40" s="43"/>
      <c r="P40" s="43"/>
      <c r="Q40" s="43"/>
      <c r="R40" s="43"/>
      <c r="S40" s="43"/>
      <c r="T40" s="43"/>
      <c r="U40" s="57"/>
      <c r="V40" s="57"/>
      <c r="W40" s="57"/>
    </row>
    <row r="41" spans="1:23">
      <c r="A41" s="83" t="s">
        <v>173</v>
      </c>
      <c r="B41" s="86">
        <v>3.3E-3</v>
      </c>
      <c r="C41" s="86"/>
      <c r="D41" s="43">
        <f>B41*'CAPITAL COST'!C14</f>
        <v>9.5004913271399989</v>
      </c>
      <c r="E41" s="43">
        <f t="shared" ref="E41:L43" si="6">D41</f>
        <v>9.5004913271399989</v>
      </c>
      <c r="F41" s="43">
        <f t="shared" si="6"/>
        <v>9.5004913271399989</v>
      </c>
      <c r="G41" s="43">
        <f t="shared" si="6"/>
        <v>9.5004913271399989</v>
      </c>
      <c r="H41" s="43">
        <f t="shared" si="6"/>
        <v>9.5004913271399989</v>
      </c>
      <c r="I41" s="43">
        <f t="shared" si="6"/>
        <v>9.5004913271399989</v>
      </c>
      <c r="J41" s="43">
        <f t="shared" si="6"/>
        <v>9.5004913271399989</v>
      </c>
      <c r="K41" s="43">
        <f t="shared" si="6"/>
        <v>9.5004913271399989</v>
      </c>
      <c r="L41" s="43">
        <f t="shared" si="6"/>
        <v>9.5004913271399989</v>
      </c>
      <c r="R41" s="43"/>
      <c r="S41" s="43"/>
      <c r="T41" s="43"/>
      <c r="U41" s="43"/>
      <c r="V41" s="43">
        <f>B41*depreciation!D128</f>
        <v>10.488324916976719</v>
      </c>
      <c r="W41" s="43">
        <f>B41*'CAPITAL COST'!D14</f>
        <v>9.5004913271399989</v>
      </c>
    </row>
    <row r="42" spans="1:23">
      <c r="A42" s="83" t="s">
        <v>174</v>
      </c>
      <c r="B42" s="86">
        <v>5.0000000000000001E-3</v>
      </c>
      <c r="C42" s="86"/>
      <c r="D42" s="43">
        <f>B42*'CAPITAL COST'!D20+(ASSETS!I82-ASSETS!I78+('details of fixed assets  '!F145/100000+'details of fixed assets  '!F146/100000))*B42</f>
        <v>3.6821262079999997</v>
      </c>
      <c r="E42" s="43">
        <f>D42</f>
        <v>3.6821262079999997</v>
      </c>
      <c r="F42" s="43">
        <f t="shared" si="6"/>
        <v>3.6821262079999997</v>
      </c>
      <c r="G42" s="43">
        <f t="shared" si="6"/>
        <v>3.6821262079999997</v>
      </c>
      <c r="H42" s="43">
        <f t="shared" si="6"/>
        <v>3.6821262079999997</v>
      </c>
      <c r="I42" s="43">
        <f t="shared" si="6"/>
        <v>3.6821262079999997</v>
      </c>
      <c r="J42" s="43">
        <f t="shared" si="6"/>
        <v>3.6821262079999997</v>
      </c>
      <c r="K42" s="43">
        <f t="shared" si="6"/>
        <v>3.6821262079999997</v>
      </c>
      <c r="L42" s="43">
        <f t="shared" si="6"/>
        <v>3.6821262079999997</v>
      </c>
      <c r="R42" s="43"/>
      <c r="S42" s="43"/>
      <c r="T42" s="43"/>
      <c r="U42" s="43"/>
      <c r="V42" s="43"/>
      <c r="W42" s="43">
        <f>B42*('CAPITAL COST'!D20+'CAPITAL COST'!D16)</f>
        <v>4.2141962079999997</v>
      </c>
    </row>
    <row r="43" spans="1:23">
      <c r="A43" s="63" t="s">
        <v>175</v>
      </c>
      <c r="B43" s="86">
        <v>2.5000000000000001E-3</v>
      </c>
      <c r="C43" s="86"/>
      <c r="D43" s="43">
        <f>B43*(SUM('details of fixed assets  '!F138:F144))/100000</f>
        <v>0.38145000000000001</v>
      </c>
      <c r="E43" s="43">
        <f>D43</f>
        <v>0.38145000000000001</v>
      </c>
      <c r="F43" s="43">
        <f t="shared" si="6"/>
        <v>0.38145000000000001</v>
      </c>
      <c r="G43" s="43">
        <f t="shared" si="6"/>
        <v>0.38145000000000001</v>
      </c>
      <c r="H43" s="43">
        <f t="shared" si="6"/>
        <v>0.38145000000000001</v>
      </c>
      <c r="I43" s="43">
        <f t="shared" si="6"/>
        <v>0.38145000000000001</v>
      </c>
      <c r="J43" s="43">
        <f t="shared" si="6"/>
        <v>0.38145000000000001</v>
      </c>
      <c r="K43" s="43">
        <f t="shared" si="6"/>
        <v>0.38145000000000001</v>
      </c>
      <c r="L43" s="43">
        <f t="shared" si="6"/>
        <v>0.38145000000000001</v>
      </c>
      <c r="R43" s="43"/>
      <c r="S43" s="43"/>
      <c r="T43" s="43"/>
      <c r="U43" s="43"/>
      <c r="V43" s="43"/>
      <c r="W43" s="43"/>
    </row>
    <row r="44" spans="1:23">
      <c r="A44" s="83" t="s">
        <v>176</v>
      </c>
      <c r="B44" s="86">
        <v>2E-3</v>
      </c>
      <c r="C44" s="86"/>
      <c r="D44" s="43">
        <f>+' wORKING CAPITAL'!E15*$B$44</f>
        <v>2.4E-2</v>
      </c>
      <c r="E44" s="43">
        <f>+' wORKING CAPITAL'!F15*$B$44</f>
        <v>2.3922285000000001E-2</v>
      </c>
      <c r="F44" s="43">
        <f>+' wORKING CAPITAL'!G15*$B$44</f>
        <v>2.6530070625000006E-2</v>
      </c>
      <c r="G44" s="43">
        <f>+' wORKING CAPITAL'!H15*$B$44</f>
        <v>2.9477856250000004E-2</v>
      </c>
      <c r="H44" s="43">
        <f>+' wORKING CAPITAL'!I15*$B$44</f>
        <v>3.8910770250000004E-2</v>
      </c>
      <c r="I44" s="43">
        <f>+' wORKING CAPITAL'!J15*$B$44</f>
        <v>4.9522798500000006E-2</v>
      </c>
      <c r="J44" s="43">
        <f>+' wORKING CAPITAL'!K15*$B$44</f>
        <v>6.1313941000000018E-2</v>
      </c>
      <c r="K44" s="43">
        <f>+' wORKING CAPITAL'!L15*$B$44</f>
        <v>7.4284197750000017E-2</v>
      </c>
      <c r="L44" s="43">
        <f>+' wORKING CAPITAL'!M15*$B$44</f>
        <v>7.0746854999999997E-2</v>
      </c>
      <c r="R44" s="43"/>
      <c r="S44" s="43"/>
      <c r="T44" s="43"/>
      <c r="U44" s="43"/>
      <c r="V44" s="43"/>
      <c r="W44" s="43"/>
    </row>
    <row r="45" spans="1:23">
      <c r="A45" s="83" t="s">
        <v>177</v>
      </c>
      <c r="B45" s="86">
        <v>5.0000000000000001E-3</v>
      </c>
      <c r="C45" s="85" t="s">
        <v>159</v>
      </c>
      <c r="D45" s="43">
        <f>B45*D25</f>
        <v>9.8366757692307711</v>
      </c>
      <c r="E45" s="43">
        <f>B45*E25</f>
        <v>11.066260240384615</v>
      </c>
      <c r="F45" s="43">
        <f>B45*F25*1.25</f>
        <v>15.369805889423079</v>
      </c>
      <c r="G45" s="43">
        <f>B45*G25*1.75</f>
        <v>23.66950106971154</v>
      </c>
      <c r="H45" s="43">
        <f>B45*H25*2</f>
        <v>29.510027307692312</v>
      </c>
      <c r="I45" s="43">
        <f>B45*I25*2.5</f>
        <v>36.887534134615393</v>
      </c>
      <c r="J45" s="43">
        <f>B45*J25*3</f>
        <v>44.265040961538467</v>
      </c>
      <c r="K45" s="43">
        <f>B45*K25*3.5</f>
        <v>51.642547788461542</v>
      </c>
      <c r="L45" s="43">
        <f>B45*L25*3.6</f>
        <v>53.118049153846165</v>
      </c>
      <c r="R45" s="43"/>
      <c r="S45" s="43"/>
      <c r="T45" s="43"/>
      <c r="U45" s="43" t="e">
        <f>MIN(2,#REF!,#REF!,#REF!,#REF!,#REF!,#REF!,#REF!,#REF!)</f>
        <v>#REF!</v>
      </c>
      <c r="V45" s="43"/>
      <c r="W45" s="43"/>
    </row>
    <row r="46" spans="1:23">
      <c r="A46" s="83" t="s">
        <v>107</v>
      </c>
      <c r="B46" s="84"/>
      <c r="C46" s="84"/>
      <c r="D46" s="43">
        <f>Interest!I58</f>
        <v>240.11249999999998</v>
      </c>
      <c r="E46" s="43">
        <f>Interest!I70</f>
        <v>217.78750000000002</v>
      </c>
      <c r="F46" s="43">
        <f>Interest!I82</f>
        <v>186.67500000000001</v>
      </c>
      <c r="G46" s="43">
        <f>Interest!I94</f>
        <v>147.25000000000003</v>
      </c>
      <c r="H46" s="43">
        <f>Interest!I106</f>
        <v>99.037499999999994</v>
      </c>
      <c r="I46" s="43">
        <f>Interest!I118</f>
        <v>45.125</v>
      </c>
      <c r="J46" s="43">
        <f>Interest!I130</f>
        <v>2.375</v>
      </c>
      <c r="K46" s="43">
        <f>Interest!I142</f>
        <v>0</v>
      </c>
      <c r="L46" s="43">
        <f>Interest!I154</f>
        <v>0</v>
      </c>
      <c r="M46" s="43"/>
      <c r="N46" s="43"/>
      <c r="O46" s="43"/>
      <c r="P46" s="43"/>
      <c r="Q46" s="43"/>
      <c r="R46" s="43"/>
      <c r="S46" s="43"/>
      <c r="T46" s="43"/>
      <c r="U46" s="67"/>
      <c r="V46" s="67"/>
      <c r="W46" s="67"/>
    </row>
    <row r="47" spans="1:23">
      <c r="A47" s="83" t="s">
        <v>178</v>
      </c>
      <c r="B47" s="84"/>
      <c r="C47" s="84"/>
      <c r="D47" s="43">
        <f>' wORKING CAPITAL'!E29</f>
        <v>0</v>
      </c>
      <c r="E47" s="43">
        <f>' wORKING CAPITAL'!F29</f>
        <v>0</v>
      </c>
      <c r="F47" s="43">
        <f>' wORKING CAPITAL'!G29</f>
        <v>0</v>
      </c>
      <c r="G47" s="43">
        <f>' wORKING CAPITAL'!H29</f>
        <v>0</v>
      </c>
      <c r="H47" s="43">
        <f>' wORKING CAPITAL'!I29</f>
        <v>0</v>
      </c>
      <c r="I47" s="43">
        <f>' wORKING CAPITAL'!J29</f>
        <v>0</v>
      </c>
      <c r="J47" s="43">
        <f>' wORKING CAPITAL'!K29</f>
        <v>0</v>
      </c>
      <c r="K47" s="43">
        <f>' wORKING CAPITAL'!L29</f>
        <v>0</v>
      </c>
      <c r="L47" s="43">
        <f>' wORKING CAPITAL'!M29</f>
        <v>0</v>
      </c>
      <c r="M47" s="43"/>
      <c r="N47" s="43"/>
      <c r="O47" s="43"/>
      <c r="P47" s="43"/>
      <c r="Q47" s="43"/>
      <c r="R47" s="43"/>
      <c r="S47" s="43"/>
      <c r="T47" s="43"/>
      <c r="U47" s="67"/>
      <c r="V47" s="67"/>
      <c r="W47" s="67"/>
    </row>
    <row r="48" spans="1:23">
      <c r="A48" s="83"/>
      <c r="B48" s="85"/>
      <c r="C48" s="84"/>
      <c r="D48" s="43"/>
      <c r="E48" s="43"/>
      <c r="F48" s="43"/>
      <c r="G48" s="43"/>
      <c r="H48" s="43"/>
      <c r="I48" s="43"/>
      <c r="J48" s="43"/>
      <c r="K48" s="43"/>
      <c r="L48" s="43"/>
      <c r="M48" s="43"/>
      <c r="N48" s="43"/>
      <c r="O48" s="43"/>
      <c r="P48" s="43"/>
      <c r="Q48" s="43"/>
      <c r="R48" s="43"/>
      <c r="S48" s="43"/>
      <c r="T48" s="43"/>
      <c r="U48" s="67"/>
      <c r="V48" s="67"/>
      <c r="W48" s="67"/>
    </row>
    <row r="49" spans="1:23">
      <c r="A49" s="83" t="s">
        <v>106</v>
      </c>
      <c r="B49" s="84"/>
      <c r="C49" s="84"/>
      <c r="D49" s="43">
        <f>depreciation!D139</f>
        <v>452.19405969666178</v>
      </c>
      <c r="E49" s="43">
        <f>depreciation!E139</f>
        <v>452.19405969666178</v>
      </c>
      <c r="F49" s="43">
        <f>depreciation!F139</f>
        <v>452.19405969666178</v>
      </c>
      <c r="G49" s="43">
        <f>depreciation!G139</f>
        <v>452.19405969666178</v>
      </c>
      <c r="H49" s="43">
        <f>depreciation!H139</f>
        <v>452.19405969666178</v>
      </c>
      <c r="I49" s="43">
        <f>depreciation!I139</f>
        <v>452.19405969666178</v>
      </c>
      <c r="J49" s="43">
        <f>depreciation!J139</f>
        <v>452.19405969666178</v>
      </c>
      <c r="K49" s="43">
        <f>depreciation!K139</f>
        <v>452.19405969666178</v>
      </c>
      <c r="L49" s="43">
        <f>depreciation!L139</f>
        <v>452.19405969666178</v>
      </c>
      <c r="M49" s="43"/>
      <c r="N49" s="43"/>
      <c r="O49" s="43"/>
      <c r="P49" s="43"/>
      <c r="Q49" s="43"/>
      <c r="R49" s="43"/>
      <c r="S49" s="43"/>
      <c r="T49" s="43"/>
      <c r="U49" s="67"/>
      <c r="V49" s="67"/>
      <c r="W49" s="67"/>
    </row>
    <row r="50" spans="1:23">
      <c r="A50" s="83"/>
      <c r="B50" s="84"/>
      <c r="C50" s="84"/>
      <c r="D50" s="43"/>
      <c r="E50" s="43"/>
      <c r="F50" s="43"/>
      <c r="G50" s="43"/>
      <c r="H50" s="43"/>
      <c r="I50" s="43"/>
      <c r="J50" s="43"/>
      <c r="K50" s="43"/>
      <c r="L50" s="43"/>
      <c r="M50" s="43"/>
      <c r="N50" s="43"/>
      <c r="O50" s="43"/>
      <c r="P50" s="43"/>
      <c r="Q50" s="43"/>
      <c r="R50" s="43"/>
      <c r="S50" s="43"/>
      <c r="T50" s="43"/>
      <c r="U50" s="67"/>
      <c r="V50" s="67"/>
      <c r="W50" s="67"/>
    </row>
    <row r="51" spans="1:23" ht="13.5" thickBot="1">
      <c r="A51" s="81" t="s">
        <v>179</v>
      </c>
      <c r="B51" s="53"/>
      <c r="C51" s="53"/>
      <c r="D51" s="66">
        <f>SUM(D29:D50)</f>
        <v>1494.6602787560439</v>
      </c>
      <c r="E51" s="66">
        <f t="shared" ref="E51:J51" si="7">SUM(E29:E50)</f>
        <v>1675.1696957327424</v>
      </c>
      <c r="F51" s="66">
        <f t="shared" si="7"/>
        <v>1832.2609321686925</v>
      </c>
      <c r="G51" s="66">
        <f t="shared" si="7"/>
        <v>2012.5790138077336</v>
      </c>
      <c r="H51" s="66">
        <f t="shared" si="7"/>
        <v>2104.7190154757113</v>
      </c>
      <c r="I51" s="66">
        <f t="shared" si="7"/>
        <v>2130.8451984472167</v>
      </c>
      <c r="J51" s="66">
        <f t="shared" si="7"/>
        <v>2118.9324778686973</v>
      </c>
      <c r="K51" s="66">
        <f>SUM(K29:K50)</f>
        <v>2143.4239958074622</v>
      </c>
      <c r="L51" s="66">
        <f>SUM(L29:L50)</f>
        <v>2162.2478544641012</v>
      </c>
      <c r="M51" s="6"/>
      <c r="N51" s="6"/>
      <c r="O51" s="6"/>
      <c r="P51" s="6"/>
      <c r="Q51" s="6"/>
      <c r="R51" s="6"/>
      <c r="S51" s="6"/>
      <c r="T51" s="6"/>
      <c r="U51" s="67"/>
      <c r="V51" s="67"/>
      <c r="W51" s="67"/>
    </row>
    <row r="52" spans="1:23" ht="13.5" thickTop="1">
      <c r="A52" s="83"/>
      <c r="B52" s="84"/>
      <c r="C52" s="84"/>
      <c r="D52" s="43"/>
      <c r="E52" s="43"/>
      <c r="F52" s="43"/>
      <c r="G52" s="43"/>
      <c r="H52" s="43"/>
      <c r="I52" s="43"/>
      <c r="J52" s="43"/>
      <c r="K52" s="43"/>
      <c r="L52" s="43"/>
      <c r="M52" s="43"/>
      <c r="N52" s="43"/>
      <c r="O52" s="43"/>
      <c r="P52" s="43"/>
      <c r="Q52" s="43"/>
      <c r="R52" s="43"/>
      <c r="S52" s="43"/>
      <c r="T52" s="43"/>
      <c r="U52" s="67"/>
      <c r="V52" s="67"/>
      <c r="W52" s="67"/>
    </row>
    <row r="53" spans="1:23">
      <c r="A53" s="83"/>
      <c r="B53" s="84"/>
      <c r="C53" s="84"/>
      <c r="D53" s="43"/>
      <c r="E53" s="43"/>
      <c r="F53" s="43"/>
      <c r="G53" s="43"/>
      <c r="H53" s="43"/>
      <c r="I53" s="43"/>
      <c r="J53" s="43"/>
      <c r="K53" s="43"/>
      <c r="L53" s="43"/>
      <c r="M53" s="43"/>
      <c r="N53" s="43"/>
      <c r="O53" s="43"/>
      <c r="P53" s="43"/>
      <c r="Q53" s="43"/>
      <c r="R53" s="43"/>
      <c r="S53" s="43"/>
      <c r="T53" s="43"/>
      <c r="U53" s="67"/>
      <c r="V53" s="67"/>
      <c r="W53" s="67"/>
    </row>
    <row r="54" spans="1:23">
      <c r="A54" s="83"/>
      <c r="B54" s="84"/>
      <c r="C54" s="84"/>
      <c r="D54" s="43"/>
      <c r="E54" s="43"/>
      <c r="F54" s="43"/>
      <c r="G54" s="43"/>
      <c r="H54" s="43"/>
      <c r="I54" s="43"/>
      <c r="J54" s="43"/>
      <c r="K54" s="43"/>
      <c r="L54" s="43"/>
      <c r="M54" s="43"/>
      <c r="N54" s="43"/>
      <c r="O54" s="43"/>
      <c r="P54" s="43"/>
      <c r="Q54" s="43"/>
      <c r="R54" s="43"/>
      <c r="S54" s="43"/>
      <c r="T54" s="43"/>
      <c r="U54" s="67"/>
      <c r="V54" s="67"/>
      <c r="W54" s="67"/>
    </row>
    <row r="55" spans="1:23">
      <c r="A55" s="77" t="s">
        <v>180</v>
      </c>
      <c r="B55" s="78"/>
      <c r="C55" s="78"/>
      <c r="D55" s="6">
        <f>(D25-D51)-(D25*0.05)</f>
        <v>374.30811739780245</v>
      </c>
      <c r="E55" s="6">
        <f t="shared" ref="E55:L55" si="8">(E25-E51)-(E25*0.05)</f>
        <v>427.4197499403345</v>
      </c>
      <c r="F55" s="6">
        <f t="shared" si="8"/>
        <v>503.94956302361516</v>
      </c>
      <c r="G55" s="6">
        <f t="shared" si="8"/>
        <v>557.25253090380477</v>
      </c>
      <c r="H55" s="6">
        <f t="shared" si="8"/>
        <v>698.73357875505826</v>
      </c>
      <c r="I55" s="6">
        <f t="shared" si="8"/>
        <v>672.60739578355287</v>
      </c>
      <c r="J55" s="6">
        <f t="shared" si="8"/>
        <v>684.52011636207226</v>
      </c>
      <c r="K55" s="6">
        <f t="shared" si="8"/>
        <v>660.02859842330736</v>
      </c>
      <c r="L55" s="6">
        <f t="shared" si="8"/>
        <v>641.20473976666835</v>
      </c>
      <c r="M55" s="6"/>
      <c r="N55" s="6"/>
      <c r="O55" s="6"/>
      <c r="P55" s="6"/>
      <c r="Q55" s="6"/>
      <c r="R55" s="6"/>
      <c r="S55" s="6"/>
      <c r="T55" s="6"/>
    </row>
    <row r="56" spans="1:23">
      <c r="A56" s="83"/>
      <c r="B56" s="84"/>
      <c r="C56" s="84"/>
      <c r="D56" s="43"/>
      <c r="E56" s="43"/>
      <c r="F56" s="43"/>
      <c r="G56" s="43"/>
      <c r="H56" s="43"/>
      <c r="I56" s="43"/>
      <c r="J56" s="43"/>
      <c r="K56" s="43"/>
      <c r="L56" s="43"/>
      <c r="M56" s="43"/>
      <c r="N56" s="43"/>
      <c r="O56" s="43"/>
      <c r="P56" s="43"/>
      <c r="Q56" s="43"/>
      <c r="R56" s="43"/>
      <c r="S56" s="43"/>
      <c r="T56" s="43"/>
    </row>
    <row r="57" spans="1:23">
      <c r="A57" s="77" t="s">
        <v>181</v>
      </c>
      <c r="B57" s="84"/>
      <c r="C57" s="84"/>
      <c r="D57" s="43">
        <f>D55+D47+D46</f>
        <v>614.4206173978024</v>
      </c>
      <c r="E57" s="43">
        <f t="shared" ref="E57:J57" si="9">E55+E47+E46</f>
        <v>645.20724994033458</v>
      </c>
      <c r="F57" s="43">
        <f t="shared" si="9"/>
        <v>690.62456302361511</v>
      </c>
      <c r="G57" s="43">
        <f t="shared" si="9"/>
        <v>704.50253090380477</v>
      </c>
      <c r="H57" s="43">
        <f t="shared" si="9"/>
        <v>797.77107875505828</v>
      </c>
      <c r="I57" s="43">
        <f t="shared" si="9"/>
        <v>717.73239578355287</v>
      </c>
      <c r="J57" s="43">
        <f t="shared" si="9"/>
        <v>686.89511636207226</v>
      </c>
      <c r="K57" s="43">
        <f>K55+K47+K46</f>
        <v>660.02859842330736</v>
      </c>
      <c r="L57" s="43">
        <f>L55+L47+L46</f>
        <v>641.20473976666835</v>
      </c>
      <c r="M57" s="43"/>
      <c r="N57" s="43"/>
      <c r="O57" s="43"/>
      <c r="P57" s="43"/>
      <c r="Q57" s="43"/>
      <c r="R57" s="43"/>
      <c r="S57" s="43"/>
      <c r="T57" s="43"/>
    </row>
    <row r="58" spans="1:23">
      <c r="A58" s="83" t="s">
        <v>182</v>
      </c>
      <c r="B58" s="84"/>
      <c r="C58" s="84"/>
      <c r="D58" s="43">
        <v>0</v>
      </c>
      <c r="E58" s="43">
        <v>0</v>
      </c>
      <c r="F58" s="43">
        <f>'iNCOME tAX cOMPUTATION'!F19</f>
        <v>129.1503982290368</v>
      </c>
      <c r="G58" s="43">
        <f>'iNCOME tAX cOMPUTATION'!G19</f>
        <v>160.1741058662283</v>
      </c>
      <c r="H58" s="43">
        <f>'iNCOME tAX cOMPUTATION'!H19</f>
        <v>192.91195355682291</v>
      </c>
      <c r="I58" s="43">
        <f>'iNCOME tAX cOMPUTATION'!I19</f>
        <v>225.86516222390313</v>
      </c>
      <c r="J58" s="43">
        <f>'iNCOME tAX cOMPUTATION'!J19</f>
        <v>263.37452133572316</v>
      </c>
      <c r="K58" s="43">
        <f>'iNCOME tAX cOMPUTATION'!K19</f>
        <v>297.1422342575479</v>
      </c>
      <c r="L58" s="43" t="e">
        <f>'iNCOME tAX cOMPUTATION'!L19</f>
        <v>#VALUE!</v>
      </c>
      <c r="M58" s="43"/>
      <c r="N58" s="43"/>
      <c r="O58" s="43"/>
      <c r="P58" s="43"/>
      <c r="Q58" s="43"/>
      <c r="R58" s="43"/>
      <c r="S58" s="43"/>
      <c r="T58" s="43"/>
    </row>
    <row r="59" spans="1:23">
      <c r="A59" s="77" t="s">
        <v>105</v>
      </c>
      <c r="B59" s="78"/>
      <c r="C59" s="78"/>
      <c r="D59" s="6">
        <f>D55-D58</f>
        <v>374.30811739780245</v>
      </c>
      <c r="E59" s="6">
        <f t="shared" ref="E59:J59" si="10">E55-E58</f>
        <v>427.4197499403345</v>
      </c>
      <c r="F59" s="6">
        <f t="shared" si="10"/>
        <v>374.79916479457836</v>
      </c>
      <c r="G59" s="6">
        <f t="shared" si="10"/>
        <v>397.07842503757649</v>
      </c>
      <c r="H59" s="6">
        <f t="shared" si="10"/>
        <v>505.82162519823532</v>
      </c>
      <c r="I59" s="6">
        <f t="shared" si="10"/>
        <v>446.74223355964978</v>
      </c>
      <c r="J59" s="6">
        <f t="shared" si="10"/>
        <v>421.1455950263491</v>
      </c>
      <c r="K59" s="6">
        <f>K55-K58</f>
        <v>362.88636416575946</v>
      </c>
      <c r="L59" s="6" t="e">
        <f>L55-L58</f>
        <v>#VALUE!</v>
      </c>
      <c r="M59" s="6"/>
      <c r="N59" s="6"/>
      <c r="O59" s="6"/>
      <c r="P59" s="6"/>
      <c r="Q59" s="6"/>
      <c r="R59" s="6"/>
      <c r="S59" s="6"/>
      <c r="T59" s="6"/>
    </row>
    <row r="60" spans="1:23">
      <c r="A60" s="83" t="s">
        <v>183</v>
      </c>
      <c r="B60" s="84"/>
      <c r="C60" s="84"/>
      <c r="D60" s="488">
        <f>D59</f>
        <v>374.30811739780245</v>
      </c>
      <c r="E60" s="488">
        <f t="shared" ref="E60:L60" si="11">D60+E59</f>
        <v>801.727867338137</v>
      </c>
      <c r="F60" s="488">
        <f t="shared" si="11"/>
        <v>1176.5270321327152</v>
      </c>
      <c r="G60" s="488">
        <f t="shared" si="11"/>
        <v>1573.6054571702916</v>
      </c>
      <c r="H60" s="488">
        <f t="shared" si="11"/>
        <v>2079.427082368527</v>
      </c>
      <c r="I60" s="488">
        <f t="shared" si="11"/>
        <v>2526.1693159281767</v>
      </c>
      <c r="J60" s="488">
        <f t="shared" si="11"/>
        <v>2947.3149109545257</v>
      </c>
      <c r="K60" s="488">
        <f t="shared" si="11"/>
        <v>3310.2012751202851</v>
      </c>
      <c r="L60" s="488" t="e">
        <f t="shared" si="11"/>
        <v>#VALUE!</v>
      </c>
      <c r="M60" s="43"/>
      <c r="N60" s="43"/>
      <c r="O60" s="43"/>
      <c r="P60" s="43"/>
      <c r="Q60" s="43"/>
      <c r="R60" s="43"/>
      <c r="S60" s="43"/>
      <c r="T60" s="43"/>
    </row>
    <row r="61" spans="1:23">
      <c r="A61" s="83" t="s">
        <v>184</v>
      </c>
      <c r="B61" s="84"/>
      <c r="C61" s="84"/>
      <c r="D61" s="488">
        <f>D55+D49</f>
        <v>826.50217709446429</v>
      </c>
      <c r="E61" s="488">
        <f t="shared" ref="E61:L61" si="12">E55+E49</f>
        <v>879.61380963699628</v>
      </c>
      <c r="F61" s="488">
        <f t="shared" si="12"/>
        <v>956.14362272027688</v>
      </c>
      <c r="G61" s="488">
        <f t="shared" si="12"/>
        <v>1009.4465906004666</v>
      </c>
      <c r="H61" s="488">
        <f t="shared" si="12"/>
        <v>1150.92763845172</v>
      </c>
      <c r="I61" s="488">
        <f t="shared" si="12"/>
        <v>1124.8014554802146</v>
      </c>
      <c r="J61" s="488">
        <f t="shared" si="12"/>
        <v>1136.714176058734</v>
      </c>
      <c r="K61" s="488">
        <f t="shared" si="12"/>
        <v>1112.2226581199691</v>
      </c>
      <c r="L61" s="488">
        <f t="shared" si="12"/>
        <v>1093.3987994633301</v>
      </c>
      <c r="M61" s="43"/>
      <c r="N61" s="43"/>
      <c r="O61" s="43"/>
      <c r="P61" s="43"/>
      <c r="Q61" s="43"/>
      <c r="R61" s="43"/>
      <c r="S61" s="43"/>
      <c r="T61" s="43"/>
    </row>
    <row r="62" spans="1:23">
      <c r="A62" s="83" t="s">
        <v>185</v>
      </c>
      <c r="B62" s="84"/>
      <c r="C62" s="84"/>
      <c r="D62" s="488">
        <f>D61/D25*100</f>
        <v>42.011254436166951</v>
      </c>
      <c r="E62" s="488">
        <f t="shared" ref="E62:L62" si="13">E61/E25*100</f>
        <v>39.743047358807857</v>
      </c>
      <c r="F62" s="488">
        <f t="shared" si="13"/>
        <v>38.880761962739676</v>
      </c>
      <c r="G62" s="488">
        <f t="shared" si="13"/>
        <v>37.316619567687944</v>
      </c>
      <c r="H62" s="488">
        <f t="shared" si="13"/>
        <v>39.001239356756216</v>
      </c>
      <c r="I62" s="488">
        <f t="shared" si="13"/>
        <v>38.115906967900884</v>
      </c>
      <c r="J62" s="488">
        <f t="shared" si="13"/>
        <v>38.519590788803818</v>
      </c>
      <c r="K62" s="488">
        <f t="shared" si="13"/>
        <v>37.68965194518978</v>
      </c>
      <c r="L62" s="488">
        <f t="shared" si="13"/>
        <v>37.051771862587067</v>
      </c>
      <c r="M62" s="43"/>
      <c r="N62" s="43"/>
      <c r="O62" s="43"/>
      <c r="P62" s="43"/>
      <c r="Q62" s="43"/>
      <c r="R62" s="43"/>
      <c r="S62" s="43"/>
      <c r="T62" s="43"/>
    </row>
    <row r="63" spans="1:23">
      <c r="A63" s="83" t="s">
        <v>186</v>
      </c>
      <c r="B63" s="84"/>
      <c r="C63" s="84"/>
      <c r="D63" s="489">
        <f>D59/D25*100</f>
        <v>19.026148984631696</v>
      </c>
      <c r="E63" s="489">
        <f t="shared" ref="E63:L63" si="14">E59/E25*100</f>
        <v>19.311842512998741</v>
      </c>
      <c r="F63" s="489">
        <f t="shared" si="14"/>
        <v>15.24088720976061</v>
      </c>
      <c r="G63" s="489">
        <f t="shared" si="14"/>
        <v>14.678958415075444</v>
      </c>
      <c r="H63" s="489">
        <f t="shared" si="14"/>
        <v>17.140669506137122</v>
      </c>
      <c r="I63" s="489">
        <f t="shared" si="14"/>
        <v>15.138658765090282</v>
      </c>
      <c r="J63" s="489">
        <f t="shared" si="14"/>
        <v>14.271270935644646</v>
      </c>
      <c r="K63" s="489">
        <f t="shared" si="14"/>
        <v>12.297052807916808</v>
      </c>
      <c r="L63" s="489" t="e">
        <f t="shared" si="14"/>
        <v>#VALUE!</v>
      </c>
      <c r="M63" s="43"/>
      <c r="N63" s="43"/>
      <c r="O63" s="43"/>
      <c r="P63" s="43"/>
      <c r="Q63" s="43"/>
      <c r="R63" s="43"/>
      <c r="S63" s="43"/>
      <c r="T63" s="43"/>
    </row>
    <row r="64" spans="1:23">
      <c r="A64" s="87" t="s">
        <v>187</v>
      </c>
      <c r="B64" s="88"/>
      <c r="C64" s="88"/>
      <c r="D64" s="490">
        <f>D59</f>
        <v>374.30811739780245</v>
      </c>
      <c r="E64" s="490">
        <f t="shared" ref="E64:J64" si="15">E59</f>
        <v>427.4197499403345</v>
      </c>
      <c r="F64" s="490">
        <f t="shared" si="15"/>
        <v>374.79916479457836</v>
      </c>
      <c r="G64" s="490">
        <f t="shared" si="15"/>
        <v>397.07842503757649</v>
      </c>
      <c r="H64" s="490">
        <f t="shared" si="15"/>
        <v>505.82162519823532</v>
      </c>
      <c r="I64" s="490">
        <f t="shared" si="15"/>
        <v>446.74223355964978</v>
      </c>
      <c r="J64" s="490">
        <f t="shared" si="15"/>
        <v>421.1455950263491</v>
      </c>
      <c r="K64" s="490">
        <f>K59</f>
        <v>362.88636416575946</v>
      </c>
      <c r="L64" s="490" t="e">
        <f>L59</f>
        <v>#VALUE!</v>
      </c>
      <c r="M64" s="43"/>
      <c r="N64" s="43"/>
      <c r="O64" s="43"/>
      <c r="P64" s="43"/>
      <c r="Q64" s="43"/>
      <c r="R64" s="43"/>
      <c r="S64" s="43"/>
      <c r="T64" s="43"/>
    </row>
    <row r="65" spans="1:20">
      <c r="D65" s="67"/>
      <c r="E65" s="67"/>
      <c r="F65" s="67"/>
      <c r="G65" s="67"/>
      <c r="H65" s="67"/>
      <c r="I65" s="67"/>
      <c r="J65" s="67"/>
      <c r="K65" s="67"/>
      <c r="L65" s="67"/>
      <c r="M65" s="67"/>
      <c r="N65" s="67"/>
      <c r="O65" s="67"/>
      <c r="P65" s="67"/>
      <c r="Q65" s="67"/>
      <c r="R65" s="67"/>
      <c r="S65" s="67"/>
      <c r="T65" s="43"/>
    </row>
    <row r="66" spans="1:20">
      <c r="A66" s="84" t="s">
        <v>188</v>
      </c>
      <c r="D66" s="67"/>
      <c r="E66" s="67"/>
      <c r="F66" s="67"/>
      <c r="G66" s="67"/>
      <c r="H66" s="67"/>
      <c r="I66" s="67"/>
      <c r="J66" s="67"/>
      <c r="K66" s="67"/>
      <c r="L66" s="67"/>
      <c r="M66" s="67"/>
      <c r="N66" s="67"/>
      <c r="O66" s="67"/>
      <c r="P66" s="67"/>
      <c r="Q66" s="67"/>
      <c r="R66" s="67"/>
      <c r="S66" s="67"/>
      <c r="T66" s="43"/>
    </row>
    <row r="67" spans="1:20">
      <c r="A67" s="84" t="s">
        <v>189</v>
      </c>
      <c r="D67" s="67">
        <f>(D59+D49+D46)</f>
        <v>1066.6146770944642</v>
      </c>
      <c r="E67" s="67">
        <f t="shared" ref="E67:K67" si="16">(E59+E49+E46)</f>
        <v>1097.4013096369963</v>
      </c>
      <c r="F67" s="67">
        <f t="shared" si="16"/>
        <v>1013.6682244912402</v>
      </c>
      <c r="G67" s="67">
        <f t="shared" si="16"/>
        <v>996.52248473423833</v>
      </c>
      <c r="H67" s="67">
        <f t="shared" si="16"/>
        <v>1057.053184894897</v>
      </c>
      <c r="I67" s="67">
        <f t="shared" si="16"/>
        <v>944.0612932563115</v>
      </c>
      <c r="J67" s="67">
        <f t="shared" si="16"/>
        <v>875.71465472301088</v>
      </c>
      <c r="K67" s="67">
        <f t="shared" si="16"/>
        <v>815.08042386242118</v>
      </c>
      <c r="L67" s="67" t="e">
        <f>(L59+L49+L46)</f>
        <v>#VALUE!</v>
      </c>
      <c r="M67" s="67"/>
      <c r="N67" s="67"/>
      <c r="O67" s="67"/>
      <c r="P67" s="67"/>
      <c r="Q67" s="67"/>
      <c r="R67" s="67"/>
      <c r="S67" s="67"/>
      <c r="T67" s="43"/>
    </row>
    <row r="68" spans="1:20">
      <c r="A68" s="84" t="s">
        <v>190</v>
      </c>
      <c r="D68" s="67" t="e">
        <f>#REF!</f>
        <v>#REF!</v>
      </c>
      <c r="E68" s="67" t="e">
        <f>#REF!</f>
        <v>#REF!</v>
      </c>
      <c r="F68" s="67" t="e">
        <f>#REF!</f>
        <v>#REF!</v>
      </c>
      <c r="G68" s="67" t="e">
        <f>#REF!</f>
        <v>#REF!</v>
      </c>
      <c r="H68" s="67" t="e">
        <f>#REF!</f>
        <v>#REF!</v>
      </c>
      <c r="I68" s="67" t="e">
        <f>#REF!</f>
        <v>#REF!</v>
      </c>
      <c r="J68" s="67" t="e">
        <f>#REF!</f>
        <v>#REF!</v>
      </c>
      <c r="K68" s="67" t="e">
        <f>#REF!</f>
        <v>#REF!</v>
      </c>
      <c r="L68" s="67" t="e">
        <f>#REF!</f>
        <v>#REF!</v>
      </c>
      <c r="M68" s="67"/>
      <c r="N68" s="67"/>
      <c r="O68" s="67"/>
      <c r="P68" s="67"/>
      <c r="Q68" s="67"/>
      <c r="R68" s="67"/>
      <c r="S68" s="67"/>
      <c r="T68" s="43"/>
    </row>
    <row r="69" spans="1:20">
      <c r="D69" s="67" t="e">
        <f>D67/D68</f>
        <v>#REF!</v>
      </c>
      <c r="E69" s="67" t="e">
        <f t="shared" ref="E69:K69" si="17">E67/E68</f>
        <v>#REF!</v>
      </c>
      <c r="F69" s="67" t="e">
        <f t="shared" si="17"/>
        <v>#REF!</v>
      </c>
      <c r="G69" s="67" t="e">
        <f t="shared" si="17"/>
        <v>#REF!</v>
      </c>
      <c r="H69" s="67" t="e">
        <f t="shared" si="17"/>
        <v>#REF!</v>
      </c>
      <c r="I69" s="67" t="e">
        <f t="shared" si="17"/>
        <v>#REF!</v>
      </c>
      <c r="J69" s="67" t="e">
        <f t="shared" si="17"/>
        <v>#REF!</v>
      </c>
      <c r="K69" s="67" t="e">
        <f t="shared" si="17"/>
        <v>#REF!</v>
      </c>
      <c r="L69" s="67" t="e">
        <f>L67/L68</f>
        <v>#VALUE!</v>
      </c>
      <c r="M69" s="67"/>
      <c r="N69" s="67"/>
      <c r="O69" s="67"/>
      <c r="P69" s="67"/>
      <c r="Q69" s="67"/>
      <c r="R69" s="67"/>
      <c r="S69" s="67"/>
      <c r="T69" s="43"/>
    </row>
    <row r="70" spans="1:20">
      <c r="D70" s="67"/>
      <c r="E70" s="67"/>
      <c r="F70" s="67"/>
      <c r="G70" s="67"/>
      <c r="H70" s="67"/>
      <c r="I70" s="67"/>
      <c r="J70" s="67"/>
      <c r="K70" s="67"/>
      <c r="L70" s="67"/>
      <c r="M70" s="67"/>
      <c r="N70" s="67"/>
      <c r="O70" s="67"/>
      <c r="P70" s="67"/>
      <c r="Q70" s="67"/>
      <c r="R70" s="67"/>
      <c r="S70" s="67"/>
      <c r="T70" s="43"/>
    </row>
    <row r="71" spans="1:20">
      <c r="D71" s="67" t="e">
        <f>AVERAGE(D69:K69)</f>
        <v>#REF!</v>
      </c>
      <c r="E71" s="67"/>
      <c r="F71" s="67"/>
      <c r="G71" s="67"/>
      <c r="H71" s="67"/>
      <c r="I71" s="67"/>
      <c r="J71" s="67"/>
      <c r="K71" s="67"/>
      <c r="L71" s="67"/>
      <c r="M71" s="67"/>
      <c r="N71" s="67"/>
      <c r="O71" s="67"/>
      <c r="P71" s="67"/>
      <c r="Q71" s="67"/>
      <c r="R71" s="67"/>
      <c r="S71" s="67"/>
      <c r="T71" s="43"/>
    </row>
    <row r="72" spans="1:20">
      <c r="D72" s="67"/>
      <c r="E72" s="67"/>
      <c r="F72" s="67"/>
      <c r="G72" s="67"/>
      <c r="H72" s="67"/>
      <c r="I72" s="67"/>
      <c r="J72" s="67"/>
      <c r="K72" s="67"/>
      <c r="L72" s="67"/>
      <c r="M72" s="67"/>
      <c r="N72" s="67"/>
      <c r="O72" s="67"/>
      <c r="P72" s="67"/>
      <c r="Q72" s="67"/>
      <c r="R72" s="67"/>
      <c r="S72" s="67"/>
      <c r="T72" s="43"/>
    </row>
    <row r="73" spans="1:20">
      <c r="D73" s="67"/>
      <c r="E73" s="67"/>
      <c r="F73" s="67"/>
      <c r="G73" s="67"/>
      <c r="H73" s="67"/>
      <c r="I73" s="67"/>
      <c r="J73" s="67"/>
      <c r="K73" s="67"/>
      <c r="L73" s="67"/>
      <c r="M73" s="67"/>
      <c r="N73" s="67"/>
      <c r="O73" s="67"/>
      <c r="P73" s="67"/>
      <c r="Q73" s="67"/>
      <c r="R73" s="67"/>
      <c r="S73" s="67"/>
      <c r="T73" s="43"/>
    </row>
    <row r="74" spans="1:20">
      <c r="D74" s="67"/>
      <c r="E74" s="67"/>
      <c r="F74" s="67"/>
      <c r="G74" s="67"/>
      <c r="H74" s="67"/>
      <c r="I74" s="67"/>
      <c r="J74" s="67"/>
      <c r="K74" s="67"/>
      <c r="L74" s="67"/>
      <c r="M74" s="67"/>
      <c r="N74" s="67"/>
      <c r="O74" s="67"/>
      <c r="P74" s="67"/>
      <c r="Q74" s="67"/>
      <c r="R74" s="67"/>
      <c r="S74" s="67"/>
      <c r="T74" s="43"/>
    </row>
    <row r="75" spans="1:20">
      <c r="D75" s="67"/>
      <c r="E75" s="67"/>
      <c r="F75" s="67"/>
      <c r="G75" s="67"/>
      <c r="H75" s="67"/>
      <c r="I75" s="67"/>
      <c r="J75" s="67"/>
      <c r="K75" s="67"/>
      <c r="L75" s="67"/>
      <c r="M75" s="67"/>
      <c r="N75" s="67"/>
      <c r="O75" s="67"/>
      <c r="P75" s="67"/>
      <c r="Q75" s="67"/>
      <c r="R75" s="67"/>
      <c r="S75" s="67"/>
      <c r="T75" s="43"/>
    </row>
    <row r="76" spans="1:20">
      <c r="D76" s="67"/>
      <c r="E76" s="67"/>
      <c r="F76" s="67"/>
      <c r="G76" s="67"/>
      <c r="H76" s="67"/>
      <c r="I76" s="67"/>
      <c r="J76" s="67"/>
      <c r="K76" s="67"/>
      <c r="L76" s="67"/>
      <c r="M76" s="67"/>
      <c r="N76" s="67"/>
      <c r="O76" s="67"/>
      <c r="P76" s="67"/>
      <c r="Q76" s="67"/>
      <c r="R76" s="67"/>
      <c r="S76" s="67"/>
      <c r="T76" s="43"/>
    </row>
    <row r="77" spans="1:20">
      <c r="D77" s="67"/>
      <c r="E77" s="67"/>
      <c r="F77" s="67"/>
      <c r="G77" s="67"/>
      <c r="H77" s="67"/>
      <c r="I77" s="67"/>
      <c r="J77" s="67"/>
      <c r="K77" s="67"/>
      <c r="L77" s="67"/>
      <c r="M77" s="67"/>
      <c r="N77" s="67"/>
      <c r="O77" s="67"/>
      <c r="P77" s="67"/>
      <c r="Q77" s="67"/>
      <c r="R77" s="67"/>
      <c r="S77" s="67"/>
      <c r="T77" s="43"/>
    </row>
    <row r="78" spans="1:20">
      <c r="D78" s="67"/>
      <c r="E78" s="67"/>
      <c r="F78" s="67"/>
      <c r="G78" s="67"/>
      <c r="H78" s="67"/>
      <c r="I78" s="67"/>
      <c r="J78" s="67"/>
      <c r="K78" s="67"/>
      <c r="L78" s="67"/>
      <c r="M78" s="67"/>
      <c r="N78" s="67"/>
      <c r="O78" s="67"/>
      <c r="P78" s="67"/>
      <c r="Q78" s="67"/>
      <c r="R78" s="67"/>
      <c r="S78" s="67"/>
      <c r="T78" s="43"/>
    </row>
    <row r="79" spans="1:20">
      <c r="D79" s="67"/>
      <c r="E79" s="67"/>
      <c r="F79" s="67"/>
      <c r="G79" s="67"/>
      <c r="H79" s="67"/>
      <c r="I79" s="67"/>
      <c r="J79" s="67"/>
      <c r="K79" s="67"/>
      <c r="L79" s="67"/>
      <c r="M79" s="67"/>
      <c r="N79" s="67"/>
      <c r="O79" s="67"/>
      <c r="P79" s="67"/>
      <c r="Q79" s="67"/>
      <c r="R79" s="67"/>
      <c r="S79" s="67"/>
      <c r="T79" s="43"/>
    </row>
    <row r="80" spans="1:20">
      <c r="D80" s="67"/>
      <c r="E80" s="67"/>
      <c r="F80" s="67"/>
      <c r="G80" s="67"/>
      <c r="H80" s="67"/>
      <c r="I80" s="67"/>
      <c r="J80" s="67"/>
      <c r="K80" s="67"/>
      <c r="L80" s="67"/>
      <c r="M80" s="67"/>
      <c r="N80" s="67"/>
      <c r="O80" s="67"/>
      <c r="P80" s="67"/>
      <c r="Q80" s="67"/>
      <c r="R80" s="67"/>
      <c r="S80" s="67"/>
      <c r="T80" s="43"/>
    </row>
    <row r="81" spans="4:20">
      <c r="D81" s="67"/>
      <c r="E81" s="67"/>
      <c r="F81" s="67"/>
      <c r="G81" s="67"/>
      <c r="H81" s="67"/>
      <c r="I81" s="67"/>
      <c r="J81" s="67"/>
      <c r="K81" s="67"/>
      <c r="L81" s="67"/>
      <c r="M81" s="67"/>
      <c r="N81" s="67"/>
      <c r="O81" s="67"/>
      <c r="P81" s="67"/>
      <c r="Q81" s="67"/>
      <c r="R81" s="67"/>
      <c r="S81" s="67"/>
      <c r="T81" s="43"/>
    </row>
    <row r="82" spans="4:20">
      <c r="D82" s="67"/>
      <c r="E82" s="67"/>
      <c r="F82" s="67"/>
      <c r="G82" s="67"/>
      <c r="H82" s="67"/>
      <c r="I82" s="67"/>
      <c r="J82" s="67"/>
      <c r="K82" s="67"/>
      <c r="L82" s="67"/>
      <c r="M82" s="67"/>
      <c r="N82" s="67"/>
      <c r="O82" s="67"/>
      <c r="P82" s="67"/>
      <c r="Q82" s="67"/>
      <c r="R82" s="67"/>
      <c r="S82" s="67"/>
      <c r="T82" s="43"/>
    </row>
    <row r="83" spans="4:20">
      <c r="D83" s="67"/>
      <c r="E83" s="67"/>
      <c r="F83" s="67"/>
      <c r="G83" s="67"/>
      <c r="H83" s="67"/>
      <c r="I83" s="67"/>
      <c r="J83" s="67"/>
      <c r="K83" s="67"/>
      <c r="L83" s="67"/>
      <c r="M83" s="67"/>
      <c r="N83" s="67"/>
      <c r="O83" s="67"/>
      <c r="P83" s="67"/>
      <c r="Q83" s="67"/>
      <c r="R83" s="67"/>
      <c r="S83" s="67"/>
      <c r="T83" s="43"/>
    </row>
    <row r="84" spans="4:20">
      <c r="D84" s="67"/>
      <c r="E84" s="67"/>
      <c r="F84" s="67"/>
      <c r="G84" s="67"/>
      <c r="H84" s="67"/>
      <c r="I84" s="67"/>
      <c r="J84" s="67"/>
      <c r="K84" s="67"/>
      <c r="L84" s="67"/>
      <c r="M84" s="67"/>
      <c r="N84" s="67"/>
      <c r="O84" s="67"/>
      <c r="P84" s="67"/>
      <c r="Q84" s="67"/>
      <c r="R84" s="67"/>
      <c r="S84" s="67"/>
      <c r="T84" s="43"/>
    </row>
    <row r="85" spans="4:20">
      <c r="D85" s="67"/>
      <c r="E85" s="67"/>
      <c r="F85" s="67"/>
      <c r="G85" s="67"/>
      <c r="H85" s="67"/>
      <c r="I85" s="67"/>
      <c r="J85" s="67"/>
      <c r="K85" s="67"/>
      <c r="L85" s="67"/>
      <c r="M85" s="67"/>
      <c r="N85" s="67"/>
      <c r="O85" s="67"/>
      <c r="P85" s="67"/>
      <c r="Q85" s="67"/>
      <c r="R85" s="67"/>
      <c r="S85" s="67"/>
      <c r="T85" s="43"/>
    </row>
    <row r="86" spans="4:20">
      <c r="D86" s="67"/>
      <c r="E86" s="67"/>
      <c r="F86" s="67"/>
      <c r="G86" s="67"/>
      <c r="H86" s="67"/>
      <c r="I86" s="67"/>
      <c r="J86" s="67"/>
      <c r="K86" s="67"/>
      <c r="L86" s="67"/>
      <c r="M86" s="67"/>
      <c r="N86" s="67"/>
      <c r="O86" s="67"/>
      <c r="P86" s="67"/>
      <c r="Q86" s="67"/>
      <c r="R86" s="67"/>
      <c r="S86" s="67"/>
      <c r="T86" s="43"/>
    </row>
    <row r="87" spans="4:20">
      <c r="D87" s="67"/>
      <c r="E87" s="67"/>
      <c r="F87" s="67"/>
      <c r="G87" s="67"/>
      <c r="H87" s="67"/>
      <c r="I87" s="67"/>
      <c r="J87" s="67"/>
      <c r="K87" s="67"/>
      <c r="L87" s="67"/>
      <c r="M87" s="67"/>
      <c r="N87" s="67"/>
      <c r="O87" s="67"/>
      <c r="P87" s="67"/>
      <c r="Q87" s="67"/>
      <c r="R87" s="67"/>
      <c r="S87" s="67"/>
      <c r="T87" s="43"/>
    </row>
    <row r="88" spans="4:20">
      <c r="D88" s="67"/>
      <c r="E88" s="67"/>
      <c r="F88" s="67"/>
      <c r="G88" s="67"/>
      <c r="H88" s="67"/>
      <c r="I88" s="67"/>
      <c r="J88" s="67"/>
      <c r="K88" s="67"/>
      <c r="L88" s="67"/>
      <c r="M88" s="67"/>
      <c r="N88" s="67"/>
      <c r="O88" s="67"/>
      <c r="P88" s="67"/>
      <c r="Q88" s="67"/>
      <c r="R88" s="67"/>
      <c r="S88" s="67"/>
      <c r="T88" s="43"/>
    </row>
    <row r="89" spans="4:20">
      <c r="D89" s="67"/>
      <c r="E89" s="67"/>
      <c r="F89" s="67"/>
      <c r="G89" s="67"/>
      <c r="H89" s="67"/>
      <c r="I89" s="67"/>
      <c r="J89" s="67"/>
      <c r="K89" s="67"/>
      <c r="L89" s="67"/>
      <c r="M89" s="67"/>
      <c r="N89" s="67"/>
      <c r="O89" s="67"/>
      <c r="P89" s="67"/>
      <c r="Q89" s="67"/>
      <c r="R89" s="67"/>
      <c r="S89" s="67"/>
      <c r="T89" s="43"/>
    </row>
    <row r="90" spans="4:20">
      <c r="D90" s="67"/>
      <c r="E90" s="67"/>
      <c r="F90" s="67"/>
      <c r="G90" s="67"/>
      <c r="H90" s="67"/>
      <c r="I90" s="67"/>
      <c r="J90" s="67"/>
      <c r="K90" s="67"/>
      <c r="L90" s="67"/>
      <c r="M90" s="67"/>
      <c r="N90" s="67"/>
      <c r="O90" s="67"/>
      <c r="P90" s="67"/>
      <c r="Q90" s="67"/>
      <c r="R90" s="67"/>
      <c r="S90" s="67"/>
      <c r="T90" s="43"/>
    </row>
    <row r="91" spans="4:20">
      <c r="D91" s="67"/>
      <c r="E91" s="67"/>
      <c r="F91" s="67"/>
      <c r="G91" s="67"/>
      <c r="H91" s="67"/>
      <c r="I91" s="67"/>
      <c r="J91" s="67"/>
      <c r="K91" s="67"/>
      <c r="L91" s="67"/>
      <c r="M91" s="67"/>
      <c r="N91" s="67"/>
      <c r="O91" s="67"/>
      <c r="P91" s="67"/>
      <c r="Q91" s="67"/>
      <c r="R91" s="67"/>
      <c r="S91" s="67"/>
      <c r="T91" s="43"/>
    </row>
    <row r="92" spans="4:20">
      <c r="D92" s="67"/>
      <c r="E92" s="67"/>
      <c r="F92" s="67"/>
      <c r="G92" s="67"/>
      <c r="H92" s="67"/>
      <c r="I92" s="67"/>
      <c r="J92" s="67"/>
      <c r="K92" s="67"/>
      <c r="L92" s="67"/>
      <c r="M92" s="67"/>
      <c r="N92" s="67"/>
      <c r="O92" s="67"/>
      <c r="P92" s="67"/>
      <c r="Q92" s="67"/>
      <c r="R92" s="67"/>
      <c r="S92" s="67"/>
      <c r="T92" s="43"/>
    </row>
    <row r="93" spans="4:20">
      <c r="D93" s="67"/>
      <c r="E93" s="67"/>
      <c r="F93" s="67"/>
      <c r="G93" s="67"/>
      <c r="H93" s="67"/>
      <c r="I93" s="67"/>
      <c r="J93" s="67"/>
      <c r="K93" s="67"/>
      <c r="L93" s="67"/>
      <c r="M93" s="67"/>
      <c r="N93" s="67"/>
      <c r="O93" s="67"/>
      <c r="P93" s="67"/>
      <c r="Q93" s="67"/>
      <c r="R93" s="67"/>
      <c r="S93" s="67"/>
      <c r="T93" s="43"/>
    </row>
    <row r="94" spans="4:20">
      <c r="D94" s="67"/>
      <c r="E94" s="67"/>
      <c r="F94" s="67"/>
      <c r="G94" s="67"/>
      <c r="H94" s="67"/>
      <c r="I94" s="67"/>
      <c r="J94" s="67"/>
      <c r="K94" s="67"/>
      <c r="L94" s="67"/>
      <c r="M94" s="67"/>
      <c r="N94" s="67"/>
      <c r="O94" s="67"/>
      <c r="P94" s="67"/>
      <c r="Q94" s="67"/>
      <c r="R94" s="67"/>
      <c r="S94" s="67"/>
      <c r="T94" s="43"/>
    </row>
    <row r="95" spans="4:20">
      <c r="D95" s="67"/>
      <c r="E95" s="67"/>
      <c r="F95" s="67"/>
      <c r="G95" s="67"/>
      <c r="H95" s="67"/>
      <c r="I95" s="67"/>
      <c r="J95" s="67"/>
      <c r="K95" s="67"/>
      <c r="L95" s="67"/>
      <c r="M95" s="67"/>
      <c r="N95" s="67"/>
      <c r="O95" s="67"/>
      <c r="P95" s="67"/>
      <c r="Q95" s="67"/>
      <c r="R95" s="67"/>
      <c r="S95" s="67"/>
      <c r="T95" s="43"/>
    </row>
    <row r="96" spans="4:20">
      <c r="D96" s="67"/>
      <c r="E96" s="67"/>
      <c r="F96" s="67"/>
      <c r="G96" s="67"/>
      <c r="H96" s="67"/>
      <c r="I96" s="67"/>
      <c r="J96" s="67"/>
      <c r="K96" s="67"/>
      <c r="L96" s="67"/>
      <c r="M96" s="67"/>
      <c r="N96" s="67"/>
      <c r="O96" s="67"/>
      <c r="P96" s="67"/>
      <c r="Q96" s="67"/>
      <c r="R96" s="67"/>
      <c r="S96" s="67"/>
      <c r="T96" s="43"/>
    </row>
    <row r="97" spans="4:20">
      <c r="D97" s="67"/>
      <c r="E97" s="67"/>
      <c r="F97" s="67"/>
      <c r="G97" s="67"/>
      <c r="H97" s="67"/>
      <c r="I97" s="67"/>
      <c r="J97" s="67"/>
      <c r="K97" s="67"/>
      <c r="L97" s="67"/>
      <c r="M97" s="67"/>
      <c r="N97" s="67"/>
      <c r="O97" s="67"/>
      <c r="P97" s="67"/>
      <c r="Q97" s="67"/>
      <c r="R97" s="67"/>
      <c r="S97" s="67"/>
      <c r="T97" s="43"/>
    </row>
    <row r="98" spans="4:20">
      <c r="D98" s="67"/>
      <c r="E98" s="67"/>
      <c r="F98" s="67"/>
      <c r="G98" s="67"/>
      <c r="H98" s="67"/>
      <c r="I98" s="67"/>
      <c r="J98" s="67"/>
      <c r="K98" s="67"/>
      <c r="L98" s="67"/>
      <c r="M98" s="67"/>
      <c r="N98" s="67"/>
      <c r="O98" s="67"/>
      <c r="P98" s="67"/>
      <c r="Q98" s="67"/>
      <c r="R98" s="67"/>
      <c r="S98" s="67"/>
      <c r="T98" s="43"/>
    </row>
    <row r="99" spans="4:20">
      <c r="D99" s="67"/>
      <c r="E99" s="67"/>
      <c r="F99" s="67"/>
      <c r="G99" s="67"/>
      <c r="H99" s="67"/>
      <c r="I99" s="67"/>
      <c r="J99" s="67"/>
      <c r="K99" s="67"/>
      <c r="L99" s="67"/>
      <c r="M99" s="67"/>
      <c r="N99" s="67"/>
      <c r="O99" s="67"/>
      <c r="P99" s="67"/>
      <c r="Q99" s="67"/>
      <c r="R99" s="67"/>
      <c r="S99" s="67"/>
      <c r="T99" s="43"/>
    </row>
    <row r="100" spans="4:20">
      <c r="D100" s="67"/>
      <c r="E100" s="67"/>
      <c r="F100" s="67"/>
      <c r="G100" s="67"/>
      <c r="H100" s="67"/>
      <c r="I100" s="67"/>
      <c r="J100" s="67"/>
      <c r="K100" s="67"/>
      <c r="L100" s="67"/>
      <c r="M100" s="67"/>
      <c r="N100" s="67"/>
      <c r="O100" s="67"/>
      <c r="P100" s="67"/>
      <c r="Q100" s="67"/>
      <c r="R100" s="67"/>
      <c r="S100" s="67"/>
      <c r="T100" s="43"/>
    </row>
    <row r="101" spans="4:20">
      <c r="D101" s="67"/>
      <c r="E101" s="67"/>
      <c r="F101" s="67"/>
      <c r="G101" s="67"/>
      <c r="H101" s="67"/>
      <c r="I101" s="67"/>
      <c r="J101" s="67"/>
      <c r="K101" s="67"/>
      <c r="L101" s="67"/>
      <c r="M101" s="67"/>
      <c r="N101" s="67"/>
      <c r="O101" s="67"/>
      <c r="P101" s="67"/>
      <c r="Q101" s="67"/>
      <c r="R101" s="67"/>
      <c r="S101" s="67"/>
      <c r="T101" s="43"/>
    </row>
    <row r="102" spans="4:20">
      <c r="D102" s="67"/>
      <c r="E102" s="67"/>
      <c r="F102" s="67"/>
      <c r="G102" s="67"/>
      <c r="H102" s="67"/>
      <c r="I102" s="67"/>
      <c r="J102" s="67"/>
      <c r="K102" s="67"/>
      <c r="L102" s="67"/>
      <c r="M102" s="67"/>
      <c r="N102" s="67"/>
      <c r="O102" s="67"/>
      <c r="P102" s="67"/>
      <c r="Q102" s="67"/>
      <c r="R102" s="67"/>
      <c r="S102" s="67"/>
      <c r="T102" s="43"/>
    </row>
    <row r="103" spans="4:20">
      <c r="D103" s="67"/>
      <c r="E103" s="67"/>
      <c r="F103" s="67"/>
      <c r="G103" s="67"/>
      <c r="H103" s="67"/>
      <c r="I103" s="67"/>
      <c r="J103" s="67"/>
      <c r="K103" s="67"/>
      <c r="L103" s="67"/>
      <c r="M103" s="67"/>
      <c r="N103" s="67"/>
      <c r="O103" s="67"/>
      <c r="P103" s="67"/>
      <c r="Q103" s="67"/>
      <c r="R103" s="67"/>
      <c r="S103" s="67"/>
      <c r="T103" s="43"/>
    </row>
    <row r="104" spans="4:20">
      <c r="D104" s="67"/>
      <c r="E104" s="67"/>
      <c r="F104" s="67"/>
      <c r="G104" s="67"/>
      <c r="H104" s="67"/>
      <c r="I104" s="67"/>
      <c r="J104" s="67"/>
      <c r="K104" s="67"/>
      <c r="L104" s="67"/>
      <c r="M104" s="67"/>
      <c r="N104" s="67"/>
      <c r="O104" s="67"/>
      <c r="P104" s="67"/>
      <c r="Q104" s="67"/>
      <c r="R104" s="67"/>
      <c r="S104" s="67"/>
      <c r="T104" s="43"/>
    </row>
    <row r="105" spans="4:20">
      <c r="D105" s="67"/>
      <c r="E105" s="67"/>
      <c r="F105" s="67"/>
      <c r="G105" s="67"/>
      <c r="H105" s="67"/>
      <c r="I105" s="67"/>
      <c r="J105" s="67"/>
      <c r="K105" s="67"/>
      <c r="L105" s="67"/>
      <c r="M105" s="67"/>
      <c r="N105" s="67"/>
      <c r="O105" s="67"/>
      <c r="P105" s="67"/>
      <c r="Q105" s="67"/>
      <c r="R105" s="67"/>
      <c r="S105" s="67"/>
      <c r="T105" s="43"/>
    </row>
    <row r="106" spans="4:20">
      <c r="D106" s="67"/>
      <c r="E106" s="67"/>
      <c r="F106" s="67"/>
      <c r="G106" s="67"/>
      <c r="H106" s="67"/>
      <c r="I106" s="67"/>
      <c r="J106" s="67"/>
      <c r="K106" s="67"/>
      <c r="L106" s="67"/>
      <c r="M106" s="67"/>
      <c r="N106" s="67"/>
      <c r="O106" s="67"/>
      <c r="P106" s="67"/>
      <c r="Q106" s="67"/>
      <c r="R106" s="67"/>
      <c r="S106" s="67"/>
      <c r="T106" s="67"/>
    </row>
    <row r="107" spans="4:20">
      <c r="D107" s="67"/>
      <c r="E107" s="67"/>
      <c r="F107" s="67"/>
      <c r="G107" s="67"/>
      <c r="H107" s="67"/>
      <c r="I107" s="67"/>
      <c r="J107" s="67"/>
      <c r="K107" s="67"/>
      <c r="L107" s="67"/>
      <c r="M107" s="67"/>
      <c r="N107" s="67"/>
      <c r="O107" s="67"/>
      <c r="P107" s="67"/>
      <c r="Q107" s="67"/>
      <c r="R107" s="67"/>
      <c r="S107" s="67"/>
      <c r="T107" s="67"/>
    </row>
    <row r="108" spans="4:20">
      <c r="D108" s="67"/>
      <c r="E108" s="67"/>
      <c r="F108" s="67"/>
      <c r="G108" s="67"/>
      <c r="H108" s="67"/>
      <c r="I108" s="67"/>
      <c r="J108" s="67"/>
      <c r="K108" s="67"/>
      <c r="L108" s="67"/>
      <c r="M108" s="67"/>
      <c r="N108" s="67"/>
      <c r="O108" s="67"/>
      <c r="P108" s="67"/>
      <c r="Q108" s="67"/>
      <c r="R108" s="67"/>
      <c r="S108" s="67"/>
      <c r="T108" s="67"/>
    </row>
    <row r="109" spans="4:20">
      <c r="D109" s="67"/>
      <c r="E109" s="67"/>
      <c r="F109" s="67"/>
      <c r="G109" s="67"/>
      <c r="H109" s="67"/>
      <c r="I109" s="67"/>
      <c r="J109" s="67"/>
      <c r="K109" s="67"/>
      <c r="L109" s="67"/>
      <c r="M109" s="67"/>
      <c r="N109" s="67"/>
      <c r="O109" s="67"/>
      <c r="P109" s="67"/>
      <c r="Q109" s="67"/>
      <c r="R109" s="67"/>
      <c r="S109" s="67"/>
      <c r="T109" s="67"/>
    </row>
    <row r="118" spans="4:12">
      <c r="D118" s="67">
        <f>D55+D49</f>
        <v>826.50217709446429</v>
      </c>
      <c r="E118" s="67">
        <f t="shared" ref="E118:K118" si="18">E55+E49</f>
        <v>879.61380963699628</v>
      </c>
      <c r="F118" s="67">
        <f t="shared" si="18"/>
        <v>956.14362272027688</v>
      </c>
      <c r="G118" s="67">
        <f t="shared" si="18"/>
        <v>1009.4465906004666</v>
      </c>
      <c r="H118" s="67">
        <f t="shared" si="18"/>
        <v>1150.92763845172</v>
      </c>
      <c r="I118" s="67">
        <f t="shared" si="18"/>
        <v>1124.8014554802146</v>
      </c>
      <c r="J118" s="67">
        <f t="shared" si="18"/>
        <v>1136.714176058734</v>
      </c>
      <c r="K118" s="67">
        <f t="shared" si="18"/>
        <v>1112.2226581199691</v>
      </c>
      <c r="L118" s="67">
        <f>L55+L49</f>
        <v>1093.3987994633301</v>
      </c>
    </row>
    <row r="119" spans="4:12">
      <c r="D119" s="67"/>
      <c r="E119" s="67"/>
      <c r="F119" s="67"/>
      <c r="G119" s="67"/>
      <c r="H119" s="67"/>
      <c r="I119" s="67"/>
      <c r="J119" s="67"/>
      <c r="K119" s="67"/>
      <c r="L119" s="67"/>
    </row>
    <row r="120" spans="4:12">
      <c r="D120" s="67">
        <f>D118/D25*100</f>
        <v>42.011254436166951</v>
      </c>
      <c r="E120" s="67">
        <f t="shared" ref="E120:K120" si="19">E118/E25*100</f>
        <v>39.743047358807857</v>
      </c>
      <c r="F120" s="67">
        <f t="shared" si="19"/>
        <v>38.880761962739676</v>
      </c>
      <c r="G120" s="67">
        <f t="shared" si="19"/>
        <v>37.316619567687944</v>
      </c>
      <c r="H120" s="67">
        <f t="shared" si="19"/>
        <v>39.001239356756216</v>
      </c>
      <c r="I120" s="67">
        <f t="shared" si="19"/>
        <v>38.115906967900884</v>
      </c>
      <c r="J120" s="67">
        <f t="shared" si="19"/>
        <v>38.519590788803818</v>
      </c>
      <c r="K120" s="67">
        <f t="shared" si="19"/>
        <v>37.68965194518978</v>
      </c>
      <c r="L120" s="67">
        <f>L118/L25*100</f>
        <v>37.051771862587067</v>
      </c>
    </row>
    <row r="121" spans="4:12">
      <c r="D121" s="67"/>
      <c r="E121" s="67"/>
      <c r="F121" s="67"/>
      <c r="G121" s="67"/>
      <c r="H121" s="67"/>
      <c r="I121" s="67"/>
      <c r="J121" s="67"/>
      <c r="K121" s="67"/>
      <c r="L121" s="67"/>
    </row>
    <row r="122" spans="4:12">
      <c r="D122" s="67">
        <f>D49+D46+D55</f>
        <v>1066.6146770944642</v>
      </c>
      <c r="E122" s="67">
        <f t="shared" ref="E122:K122" si="20">E49+E46+E55</f>
        <v>1097.4013096369963</v>
      </c>
      <c r="F122" s="67">
        <f t="shared" si="20"/>
        <v>1142.8186227202768</v>
      </c>
      <c r="G122" s="67">
        <f t="shared" si="20"/>
        <v>1156.6965906004666</v>
      </c>
      <c r="H122" s="67">
        <f t="shared" si="20"/>
        <v>1249.9651384517201</v>
      </c>
      <c r="I122" s="67">
        <f t="shared" si="20"/>
        <v>1169.9264554802146</v>
      </c>
      <c r="J122" s="67">
        <f t="shared" si="20"/>
        <v>1139.089176058734</v>
      </c>
      <c r="K122" s="67">
        <f t="shared" si="20"/>
        <v>1112.2226581199691</v>
      </c>
      <c r="L122" s="67">
        <f>L49+L46+L55</f>
        <v>1093.3987994633301</v>
      </c>
    </row>
    <row r="123" spans="4:12">
      <c r="D123" s="67"/>
      <c r="E123" s="67"/>
      <c r="F123" s="67"/>
      <c r="G123" s="67"/>
      <c r="H123" s="67"/>
      <c r="I123" s="67"/>
      <c r="J123" s="67"/>
      <c r="K123" s="67"/>
      <c r="L123" s="67"/>
    </row>
    <row r="124" spans="4:12">
      <c r="D124" s="67">
        <f>D122/D25*100</f>
        <v>54.216216032597451</v>
      </c>
      <c r="E124" s="67">
        <f t="shared" ref="E124:J124" si="21">E122/E25*100</f>
        <v>49.583205427981845</v>
      </c>
      <c r="F124" s="67">
        <f t="shared" si="21"/>
        <v>46.471741044673898</v>
      </c>
      <c r="G124" s="67">
        <f t="shared" si="21"/>
        <v>42.760069753668994</v>
      </c>
      <c r="H124" s="67">
        <f t="shared" si="21"/>
        <v>42.357301991580826</v>
      </c>
      <c r="I124" s="67">
        <f t="shared" si="21"/>
        <v>39.645048216382115</v>
      </c>
      <c r="J124" s="67">
        <f t="shared" si="21"/>
        <v>38.600071907144937</v>
      </c>
      <c r="K124" s="67">
        <f>K122/K25*100</f>
        <v>37.68965194518978</v>
      </c>
      <c r="L124" s="67">
        <f>L122/L25*100</f>
        <v>37.051771862587067</v>
      </c>
    </row>
    <row r="126" spans="4:12">
      <c r="D126" s="67">
        <f>D46+D49</f>
        <v>692.30655969666179</v>
      </c>
      <c r="E126" s="67">
        <f t="shared" ref="E126:K126" si="22">E46+E49</f>
        <v>669.98155969666186</v>
      </c>
      <c r="F126" s="67">
        <f t="shared" si="22"/>
        <v>638.86905969666179</v>
      </c>
      <c r="G126" s="67">
        <f t="shared" si="22"/>
        <v>599.44405969666184</v>
      </c>
      <c r="H126" s="67">
        <f t="shared" si="22"/>
        <v>551.23155969666175</v>
      </c>
      <c r="I126" s="67">
        <f t="shared" si="22"/>
        <v>497.31905969666178</v>
      </c>
      <c r="J126" s="67">
        <f t="shared" si="22"/>
        <v>454.56905969666178</v>
      </c>
      <c r="K126" s="67">
        <f t="shared" si="22"/>
        <v>452.19405969666178</v>
      </c>
      <c r="L126" s="67">
        <f>L46+L49</f>
        <v>452.19405969666178</v>
      </c>
    </row>
  </sheetData>
  <mergeCells count="1">
    <mergeCell ref="C5:E5"/>
  </mergeCells>
  <printOptions horizontalCentered="1" verticalCentered="1"/>
  <pageMargins left="1.37" right="0.25" top="0.49" bottom="0.2" header="0.2" footer="0.2"/>
  <pageSetup paperSize="9" scale="85" orientation="landscape" r:id="rId1"/>
  <headerFooter alignWithMargins="0">
    <oddHeader>&amp;C&amp;"Arial,Bold"&amp;12ROYALE de CASA
(A UNIT OF ROYALE INDIA PVT. LTD.)</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11B0A-2C4E-46E4-A89B-989DF9CB9355}">
  <sheetPr>
    <tabColor indexed="10"/>
  </sheetPr>
  <dimension ref="B2:M33"/>
  <sheetViews>
    <sheetView view="pageBreakPreview" zoomScale="60" zoomScaleNormal="100" workbookViewId="0">
      <selection activeCell="E34" sqref="E34"/>
    </sheetView>
  </sheetViews>
  <sheetFormatPr defaultRowHeight="12.75"/>
  <cols>
    <col min="1" max="1" width="9.140625" style="67"/>
    <col min="2" max="2" width="39.7109375" style="67" customWidth="1"/>
    <col min="3" max="3" width="1" style="67" customWidth="1"/>
    <col min="4" max="4" width="8" style="67" customWidth="1"/>
    <col min="5" max="5" width="9.42578125" style="67" bestFit="1" customWidth="1"/>
    <col min="6" max="6" width="9.7109375" style="67" bestFit="1" customWidth="1"/>
    <col min="7" max="7" width="9.85546875" style="67" bestFit="1" customWidth="1"/>
    <col min="8" max="8" width="9.42578125" style="67" bestFit="1" customWidth="1"/>
    <col min="9" max="9" width="9.85546875" style="67" bestFit="1" customWidth="1"/>
    <col min="10" max="12" width="9.7109375" style="67" bestFit="1" customWidth="1"/>
    <col min="13" max="13" width="9.140625" style="67" hidden="1" customWidth="1"/>
    <col min="14" max="16384" width="9.140625" style="67"/>
  </cols>
  <sheetData>
    <row r="2" spans="2:13">
      <c r="F2" s="457" t="s">
        <v>120</v>
      </c>
    </row>
    <row r="3" spans="2:13" ht="4.5" customHeight="1"/>
    <row r="4" spans="2:13" ht="18">
      <c r="E4" s="1037" t="s">
        <v>121</v>
      </c>
      <c r="F4" s="1037"/>
      <c r="G4" s="1037"/>
    </row>
    <row r="5" spans="2:13" ht="18">
      <c r="E5" s="1037" t="s">
        <v>122</v>
      </c>
      <c r="F5" s="1037"/>
      <c r="G5" s="1037"/>
    </row>
    <row r="6" spans="2:13" ht="18.75" thickBot="1">
      <c r="E6" s="483"/>
      <c r="F6" s="484" t="s">
        <v>92</v>
      </c>
      <c r="G6" s="483"/>
    </row>
    <row r="7" spans="2:13" ht="13.5" thickBot="1">
      <c r="B7" s="1039" t="s">
        <v>93</v>
      </c>
      <c r="C7" s="1040"/>
      <c r="D7" s="89" t="s">
        <v>123</v>
      </c>
      <c r="E7" s="996" t="s">
        <v>95</v>
      </c>
      <c r="F7" s="996" t="s">
        <v>96</v>
      </c>
      <c r="G7" s="996" t="s">
        <v>97</v>
      </c>
      <c r="H7" s="996" t="s">
        <v>98</v>
      </c>
      <c r="I7" s="996" t="s">
        <v>99</v>
      </c>
      <c r="J7" s="996" t="s">
        <v>100</v>
      </c>
      <c r="K7" s="996" t="s">
        <v>101</v>
      </c>
      <c r="L7" s="996" t="s">
        <v>102</v>
      </c>
      <c r="M7" s="996" t="s">
        <v>103</v>
      </c>
    </row>
    <row r="9" spans="2:13">
      <c r="B9" s="57" t="s">
        <v>124</v>
      </c>
      <c r="C9" s="57"/>
      <c r="D9" s="57"/>
      <c r="E9" s="57">
        <f>'P  L _Case_IV'!D25</f>
        <v>1967.3351538461541</v>
      </c>
      <c r="F9" s="57">
        <f>'P  L _Case_IV'!E25</f>
        <v>2213.2520480769231</v>
      </c>
      <c r="G9" s="57">
        <f>'P  L _Case_IV'!F25</f>
        <v>2459.1689423076923</v>
      </c>
      <c r="H9" s="57">
        <f>'P  L _Case_IV'!G25</f>
        <v>2705.0858365384615</v>
      </c>
      <c r="I9" s="57">
        <f>'P  L _Case_IV'!H25</f>
        <v>2951.0027307692312</v>
      </c>
      <c r="J9" s="57">
        <f>'P  L _Case_IV'!I25</f>
        <v>2951.0027307692312</v>
      </c>
      <c r="K9" s="57">
        <f>'P  L _Case_IV'!J25</f>
        <v>2951.0027307692312</v>
      </c>
      <c r="L9" s="57">
        <f>'P  L _Case_IV'!K25</f>
        <v>2951.0027307692312</v>
      </c>
      <c r="M9" s="57">
        <f>'P  L _Case_IV'!L25</f>
        <v>2951.0027307692312</v>
      </c>
    </row>
    <row r="11" spans="2:13">
      <c r="B11" s="72" t="s">
        <v>125</v>
      </c>
    </row>
    <row r="14" spans="2:13" ht="13.5" thickBot="1">
      <c r="B14" s="66" t="s">
        <v>126</v>
      </c>
      <c r="C14" s="66"/>
      <c r="D14" s="66"/>
      <c r="E14" s="66" t="e">
        <f>'P  L _Case_IV'!D51+'P  L _Case_IV'!D58-E20</f>
        <v>#REF!</v>
      </c>
      <c r="F14" s="66" t="e">
        <f>'P  L _Case_IV'!E51+'P  L _Case_IV'!E58-F20</f>
        <v>#REF!</v>
      </c>
      <c r="G14" s="66" t="e">
        <f>'P  L _Case_IV'!F51+'P  L _Case_IV'!F58-G20</f>
        <v>#REF!</v>
      </c>
      <c r="H14" s="66" t="e">
        <f>'P  L _Case_IV'!G51+'P  L _Case_IV'!G58-H20</f>
        <v>#REF!</v>
      </c>
      <c r="I14" s="66" t="e">
        <f>'P  L _Case_IV'!H51+'P  L _Case_IV'!H58-I20</f>
        <v>#REF!</v>
      </c>
      <c r="J14" s="66" t="e">
        <f>'P  L _Case_IV'!I51+'P  L _Case_IV'!I58-J20</f>
        <v>#REF!</v>
      </c>
      <c r="K14" s="66" t="e">
        <f>'P  L _Case_IV'!J51+'P  L _Case_IV'!J58-K20</f>
        <v>#REF!</v>
      </c>
      <c r="L14" s="66" t="e">
        <f>'P  L _Case_IV'!K51+'P  L _Case_IV'!K58-L20</f>
        <v>#REF!</v>
      </c>
      <c r="M14" s="66" t="e">
        <f>'P  L _Case_IV'!L51+'P  L _Case_IV'!L58-M20</f>
        <v>#VALUE!</v>
      </c>
    </row>
    <row r="15" spans="2:13" ht="13.5" thickTop="1">
      <c r="B15" s="6"/>
      <c r="C15" s="6"/>
      <c r="D15" s="6"/>
      <c r="E15" s="6"/>
      <c r="F15" s="6"/>
      <c r="G15" s="6"/>
      <c r="H15" s="6"/>
      <c r="I15" s="6"/>
      <c r="J15" s="6"/>
      <c r="K15" s="6"/>
      <c r="L15" s="6"/>
      <c r="M15" s="6"/>
    </row>
    <row r="16" spans="2:13">
      <c r="B16" s="57" t="s">
        <v>127</v>
      </c>
      <c r="C16" s="57"/>
      <c r="D16" s="57"/>
      <c r="E16" s="57" t="e">
        <f t="shared" ref="E16:M16" si="0">E9-E14</f>
        <v>#REF!</v>
      </c>
      <c r="F16" s="57" t="e">
        <f t="shared" si="0"/>
        <v>#REF!</v>
      </c>
      <c r="G16" s="57" t="e">
        <f t="shared" si="0"/>
        <v>#REF!</v>
      </c>
      <c r="H16" s="57" t="e">
        <f t="shared" si="0"/>
        <v>#REF!</v>
      </c>
      <c r="I16" s="57" t="e">
        <f t="shared" si="0"/>
        <v>#REF!</v>
      </c>
      <c r="J16" s="57" t="e">
        <f t="shared" si="0"/>
        <v>#REF!</v>
      </c>
      <c r="K16" s="57" t="e">
        <f t="shared" si="0"/>
        <v>#REF!</v>
      </c>
      <c r="L16" s="57" t="e">
        <f t="shared" si="0"/>
        <v>#REF!</v>
      </c>
      <c r="M16" s="57" t="e">
        <f t="shared" si="0"/>
        <v>#VALUE!</v>
      </c>
    </row>
    <row r="17" spans="2:13">
      <c r="B17" s="57"/>
      <c r="C17" s="57"/>
      <c r="D17" s="57"/>
      <c r="E17" s="57"/>
      <c r="F17" s="57"/>
      <c r="G17" s="57"/>
      <c r="H17" s="57"/>
      <c r="I17" s="57"/>
      <c r="J17" s="57"/>
      <c r="K17" s="57"/>
      <c r="L17" s="57"/>
      <c r="M17" s="57"/>
    </row>
    <row r="18" spans="2:13">
      <c r="B18" s="72" t="s">
        <v>128</v>
      </c>
      <c r="C18" s="57"/>
      <c r="D18" s="57"/>
      <c r="E18" s="57"/>
      <c r="F18" s="57"/>
      <c r="G18" s="57"/>
      <c r="H18" s="57"/>
      <c r="I18" s="57"/>
      <c r="J18" s="57"/>
      <c r="K18" s="57"/>
      <c r="L18" s="57"/>
      <c r="M18" s="57"/>
    </row>
    <row r="20" spans="2:13" ht="13.5" thickBot="1">
      <c r="B20" s="66" t="s">
        <v>129</v>
      </c>
      <c r="C20" s="90"/>
      <c r="D20" s="90"/>
      <c r="E20" s="66" t="e">
        <f>#REF!</f>
        <v>#REF!</v>
      </c>
      <c r="F20" s="66" t="e">
        <f>#REF!</f>
        <v>#REF!</v>
      </c>
      <c r="G20" s="66" t="e">
        <f>#REF!</f>
        <v>#REF!</v>
      </c>
      <c r="H20" s="66" t="e">
        <f>#REF!</f>
        <v>#REF!</v>
      </c>
      <c r="I20" s="66" t="e">
        <f>#REF!</f>
        <v>#REF!</v>
      </c>
      <c r="J20" s="66" t="e">
        <f>#REF!</f>
        <v>#REF!</v>
      </c>
      <c r="K20" s="66" t="e">
        <f>#REF!</f>
        <v>#REF!</v>
      </c>
      <c r="L20" s="66" t="e">
        <f>#REF!</f>
        <v>#REF!</v>
      </c>
      <c r="M20" s="66" t="e">
        <f>#REF!</f>
        <v>#REF!</v>
      </c>
    </row>
    <row r="21" spans="2:13" ht="13.5" thickTop="1"/>
    <row r="22" spans="2:13">
      <c r="B22" s="67" t="s">
        <v>130</v>
      </c>
      <c r="E22" s="67" t="e">
        <f t="shared" ref="E22:M22" si="1">E16/E9*100</f>
        <v>#REF!</v>
      </c>
      <c r="F22" s="67" t="e">
        <f t="shared" si="1"/>
        <v>#REF!</v>
      </c>
      <c r="G22" s="67" t="e">
        <f t="shared" si="1"/>
        <v>#REF!</v>
      </c>
      <c r="H22" s="67" t="e">
        <f t="shared" si="1"/>
        <v>#REF!</v>
      </c>
      <c r="I22" s="67" t="e">
        <f t="shared" si="1"/>
        <v>#REF!</v>
      </c>
      <c r="J22" s="67" t="e">
        <f t="shared" si="1"/>
        <v>#REF!</v>
      </c>
      <c r="K22" s="67" t="e">
        <f t="shared" si="1"/>
        <v>#REF!</v>
      </c>
      <c r="L22" s="67" t="e">
        <f t="shared" si="1"/>
        <v>#REF!</v>
      </c>
      <c r="M22" s="67" t="e">
        <f t="shared" si="1"/>
        <v>#VALUE!</v>
      </c>
    </row>
    <row r="23" spans="2:13">
      <c r="B23" s="67" t="s">
        <v>131</v>
      </c>
      <c r="E23" s="67" t="e">
        <f>+E20/E22*100</f>
        <v>#REF!</v>
      </c>
      <c r="F23" s="67" t="e">
        <f t="shared" ref="F23:K23" si="2">+F20/F22*100</f>
        <v>#REF!</v>
      </c>
      <c r="G23" s="67" t="e">
        <f t="shared" si="2"/>
        <v>#REF!</v>
      </c>
      <c r="H23" s="67" t="e">
        <f t="shared" si="2"/>
        <v>#REF!</v>
      </c>
      <c r="I23" s="67" t="e">
        <f t="shared" si="2"/>
        <v>#REF!</v>
      </c>
      <c r="J23" s="67" t="e">
        <f t="shared" si="2"/>
        <v>#REF!</v>
      </c>
      <c r="K23" s="67" t="e">
        <f t="shared" si="2"/>
        <v>#REF!</v>
      </c>
      <c r="L23" s="67" t="e">
        <f>+L20/L22*100</f>
        <v>#REF!</v>
      </c>
      <c r="M23" s="67" t="e">
        <f>+M20/M22*100</f>
        <v>#REF!</v>
      </c>
    </row>
    <row r="24" spans="2:13">
      <c r="B24" s="67" t="s">
        <v>132</v>
      </c>
      <c r="E24" s="67" t="e">
        <f t="shared" ref="E24:M24" si="3">+E23/E9*100</f>
        <v>#REF!</v>
      </c>
      <c r="F24" s="67" t="e">
        <f t="shared" si="3"/>
        <v>#REF!</v>
      </c>
      <c r="G24" s="67" t="e">
        <f t="shared" si="3"/>
        <v>#REF!</v>
      </c>
      <c r="H24" s="67" t="e">
        <f t="shared" si="3"/>
        <v>#REF!</v>
      </c>
      <c r="I24" s="67" t="e">
        <f t="shared" si="3"/>
        <v>#REF!</v>
      </c>
      <c r="J24" s="67" t="e">
        <f t="shared" si="3"/>
        <v>#REF!</v>
      </c>
      <c r="K24" s="67" t="e">
        <f t="shared" si="3"/>
        <v>#REF!</v>
      </c>
      <c r="L24" s="67" t="e">
        <f t="shared" si="3"/>
        <v>#REF!</v>
      </c>
      <c r="M24" s="67" t="e">
        <f t="shared" si="3"/>
        <v>#REF!</v>
      </c>
    </row>
    <row r="25" spans="2:13">
      <c r="B25" s="67" t="s">
        <v>133</v>
      </c>
      <c r="E25" s="57" t="e">
        <f>AVERAGE(E24:L24)</f>
        <v>#REF!</v>
      </c>
    </row>
    <row r="26" spans="2:13">
      <c r="B26" s="67" t="s">
        <v>134</v>
      </c>
      <c r="E26" s="67" t="e">
        <f>E23/SALESPROJECTION!E81*100</f>
        <v>#REF!</v>
      </c>
      <c r="F26" s="67" t="e">
        <f>F23/SALESPROJECTION!F81*100</f>
        <v>#REF!</v>
      </c>
      <c r="G26" s="67" t="e">
        <f>G23/SALESPROJECTION!G81*100</f>
        <v>#REF!</v>
      </c>
      <c r="H26" s="67" t="e">
        <f>H23/SALESPROJECTION!H81*100</f>
        <v>#REF!</v>
      </c>
      <c r="I26" s="67" t="e">
        <f>I23/SALESPROJECTION!I81*100</f>
        <v>#REF!</v>
      </c>
      <c r="J26" s="67" t="e">
        <f>J23/SALESPROJECTION!J81*100</f>
        <v>#REF!</v>
      </c>
      <c r="K26" s="67" t="e">
        <f>K23/SALESPROJECTION!K81*100</f>
        <v>#REF!</v>
      </c>
      <c r="L26" s="67" t="e">
        <f>L23/SALESPROJECTION!L81*100</f>
        <v>#REF!</v>
      </c>
      <c r="M26" s="67" t="e">
        <f>M23/SALESPROJECTION!M81*100</f>
        <v>#REF!</v>
      </c>
    </row>
    <row r="27" spans="2:13">
      <c r="B27" s="67" t="s">
        <v>135</v>
      </c>
      <c r="E27" s="57" t="e">
        <f>AVERAGE(E26:L26)</f>
        <v>#REF!</v>
      </c>
    </row>
    <row r="28" spans="2:13">
      <c r="B28" s="67" t="s">
        <v>136</v>
      </c>
      <c r="E28" s="67" t="e">
        <f>(((E20-('P  L _Case_II'!D49*0.75))/E22*100/SALESPROJECTION!E81*100))</f>
        <v>#REF!</v>
      </c>
      <c r="F28" s="67" t="e">
        <f>(((F20-('P  L _Case_II'!E49*0.75))/F22*100/SALESPROJECTION!F81*100))</f>
        <v>#REF!</v>
      </c>
      <c r="G28" s="67" t="e">
        <f>(((G20-('P  L _Case_II'!F49*0.75))/G22*100/SALESPROJECTION!G81*100))</f>
        <v>#REF!</v>
      </c>
      <c r="H28" s="67" t="e">
        <f>(((H20-('P  L _Case_II'!G49*0.75))/H22*100/SALESPROJECTION!H81*100))</f>
        <v>#REF!</v>
      </c>
      <c r="I28" s="67" t="e">
        <f>(((I20-('P  L _Case_II'!H49*0.75))/I22*100/SALESPROJECTION!I81*100))</f>
        <v>#REF!</v>
      </c>
      <c r="J28" s="67" t="e">
        <f>(((J20-('P  L _Case_II'!I49*0.75))/J22*100/SALESPROJECTION!J81*100))</f>
        <v>#REF!</v>
      </c>
      <c r="K28" s="67" t="e">
        <f>(((K20-('P  L _Case_II'!J49*0.75))/K22*100/SALESPROJECTION!K81*100))</f>
        <v>#REF!</v>
      </c>
      <c r="L28" s="67" t="e">
        <f>(((L20-('P  L _Case_II'!K49*0.75))/L22*100/SALESPROJECTION!L81*100))</f>
        <v>#REF!</v>
      </c>
      <c r="M28" s="67" t="e">
        <f>(((M20-('P  L _Case_II'!L49*0.75))/M22*100/SALESPROJECTION!M81*100))</f>
        <v>#REF!</v>
      </c>
    </row>
    <row r="29" spans="2:13">
      <c r="B29" s="67" t="s">
        <v>137</v>
      </c>
      <c r="E29" s="57" t="e">
        <f>AVERAGE(E28:L28)</f>
        <v>#REF!</v>
      </c>
    </row>
    <row r="30" spans="2:13">
      <c r="E30" s="57"/>
    </row>
    <row r="31" spans="2:13">
      <c r="E31" s="57"/>
    </row>
    <row r="32" spans="2:13">
      <c r="E32" s="67" t="e">
        <f t="shared" ref="E32:M32" si="4">E20+E14</f>
        <v>#REF!</v>
      </c>
      <c r="F32" s="67" t="e">
        <f t="shared" si="4"/>
        <v>#REF!</v>
      </c>
      <c r="G32" s="67" t="e">
        <f t="shared" si="4"/>
        <v>#REF!</v>
      </c>
      <c r="H32" s="67" t="e">
        <f t="shared" si="4"/>
        <v>#REF!</v>
      </c>
      <c r="I32" s="67" t="e">
        <f t="shared" si="4"/>
        <v>#REF!</v>
      </c>
      <c r="J32" s="67" t="e">
        <f t="shared" si="4"/>
        <v>#REF!</v>
      </c>
      <c r="K32" s="67" t="e">
        <f t="shared" si="4"/>
        <v>#REF!</v>
      </c>
      <c r="L32" s="67" t="e">
        <f t="shared" si="4"/>
        <v>#REF!</v>
      </c>
      <c r="M32" s="67" t="e">
        <f t="shared" si="4"/>
        <v>#REF!</v>
      </c>
    </row>
    <row r="33" spans="5:13">
      <c r="E33" s="67" t="e">
        <f>E32-'P  L _Case_IV'!D51-'P  L _Case_IV'!D58</f>
        <v>#REF!</v>
      </c>
      <c r="F33" s="67" t="e">
        <f>F32-'P  L _Case_IV'!E51-'P  L _Case_IV'!E58</f>
        <v>#REF!</v>
      </c>
      <c r="G33" s="67" t="e">
        <f>G32-'P  L _Case_IV'!F51-'P  L _Case_IV'!F58</f>
        <v>#REF!</v>
      </c>
      <c r="H33" s="67" t="e">
        <f>H32-'P  L _Case_IV'!G51-'P  L _Case_IV'!G58</f>
        <v>#REF!</v>
      </c>
      <c r="I33" s="67" t="e">
        <f>I32-'P  L _Case_IV'!H51-'P  L _Case_IV'!H58</f>
        <v>#REF!</v>
      </c>
      <c r="J33" s="67" t="e">
        <f>J32-'P  L _Case_IV'!I51-'P  L _Case_IV'!I58</f>
        <v>#REF!</v>
      </c>
      <c r="K33" s="67" t="e">
        <f>K32-'P  L _Case_IV'!J51-'P  L _Case_IV'!J58</f>
        <v>#REF!</v>
      </c>
      <c r="L33" s="67" t="e">
        <f>L32-'P  L _Case_IV'!K51-'P  L _Case_IV'!K58</f>
        <v>#REF!</v>
      </c>
      <c r="M33" s="67" t="e">
        <f>M32-'P  L _Case_IV'!L51-'P  L _Case_IV'!L58</f>
        <v>#REF!</v>
      </c>
    </row>
  </sheetData>
  <mergeCells count="3">
    <mergeCell ref="E4:G4"/>
    <mergeCell ref="E5:G5"/>
    <mergeCell ref="B7:C7"/>
  </mergeCells>
  <pageMargins left="0.5" right="0.25" top="0.71" bottom="0.5" header="0.33" footer="0.25"/>
  <pageSetup paperSize="9" scale="80" orientation="landscape" r:id="rId1"/>
  <headerFooter alignWithMargins="0">
    <oddHeader>&amp;C&amp;"Arial,Bold"&amp;12ROYALE de CASA
(A UNIT OF ROYALE INDIA PVT. LTD.)</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3B93-394C-4325-97EC-16A965C84B18}">
  <sheetPr>
    <tabColor indexed="10"/>
  </sheetPr>
  <dimension ref="B2:Q36"/>
  <sheetViews>
    <sheetView view="pageBreakPreview" zoomScale="60" zoomScaleNormal="96" workbookViewId="0">
      <selection activeCell="S39" sqref="S39"/>
    </sheetView>
  </sheetViews>
  <sheetFormatPr defaultRowHeight="12.75"/>
  <cols>
    <col min="1" max="1" width="9.140625" style="51"/>
    <col min="2" max="2" width="14.28515625" style="51" bestFit="1" customWidth="1"/>
    <col min="3" max="3" width="21.42578125" style="51" customWidth="1"/>
    <col min="4" max="4" width="12.28515625" style="51" bestFit="1" customWidth="1"/>
    <col min="5" max="5" width="15.7109375" style="51" customWidth="1"/>
    <col min="6" max="6" width="11.85546875" style="51" customWidth="1"/>
    <col min="7" max="7" width="11.28515625" style="51" customWidth="1"/>
    <col min="8" max="8" width="10.5703125" style="51" customWidth="1"/>
    <col min="9" max="9" width="10.7109375" style="51" customWidth="1"/>
    <col min="10" max="10" width="10.42578125" style="51" customWidth="1"/>
    <col min="11" max="12" width="10.28515625" style="51" customWidth="1"/>
    <col min="13" max="13" width="10.28515625" style="51" hidden="1" customWidth="1"/>
    <col min="14" max="14" width="9.140625" style="51"/>
    <col min="15" max="15" width="10.28515625" style="51" bestFit="1" customWidth="1"/>
    <col min="16" max="16384" width="9.140625" style="51"/>
  </cols>
  <sheetData>
    <row r="2" spans="2:17">
      <c r="F2" s="456" t="s">
        <v>89</v>
      </c>
    </row>
    <row r="4" spans="2:17" ht="18">
      <c r="E4" s="1037" t="s">
        <v>90</v>
      </c>
      <c r="F4" s="1037"/>
      <c r="G4" s="1037"/>
    </row>
    <row r="5" spans="2:17" ht="18">
      <c r="D5" s="1037" t="s">
        <v>91</v>
      </c>
      <c r="E5" s="1037"/>
      <c r="F5" s="1037"/>
      <c r="G5" s="1037"/>
      <c r="H5" s="1037"/>
    </row>
    <row r="6" spans="2:17">
      <c r="E6" s="1038" t="s">
        <v>92</v>
      </c>
      <c r="F6" s="1038"/>
      <c r="G6" s="1038"/>
    </row>
    <row r="7" spans="2:17" ht="13.5" thickBot="1"/>
    <row r="8" spans="2:17" ht="13.5" thickBot="1">
      <c r="B8" s="1039" t="s">
        <v>93</v>
      </c>
      <c r="C8" s="1040"/>
      <c r="D8" s="157" t="s">
        <v>94</v>
      </c>
      <c r="E8" s="996" t="s">
        <v>95</v>
      </c>
      <c r="F8" s="996" t="s">
        <v>96</v>
      </c>
      <c r="G8" s="996" t="s">
        <v>97</v>
      </c>
      <c r="H8" s="996" t="s">
        <v>98</v>
      </c>
      <c r="I8" s="996" t="s">
        <v>99</v>
      </c>
      <c r="J8" s="996" t="s">
        <v>100</v>
      </c>
      <c r="K8" s="996" t="s">
        <v>101</v>
      </c>
      <c r="L8" s="462" t="s">
        <v>102</v>
      </c>
      <c r="M8" s="996" t="s">
        <v>103</v>
      </c>
    </row>
    <row r="9" spans="2:17">
      <c r="B9" s="67"/>
      <c r="C9" s="67"/>
      <c r="D9" s="67"/>
      <c r="E9" s="67"/>
      <c r="F9" s="67"/>
      <c r="G9" s="67"/>
      <c r="H9" s="67"/>
      <c r="I9" s="67"/>
      <c r="J9" s="67"/>
      <c r="K9" s="67"/>
      <c r="L9" s="300"/>
      <c r="M9" s="67"/>
    </row>
    <row r="10" spans="2:17">
      <c r="B10" s="1041" t="s">
        <v>104</v>
      </c>
      <c r="C10" s="1042"/>
      <c r="D10" s="160"/>
      <c r="E10" s="179"/>
      <c r="F10" s="179"/>
      <c r="G10" s="179"/>
      <c r="H10" s="179"/>
      <c r="I10" s="179"/>
      <c r="J10" s="179"/>
      <c r="K10" s="179"/>
      <c r="L10" s="161"/>
      <c r="M10" s="179"/>
      <c r="Q10" s="180">
        <v>0.12266000000000001</v>
      </c>
    </row>
    <row r="11" spans="2:17">
      <c r="B11" s="1035"/>
      <c r="C11" s="1035"/>
      <c r="D11" s="181"/>
      <c r="E11" s="182"/>
      <c r="F11" s="182"/>
      <c r="G11" s="182"/>
      <c r="H11" s="182"/>
      <c r="I11" s="182"/>
      <c r="J11" s="182"/>
      <c r="K11" s="182"/>
      <c r="L11" s="305"/>
      <c r="M11" s="182"/>
    </row>
    <row r="12" spans="2:17">
      <c r="B12" s="1033" t="s">
        <v>105</v>
      </c>
      <c r="C12" s="1033"/>
      <c r="D12" s="183"/>
      <c r="E12" s="141">
        <f>'P  L _Case_IV'!D59</f>
        <v>275.94135970549473</v>
      </c>
      <c r="F12" s="141">
        <f>'P  L _Case_IV'!E59</f>
        <v>316.75714753648833</v>
      </c>
      <c r="G12" s="141">
        <f>'P  L _Case_IV'!F59</f>
        <v>380.99111590823054</v>
      </c>
      <c r="H12" s="141">
        <f>'P  L _Case_IV'!G59</f>
        <v>421.9982390768817</v>
      </c>
      <c r="I12" s="141">
        <f>'P  L _Case_IV'!H59</f>
        <v>396.85387937113842</v>
      </c>
      <c r="J12" s="141">
        <f>'P  L _Case_IV'!I59</f>
        <v>299.19209702118826</v>
      </c>
      <c r="K12" s="141">
        <f>'P  L _Case_IV'!J59</f>
        <v>273.59545848788758</v>
      </c>
      <c r="L12" s="141">
        <f>'P  L _Case_IV'!K59</f>
        <v>215.33622762729794</v>
      </c>
      <c r="M12" s="161" t="e">
        <f>'P  L _Case_IV'!L59</f>
        <v>#VALUE!</v>
      </c>
    </row>
    <row r="13" spans="2:17">
      <c r="B13" s="1033" t="s">
        <v>106</v>
      </c>
      <c r="C13" s="1033"/>
      <c r="D13" s="183"/>
      <c r="E13" s="141">
        <f>'P  L '!D53</f>
        <v>452.19405969666178</v>
      </c>
      <c r="F13" s="141">
        <f>'P  L '!E53</f>
        <v>452.19405969666178</v>
      </c>
      <c r="G13" s="141">
        <f>'P  L '!F53</f>
        <v>452.19405969666178</v>
      </c>
      <c r="H13" s="141">
        <f>'P  L '!G53</f>
        <v>452.19405969666178</v>
      </c>
      <c r="I13" s="141">
        <f>'P  L '!H53</f>
        <v>452.19405969666178</v>
      </c>
      <c r="J13" s="141">
        <f>'P  L '!I53</f>
        <v>452.19405969666178</v>
      </c>
      <c r="K13" s="160">
        <f>'P  L '!J53</f>
        <v>452.19405969666178</v>
      </c>
      <c r="L13" s="141">
        <f>'P  L '!K53</f>
        <v>452.19405969666178</v>
      </c>
      <c r="M13" s="179">
        <f>'P  L '!L53</f>
        <v>452.19405969666178</v>
      </c>
    </row>
    <row r="14" spans="2:17">
      <c r="B14" s="1033" t="s">
        <v>107</v>
      </c>
      <c r="C14" s="1033"/>
      <c r="D14" s="183"/>
      <c r="E14" s="141">
        <f>'P  L '!D50</f>
        <v>254.71875</v>
      </c>
      <c r="F14" s="141">
        <f>'P  L '!E50</f>
        <v>240.11249999999998</v>
      </c>
      <c r="G14" s="141">
        <f>'P  L '!F50</f>
        <v>217.78750000000002</v>
      </c>
      <c r="H14" s="141">
        <f>'P  L '!G50</f>
        <v>186.67500000000001</v>
      </c>
      <c r="I14" s="141">
        <f>'P  L '!H50</f>
        <v>147.25000000000003</v>
      </c>
      <c r="J14" s="141">
        <f>'P  L '!I50</f>
        <v>99.037499999999994</v>
      </c>
      <c r="K14" s="160">
        <f>'P  L '!J50</f>
        <v>45.125</v>
      </c>
      <c r="L14" s="141">
        <f>'P  L '!K50</f>
        <v>2.375</v>
      </c>
      <c r="M14" s="179">
        <f>'P  L '!L50</f>
        <v>0</v>
      </c>
    </row>
    <row r="15" spans="2:17">
      <c r="B15" s="183" t="s">
        <v>108</v>
      </c>
      <c r="C15" s="183"/>
      <c r="D15" s="183"/>
      <c r="E15" s="183"/>
      <c r="F15" s="183"/>
      <c r="G15" s="183"/>
      <c r="H15" s="183"/>
      <c r="I15" s="183"/>
      <c r="J15" s="183"/>
      <c r="K15" s="181"/>
      <c r="L15" s="141">
        <f>0.5*'B  S '!L13</f>
        <v>598.15590502435271</v>
      </c>
      <c r="M15" s="179"/>
      <c r="N15" s="491" t="s">
        <v>109</v>
      </c>
    </row>
    <row r="16" spans="2:17">
      <c r="B16" s="183"/>
      <c r="C16" s="183"/>
      <c r="D16" s="183"/>
      <c r="E16" s="183"/>
      <c r="F16" s="183"/>
      <c r="G16" s="183"/>
      <c r="H16" s="183"/>
      <c r="I16" s="183"/>
      <c r="J16" s="183"/>
      <c r="K16" s="181"/>
      <c r="L16" s="183"/>
      <c r="M16" s="182"/>
    </row>
    <row r="17" spans="2:13">
      <c r="B17" s="183" t="s">
        <v>110</v>
      </c>
      <c r="C17" s="183"/>
      <c r="D17" s="141">
        <f>SUM(D10:D15)</f>
        <v>0</v>
      </c>
      <c r="E17" s="141">
        <f t="shared" ref="E17:K17" si="0">SUM(E10:E15)</f>
        <v>982.85416940215646</v>
      </c>
      <c r="F17" s="141">
        <f t="shared" si="0"/>
        <v>1009.0637072331501</v>
      </c>
      <c r="G17" s="141">
        <f t="shared" si="0"/>
        <v>1050.9726756048922</v>
      </c>
      <c r="H17" s="141">
        <f t="shared" si="0"/>
        <v>1060.8672987735436</v>
      </c>
      <c r="I17" s="141">
        <f t="shared" si="0"/>
        <v>996.29793906780014</v>
      </c>
      <c r="J17" s="141">
        <f t="shared" si="0"/>
        <v>850.42365671785012</v>
      </c>
      <c r="K17" s="160">
        <f t="shared" si="0"/>
        <v>770.91451818454937</v>
      </c>
      <c r="L17" s="141">
        <f>SUM(L10:L15)</f>
        <v>1268.0611923483125</v>
      </c>
      <c r="M17" s="179" t="e">
        <f>SUM(M10:M15)</f>
        <v>#VALUE!</v>
      </c>
    </row>
    <row r="18" spans="2:13">
      <c r="B18" s="183"/>
      <c r="C18" s="183"/>
      <c r="D18" s="183"/>
      <c r="E18" s="183"/>
      <c r="F18" s="183"/>
      <c r="G18" s="183"/>
      <c r="H18" s="183"/>
      <c r="I18" s="183"/>
      <c r="J18" s="183"/>
      <c r="K18" s="181"/>
      <c r="L18" s="183"/>
      <c r="M18" s="182"/>
    </row>
    <row r="19" spans="2:13">
      <c r="B19" s="1036" t="s">
        <v>111</v>
      </c>
      <c r="C19" s="1033"/>
      <c r="D19" s="181"/>
      <c r="E19" s="182"/>
      <c r="F19" s="182"/>
      <c r="G19" s="182"/>
      <c r="H19" s="182"/>
      <c r="I19" s="182"/>
      <c r="J19" s="182"/>
      <c r="K19" s="182"/>
      <c r="L19" s="305"/>
      <c r="M19" s="182"/>
    </row>
    <row r="20" spans="2:13">
      <c r="B20" s="1035"/>
      <c r="C20" s="1035"/>
      <c r="D20" s="181"/>
      <c r="E20" s="182"/>
      <c r="F20" s="182"/>
      <c r="G20" s="182"/>
      <c r="H20" s="182"/>
      <c r="I20" s="182"/>
      <c r="J20" s="182"/>
      <c r="K20" s="182"/>
      <c r="L20" s="305"/>
      <c r="M20" s="182"/>
    </row>
    <row r="21" spans="2:13">
      <c r="B21" s="1033" t="s">
        <v>112</v>
      </c>
      <c r="C21" s="1033"/>
      <c r="D21" s="141">
        <f>'CAPITAL COST'!D36+'CAPITAL COST'!D34</f>
        <v>4263.8642876220001</v>
      </c>
      <c r="E21" s="183">
        <v>0</v>
      </c>
      <c r="F21" s="183">
        <v>0</v>
      </c>
      <c r="G21" s="183">
        <v>0</v>
      </c>
      <c r="H21" s="183">
        <v>0</v>
      </c>
      <c r="I21" s="183">
        <v>0</v>
      </c>
      <c r="J21" s="183">
        <v>0</v>
      </c>
      <c r="K21" s="183">
        <v>0</v>
      </c>
      <c r="L21" s="183">
        <v>0</v>
      </c>
      <c r="M21" s="305">
        <v>0</v>
      </c>
    </row>
    <row r="22" spans="2:13">
      <c r="B22" s="1035"/>
      <c r="C22" s="1035"/>
      <c r="D22" s="183"/>
      <c r="E22" s="183"/>
      <c r="F22" s="183"/>
      <c r="G22" s="183"/>
      <c r="H22" s="183"/>
      <c r="I22" s="183"/>
      <c r="J22" s="183"/>
      <c r="K22" s="181"/>
      <c r="L22" s="183"/>
      <c r="M22" s="182"/>
    </row>
    <row r="23" spans="2:13">
      <c r="B23" s="183" t="s">
        <v>113</v>
      </c>
      <c r="C23" s="183"/>
      <c r="D23" s="141">
        <f>SUM(D19:D22)</f>
        <v>4263.8642876220001</v>
      </c>
      <c r="E23" s="183">
        <f t="shared" ref="E23:K23" si="1">SUM(E19:E22)</f>
        <v>0</v>
      </c>
      <c r="F23" s="183">
        <f t="shared" si="1"/>
        <v>0</v>
      </c>
      <c r="G23" s="183">
        <f t="shared" si="1"/>
        <v>0</v>
      </c>
      <c r="H23" s="183">
        <f t="shared" si="1"/>
        <v>0</v>
      </c>
      <c r="I23" s="183">
        <f t="shared" si="1"/>
        <v>0</v>
      </c>
      <c r="J23" s="183">
        <f t="shared" si="1"/>
        <v>0</v>
      </c>
      <c r="K23" s="181">
        <f t="shared" si="1"/>
        <v>0</v>
      </c>
      <c r="L23" s="183">
        <f>SUM(L19:L22)</f>
        <v>0</v>
      </c>
      <c r="M23" s="182">
        <f>SUM(M19:M22)</f>
        <v>0</v>
      </c>
    </row>
    <row r="24" spans="2:13">
      <c r="B24" s="183"/>
      <c r="C24" s="183"/>
      <c r="D24" s="183"/>
      <c r="E24" s="183"/>
      <c r="F24" s="183"/>
      <c r="G24" s="183"/>
      <c r="H24" s="183"/>
      <c r="I24" s="183"/>
      <c r="J24" s="183"/>
      <c r="K24" s="181"/>
      <c r="L24" s="183"/>
      <c r="M24" s="182"/>
    </row>
    <row r="25" spans="2:13">
      <c r="B25" s="132" t="s">
        <v>114</v>
      </c>
      <c r="C25" s="183"/>
      <c r="D25" s="141">
        <f>D17-D23</f>
        <v>-4263.8642876220001</v>
      </c>
      <c r="E25" s="141">
        <f t="shared" ref="E25:K25" si="2">E17-E23</f>
        <v>982.85416940215646</v>
      </c>
      <c r="F25" s="141">
        <f t="shared" si="2"/>
        <v>1009.0637072331501</v>
      </c>
      <c r="G25" s="141">
        <f t="shared" si="2"/>
        <v>1050.9726756048922</v>
      </c>
      <c r="H25" s="141">
        <f t="shared" si="2"/>
        <v>1060.8672987735436</v>
      </c>
      <c r="I25" s="141">
        <f t="shared" si="2"/>
        <v>996.29793906780014</v>
      </c>
      <c r="J25" s="141">
        <f t="shared" si="2"/>
        <v>850.42365671785012</v>
      </c>
      <c r="K25" s="160">
        <f t="shared" si="2"/>
        <v>770.91451818454937</v>
      </c>
      <c r="L25" s="141">
        <f>L17-L23</f>
        <v>1268.0611923483125</v>
      </c>
      <c r="M25" s="179" t="e">
        <f>M17-M23</f>
        <v>#VALUE!</v>
      </c>
    </row>
    <row r="26" spans="2:13">
      <c r="B26" s="1035"/>
      <c r="C26" s="1035"/>
      <c r="D26" s="183"/>
      <c r="E26" s="183"/>
      <c r="F26" s="183"/>
      <c r="G26" s="183"/>
      <c r="H26" s="183"/>
      <c r="I26" s="183"/>
      <c r="J26" s="183"/>
      <c r="K26" s="181"/>
      <c r="L26" s="183"/>
      <c r="M26" s="182"/>
    </row>
    <row r="27" spans="2:13">
      <c r="B27" s="1032" t="s">
        <v>115</v>
      </c>
      <c r="C27" s="1032"/>
      <c r="D27" s="998">
        <v>1</v>
      </c>
      <c r="E27" s="174">
        <v>1</v>
      </c>
      <c r="F27" s="174">
        <f>1/(1+Q10)</f>
        <v>0.89074163148237218</v>
      </c>
      <c r="G27" s="174">
        <f t="shared" ref="G27:M27" si="3">+F27/(1+$Q$10)</f>
        <v>0.79342065405587814</v>
      </c>
      <c r="H27" s="174">
        <f t="shared" si="3"/>
        <v>0.70673280784554371</v>
      </c>
      <c r="I27" s="174">
        <f t="shared" si="3"/>
        <v>0.62951633428245746</v>
      </c>
      <c r="J27" s="174">
        <f t="shared" si="3"/>
        <v>0.56073640664355862</v>
      </c>
      <c r="K27" s="175">
        <f t="shared" si="3"/>
        <v>0.4994712616852463</v>
      </c>
      <c r="L27" s="174">
        <f t="shared" si="3"/>
        <v>0.44489984651207515</v>
      </c>
      <c r="M27" s="617">
        <f t="shared" si="3"/>
        <v>0.39629081512842279</v>
      </c>
    </row>
    <row r="28" spans="2:13">
      <c r="B28" s="1032" t="s">
        <v>116</v>
      </c>
      <c r="C28" s="1033"/>
      <c r="D28" s="176">
        <f>D25*D27</f>
        <v>-4263.8642876220001</v>
      </c>
      <c r="E28" s="176">
        <f>E25*E27</f>
        <v>982.85416940215646</v>
      </c>
      <c r="F28" s="176">
        <f t="shared" ref="F28:K28" si="4">F25*F27</f>
        <v>898.81505285050685</v>
      </c>
      <c r="G28" s="176">
        <f t="shared" si="4"/>
        <v>833.86342767328983</v>
      </c>
      <c r="H28" s="176">
        <f t="shared" si="4"/>
        <v>749.7497248137438</v>
      </c>
      <c r="I28" s="176">
        <f t="shared" si="4"/>
        <v>627.18582645512868</v>
      </c>
      <c r="J28" s="176">
        <f t="shared" si="4"/>
        <v>476.86350539264248</v>
      </c>
      <c r="K28" s="177">
        <f t="shared" si="4"/>
        <v>385.0496470491106</v>
      </c>
      <c r="L28" s="176">
        <f>L25*L27</f>
        <v>564.16022984368328</v>
      </c>
      <c r="M28" s="618" t="e">
        <f>M25*M27</f>
        <v>#VALUE!</v>
      </c>
    </row>
    <row r="29" spans="2:13">
      <c r="B29" s="1032"/>
      <c r="C29" s="1033"/>
      <c r="D29" s="183"/>
      <c r="E29" s="176"/>
      <c r="F29" s="176"/>
      <c r="G29" s="176"/>
      <c r="H29" s="176"/>
      <c r="I29" s="176"/>
      <c r="J29" s="176"/>
      <c r="K29" s="177"/>
      <c r="L29" s="176"/>
      <c r="M29" s="618"/>
    </row>
    <row r="30" spans="2:13">
      <c r="B30" s="1034"/>
      <c r="C30" s="1034"/>
      <c r="D30" s="183"/>
      <c r="E30" s="176"/>
      <c r="F30" s="176"/>
      <c r="G30" s="176"/>
      <c r="H30" s="176"/>
      <c r="I30" s="176"/>
      <c r="J30" s="176"/>
      <c r="K30" s="177"/>
      <c r="L30" s="176"/>
      <c r="M30" s="618"/>
    </row>
    <row r="31" spans="2:13">
      <c r="B31" s="1032" t="s">
        <v>117</v>
      </c>
      <c r="C31" s="1033"/>
      <c r="D31" s="183"/>
      <c r="E31" s="178">
        <f>SUM(D28:L28)</f>
        <v>1254.6772958582621</v>
      </c>
      <c r="F31" s="998"/>
      <c r="G31" s="998"/>
      <c r="H31" s="998"/>
      <c r="I31" s="998"/>
      <c r="J31" s="998"/>
      <c r="K31" s="1011"/>
      <c r="L31" s="998"/>
      <c r="M31" s="1012"/>
    </row>
    <row r="32" spans="2:13">
      <c r="B32" s="1034"/>
      <c r="C32" s="1034"/>
      <c r="D32" s="183"/>
      <c r="E32" s="998"/>
      <c r="F32" s="998"/>
      <c r="G32" s="998"/>
      <c r="H32" s="998"/>
      <c r="I32" s="998"/>
      <c r="J32" s="998"/>
      <c r="K32" s="1011"/>
      <c r="L32" s="998"/>
      <c r="M32" s="1012"/>
    </row>
    <row r="33" spans="2:13">
      <c r="B33" s="1032" t="s">
        <v>118</v>
      </c>
      <c r="C33" s="1033"/>
      <c r="D33" s="183"/>
      <c r="E33" s="184">
        <f>Q10</f>
        <v>0.12266000000000001</v>
      </c>
      <c r="F33" s="998"/>
      <c r="G33" s="998"/>
      <c r="H33" s="998"/>
      <c r="I33" s="998"/>
      <c r="J33" s="998"/>
      <c r="K33" s="1011"/>
      <c r="L33" s="998"/>
      <c r="M33" s="1012"/>
    </row>
    <row r="34" spans="2:13">
      <c r="B34" s="1034"/>
      <c r="C34" s="1034"/>
      <c r="D34" s="183"/>
      <c r="E34" s="998"/>
      <c r="F34" s="998"/>
      <c r="G34" s="998"/>
      <c r="H34" s="998"/>
      <c r="I34" s="998"/>
      <c r="J34" s="998"/>
      <c r="K34" s="1011"/>
      <c r="L34" s="998"/>
      <c r="M34" s="1012"/>
    </row>
    <row r="36" spans="2:13">
      <c r="B36" s="74" t="s">
        <v>119</v>
      </c>
    </row>
  </sheetData>
  <mergeCells count="22">
    <mergeCell ref="B34:C34"/>
    <mergeCell ref="B22:C22"/>
    <mergeCell ref="B26:C26"/>
    <mergeCell ref="B27:C27"/>
    <mergeCell ref="B28:C28"/>
    <mergeCell ref="B29:C29"/>
    <mergeCell ref="B30:C30"/>
    <mergeCell ref="B20:C20"/>
    <mergeCell ref="B21:C21"/>
    <mergeCell ref="B31:C31"/>
    <mergeCell ref="B32:C32"/>
    <mergeCell ref="B33:C33"/>
    <mergeCell ref="B11:C11"/>
    <mergeCell ref="B12:C12"/>
    <mergeCell ref="B13:C13"/>
    <mergeCell ref="B14:C14"/>
    <mergeCell ref="B19:C19"/>
    <mergeCell ref="E4:G4"/>
    <mergeCell ref="D5:H5"/>
    <mergeCell ref="E6:G6"/>
    <mergeCell ref="B8:C8"/>
    <mergeCell ref="B10:C10"/>
  </mergeCells>
  <pageMargins left="0.75" right="0.75" top="1" bottom="1" header="0.5" footer="0.5"/>
  <pageSetup paperSize="9" scale="73" orientation="landscape" r:id="rId1"/>
  <headerFooter alignWithMargins="0">
    <oddHeader>&amp;C&amp;"Arial,Bold"&amp;12ROYALE de CASA
(A UNIT OF ROYALE INDIA PVT. LTD.)</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A837-0E7D-4571-9F50-0B640785924E}">
  <sheetPr>
    <tabColor indexed="13"/>
  </sheetPr>
  <dimension ref="A1:Y126"/>
  <sheetViews>
    <sheetView view="pageBreakPreview" zoomScale="60" zoomScaleNormal="115" workbookViewId="0">
      <selection activeCell="D71" sqref="D71"/>
    </sheetView>
  </sheetViews>
  <sheetFormatPr defaultRowHeight="12.75"/>
  <cols>
    <col min="1" max="1" width="33.7109375" style="51" customWidth="1"/>
    <col min="2" max="2" width="9.140625" style="51"/>
    <col min="3" max="3" width="13.85546875" style="51" bestFit="1" customWidth="1"/>
    <col min="4" max="4" width="9.42578125" style="51" bestFit="1" customWidth="1"/>
    <col min="5" max="11" width="9.28515625" style="51" bestFit="1" customWidth="1"/>
    <col min="12" max="12" width="9.140625" style="51" hidden="1" customWidth="1"/>
    <col min="13" max="16384" width="9.140625" style="51"/>
  </cols>
  <sheetData>
    <row r="1" spans="1:25" ht="4.5" customHeight="1"/>
    <row r="2" spans="1:25">
      <c r="D2" s="1009" t="s">
        <v>138</v>
      </c>
    </row>
    <row r="3" spans="1:25" ht="5.25" customHeight="1"/>
    <row r="4" spans="1:25">
      <c r="D4" s="999" t="s">
        <v>139</v>
      </c>
      <c r="E4" s="999"/>
      <c r="F4" s="999"/>
    </row>
    <row r="5" spans="1:25">
      <c r="C5" s="1021" t="s">
        <v>140</v>
      </c>
      <c r="D5" s="1021"/>
      <c r="E5" s="1021"/>
      <c r="F5" s="999"/>
    </row>
    <row r="6" spans="1:25">
      <c r="D6" s="1008"/>
      <c r="E6" s="1008"/>
      <c r="J6" s="306" t="s">
        <v>141</v>
      </c>
    </row>
    <row r="7" spans="1:25">
      <c r="T7" s="84"/>
    </row>
    <row r="8" spans="1:25">
      <c r="A8" s="998" t="s">
        <v>93</v>
      </c>
      <c r="B8" s="998"/>
      <c r="C8" s="998"/>
      <c r="D8" s="998">
        <v>1</v>
      </c>
      <c r="E8" s="998">
        <v>2</v>
      </c>
      <c r="F8" s="998">
        <v>3</v>
      </c>
      <c r="G8" s="998">
        <v>4</v>
      </c>
      <c r="H8" s="998">
        <v>5</v>
      </c>
      <c r="I8" s="998">
        <v>6</v>
      </c>
      <c r="J8" s="1011">
        <v>7</v>
      </c>
      <c r="K8" s="1011">
        <v>8</v>
      </c>
      <c r="L8" s="1011">
        <v>9</v>
      </c>
      <c r="M8" s="82"/>
      <c r="N8" s="82"/>
      <c r="O8" s="82"/>
      <c r="P8" s="82"/>
      <c r="Q8" s="82"/>
      <c r="R8" s="82"/>
      <c r="S8" s="82"/>
      <c r="T8" s="82"/>
    </row>
    <row r="9" spans="1:25">
      <c r="A9" s="83"/>
      <c r="B9" s="84"/>
      <c r="C9" s="84"/>
      <c r="D9" s="84"/>
      <c r="E9" s="84"/>
      <c r="F9" s="84"/>
      <c r="G9" s="84"/>
      <c r="H9" s="84"/>
      <c r="I9" s="84"/>
      <c r="J9" s="84"/>
      <c r="K9" s="84"/>
      <c r="L9" s="84"/>
      <c r="M9" s="84"/>
      <c r="N9" s="84"/>
      <c r="O9" s="84"/>
      <c r="P9" s="84"/>
      <c r="Q9" s="84"/>
      <c r="R9" s="84"/>
      <c r="S9" s="84"/>
      <c r="T9" s="84"/>
    </row>
    <row r="10" spans="1:25">
      <c r="A10" s="83" t="s">
        <v>142</v>
      </c>
      <c r="B10" s="84"/>
      <c r="C10" s="84"/>
      <c r="D10" s="43">
        <f>SALESPROJECTION!E74</f>
        <v>3668.25</v>
      </c>
      <c r="E10" s="43">
        <f>SALESPROJECTION!F74</f>
        <v>3668.25</v>
      </c>
      <c r="F10" s="43">
        <f>SALESPROJECTION!G74</f>
        <v>3668.25</v>
      </c>
      <c r="G10" s="43">
        <f>SALESPROJECTION!H74</f>
        <v>3668.25</v>
      </c>
      <c r="H10" s="43">
        <f>SALESPROJECTION!I74</f>
        <v>3668.25</v>
      </c>
      <c r="I10" s="43">
        <f>SALESPROJECTION!J74</f>
        <v>3668.25</v>
      </c>
      <c r="J10" s="43">
        <f>SALESPROJECTION!K74</f>
        <v>3668.25</v>
      </c>
      <c r="K10" s="43">
        <f>SALESPROJECTION!L74</f>
        <v>3668.25</v>
      </c>
      <c r="L10" s="43">
        <f>SALESPROJECTION!M74</f>
        <v>3668.25</v>
      </c>
      <c r="M10" s="43"/>
      <c r="N10" s="43"/>
      <c r="O10" s="43"/>
      <c r="P10" s="43"/>
      <c r="Q10" s="43"/>
      <c r="R10" s="43"/>
      <c r="S10" s="43"/>
      <c r="T10" s="43"/>
    </row>
    <row r="11" spans="1:25">
      <c r="A11" s="83" t="s">
        <v>143</v>
      </c>
      <c r="B11" s="84"/>
      <c r="C11" s="84"/>
      <c r="D11" s="43">
        <f>SALESPROJECTION!E75</f>
        <v>884.33568749999995</v>
      </c>
      <c r="E11" s="43">
        <f>SALESPROJECTION!F75</f>
        <v>884.33568749999995</v>
      </c>
      <c r="F11" s="43">
        <f>SALESPROJECTION!G75</f>
        <v>884.33568749999995</v>
      </c>
      <c r="G11" s="43">
        <f>SALESPROJECTION!H75</f>
        <v>884.33568749999995</v>
      </c>
      <c r="H11" s="43">
        <f>SALESPROJECTION!I75</f>
        <v>884.33568749999995</v>
      </c>
      <c r="I11" s="43">
        <f>SALESPROJECTION!J75</f>
        <v>884.33568749999995</v>
      </c>
      <c r="J11" s="43">
        <f>SALESPROJECTION!K75</f>
        <v>884.33568749999995</v>
      </c>
      <c r="K11" s="43">
        <f>SALESPROJECTION!L75</f>
        <v>884.33568749999995</v>
      </c>
      <c r="L11" s="43">
        <f>SALESPROJECTION!M75</f>
        <v>884.33568749999995</v>
      </c>
      <c r="M11" s="43"/>
      <c r="N11" s="43"/>
      <c r="O11" s="43"/>
      <c r="P11" s="43"/>
      <c r="Q11" s="43"/>
      <c r="R11" s="43"/>
      <c r="S11" s="43"/>
      <c r="T11" s="43"/>
    </row>
    <row r="12" spans="1:25">
      <c r="A12" s="67" t="s">
        <v>144</v>
      </c>
      <c r="B12" s="84"/>
      <c r="C12" s="84"/>
      <c r="D12" s="43">
        <f>SALESPROJECTION!E76</f>
        <v>195</v>
      </c>
      <c r="E12" s="43">
        <f>SALESPROJECTION!F76</f>
        <v>195</v>
      </c>
      <c r="F12" s="43">
        <f>SALESPROJECTION!G76</f>
        <v>195</v>
      </c>
      <c r="G12" s="43">
        <f>SALESPROJECTION!H76</f>
        <v>195</v>
      </c>
      <c r="H12" s="43">
        <f>SALESPROJECTION!I76</f>
        <v>195</v>
      </c>
      <c r="I12" s="43">
        <f>SALESPROJECTION!J76</f>
        <v>195</v>
      </c>
      <c r="J12" s="43">
        <f>SALESPROJECTION!K76</f>
        <v>195</v>
      </c>
      <c r="K12" s="43">
        <f>SALESPROJECTION!L76</f>
        <v>195</v>
      </c>
      <c r="L12" s="43">
        <f>SALESPROJECTION!M76</f>
        <v>195</v>
      </c>
      <c r="M12" s="43"/>
      <c r="N12" s="43"/>
      <c r="O12" s="43"/>
      <c r="P12" s="43"/>
      <c r="Q12" s="43"/>
      <c r="R12" s="43"/>
      <c r="S12" s="43"/>
      <c r="T12" s="43"/>
    </row>
    <row r="13" spans="1:25">
      <c r="A13" s="67" t="s">
        <v>145</v>
      </c>
      <c r="B13" s="84"/>
      <c r="C13" s="84"/>
      <c r="D13" s="43">
        <f>SALESPROJECTION!E79</f>
        <v>45</v>
      </c>
      <c r="E13" s="43">
        <f>SALESPROJECTION!F79</f>
        <v>45</v>
      </c>
      <c r="F13" s="43">
        <f>SALESPROJECTION!G79</f>
        <v>45</v>
      </c>
      <c r="G13" s="43">
        <f>SALESPROJECTION!H79</f>
        <v>45</v>
      </c>
      <c r="H13" s="43">
        <f>SALESPROJECTION!I79</f>
        <v>45</v>
      </c>
      <c r="I13" s="43">
        <f>SALESPROJECTION!J79</f>
        <v>45</v>
      </c>
      <c r="J13" s="43">
        <f>SALESPROJECTION!K79</f>
        <v>45</v>
      </c>
      <c r="K13" s="43">
        <f>SALESPROJECTION!L79</f>
        <v>45</v>
      </c>
      <c r="L13" s="43">
        <f>SALESPROJECTION!M79</f>
        <v>45</v>
      </c>
      <c r="M13" s="43"/>
      <c r="N13" s="43"/>
      <c r="O13" s="43"/>
      <c r="P13" s="43"/>
      <c r="Q13" s="43"/>
      <c r="R13" s="43"/>
      <c r="S13" s="43"/>
      <c r="T13" s="43"/>
    </row>
    <row r="14" spans="1:25">
      <c r="A14" s="83" t="s">
        <v>146</v>
      </c>
      <c r="B14" s="84"/>
      <c r="C14" s="84"/>
      <c r="D14" s="43">
        <f>SALESPROJECTION!E80</f>
        <v>125.7521971153846</v>
      </c>
      <c r="E14" s="43">
        <f>SALESPROJECTION!F80</f>
        <v>125.7521971153846</v>
      </c>
      <c r="F14" s="43">
        <f>SALESPROJECTION!G80</f>
        <v>125.7521971153846</v>
      </c>
      <c r="G14" s="43">
        <f>SALESPROJECTION!H80</f>
        <v>125.7521971153846</v>
      </c>
      <c r="H14" s="43">
        <f>SALESPROJECTION!I80</f>
        <v>125.7521971153846</v>
      </c>
      <c r="I14" s="43">
        <f>SALESPROJECTION!J80</f>
        <v>125.7521971153846</v>
      </c>
      <c r="J14" s="43">
        <f>SALESPROJECTION!K80</f>
        <v>125.7521971153846</v>
      </c>
      <c r="K14" s="43">
        <f>SALESPROJECTION!L80</f>
        <v>125.7521971153846</v>
      </c>
      <c r="L14" s="43">
        <f>SALESPROJECTION!M80</f>
        <v>125.7521971153846</v>
      </c>
      <c r="M14" s="43"/>
      <c r="N14" s="43"/>
      <c r="O14" s="43"/>
      <c r="P14" s="43"/>
      <c r="Q14" s="43"/>
      <c r="R14" s="43"/>
      <c r="S14" s="43"/>
      <c r="T14" s="43"/>
    </row>
    <row r="15" spans="1:25">
      <c r="A15" s="77" t="s">
        <v>124</v>
      </c>
      <c r="B15" s="78"/>
      <c r="C15" s="78"/>
      <c r="D15" s="6">
        <f>SUM(D10:D14)</f>
        <v>4918.3378846153846</v>
      </c>
      <c r="E15" s="6">
        <f t="shared" ref="E15:K15" si="0">SUM(E10:E14)</f>
        <v>4918.3378846153846</v>
      </c>
      <c r="F15" s="6">
        <f t="shared" si="0"/>
        <v>4918.3378846153846</v>
      </c>
      <c r="G15" s="6">
        <f t="shared" si="0"/>
        <v>4918.3378846153846</v>
      </c>
      <c r="H15" s="6">
        <f t="shared" si="0"/>
        <v>4918.3378846153846</v>
      </c>
      <c r="I15" s="6">
        <f t="shared" si="0"/>
        <v>4918.3378846153846</v>
      </c>
      <c r="J15" s="6">
        <f t="shared" si="0"/>
        <v>4918.3378846153846</v>
      </c>
      <c r="K15" s="6">
        <f t="shared" si="0"/>
        <v>4918.3378846153846</v>
      </c>
      <c r="L15" s="6">
        <f>SUM(L10:L14)</f>
        <v>4918.3378846153846</v>
      </c>
      <c r="M15" s="6"/>
      <c r="N15" s="6"/>
      <c r="O15" s="6"/>
      <c r="P15" s="6"/>
      <c r="Q15" s="6"/>
      <c r="R15" s="6"/>
      <c r="S15" s="6"/>
      <c r="T15" s="43">
        <f>E15-SALESPROJECTION!F81</f>
        <v>-111.75</v>
      </c>
      <c r="U15" s="43">
        <f>F15-SALESPROJECTION!G81</f>
        <v>-111.75</v>
      </c>
      <c r="V15" s="43">
        <f>G15-SALESPROJECTION!H81</f>
        <v>-111.75</v>
      </c>
      <c r="W15" s="43">
        <f>H15-SALESPROJECTION!I81</f>
        <v>-111.75</v>
      </c>
      <c r="X15" s="43">
        <f>I15-SALESPROJECTION!J81</f>
        <v>-111.75</v>
      </c>
      <c r="Y15" s="43">
        <f>J15-SALESPROJECTION!K81</f>
        <v>-111.75</v>
      </c>
    </row>
    <row r="16" spans="1:25">
      <c r="A16" s="77" t="s">
        <v>147</v>
      </c>
      <c r="B16" s="78"/>
      <c r="C16" s="78"/>
      <c r="D16" s="79">
        <f>40%</f>
        <v>0.4</v>
      </c>
      <c r="E16" s="79">
        <f>D16+0.05</f>
        <v>0.45</v>
      </c>
      <c r="F16" s="79">
        <f>E16+0.05</f>
        <v>0.5</v>
      </c>
      <c r="G16" s="79">
        <f>F16+0.05</f>
        <v>0.55000000000000004</v>
      </c>
      <c r="H16" s="79">
        <f>G16+5%</f>
        <v>0.60000000000000009</v>
      </c>
      <c r="I16" s="79">
        <f>H16</f>
        <v>0.60000000000000009</v>
      </c>
      <c r="J16" s="79">
        <f>I16</f>
        <v>0.60000000000000009</v>
      </c>
      <c r="K16" s="79">
        <f>J16</f>
        <v>0.60000000000000009</v>
      </c>
      <c r="L16" s="79">
        <f>K16</f>
        <v>0.60000000000000009</v>
      </c>
      <c r="M16" s="79"/>
      <c r="N16" s="79"/>
      <c r="O16" s="79"/>
      <c r="P16" s="79"/>
      <c r="Q16" s="79"/>
      <c r="R16" s="79"/>
      <c r="S16" s="79"/>
      <c r="T16" s="85"/>
    </row>
    <row r="17" spans="1:23">
      <c r="A17" s="83"/>
      <c r="B17" s="84"/>
      <c r="C17" s="84"/>
      <c r="D17" s="84"/>
      <c r="E17" s="84"/>
      <c r="F17" s="84"/>
      <c r="G17" s="84"/>
      <c r="H17" s="84"/>
      <c r="I17" s="84"/>
      <c r="J17" s="84"/>
      <c r="K17" s="84"/>
      <c r="L17" s="84"/>
      <c r="M17" s="84"/>
      <c r="N17" s="84"/>
      <c r="O17" s="84"/>
      <c r="P17" s="84"/>
      <c r="Q17" s="84"/>
      <c r="R17" s="84"/>
      <c r="S17" s="84"/>
      <c r="T17" s="84"/>
    </row>
    <row r="18" spans="1:23">
      <c r="A18" s="80" t="s">
        <v>148</v>
      </c>
      <c r="B18" s="78"/>
      <c r="C18" s="78"/>
      <c r="D18" s="78"/>
      <c r="E18" s="78"/>
      <c r="F18" s="78"/>
      <c r="G18" s="84"/>
      <c r="H18" s="84"/>
      <c r="I18" s="84"/>
      <c r="J18" s="84"/>
      <c r="K18" s="84"/>
      <c r="L18" s="84"/>
      <c r="M18" s="84"/>
      <c r="N18" s="84"/>
      <c r="O18" s="84"/>
      <c r="P18" s="84"/>
      <c r="Q18" s="84"/>
      <c r="R18" s="84"/>
      <c r="S18" s="84"/>
      <c r="T18" s="84"/>
    </row>
    <row r="19" spans="1:23">
      <c r="A19" s="80"/>
      <c r="B19" s="78"/>
      <c r="C19" s="78"/>
      <c r="D19" s="78"/>
      <c r="E19" s="78"/>
      <c r="F19" s="78"/>
      <c r="G19" s="84"/>
      <c r="H19" s="84"/>
      <c r="I19" s="84"/>
      <c r="J19" s="84"/>
      <c r="K19" s="84"/>
      <c r="L19" s="84"/>
      <c r="M19" s="84"/>
      <c r="N19" s="84"/>
      <c r="O19" s="84"/>
      <c r="P19" s="84"/>
      <c r="Q19" s="84"/>
      <c r="R19" s="84"/>
      <c r="S19" s="84"/>
      <c r="T19" s="84"/>
    </row>
    <row r="20" spans="1:23">
      <c r="A20" s="83" t="s">
        <v>149</v>
      </c>
      <c r="B20" s="84"/>
      <c r="C20" s="84"/>
      <c r="D20" s="43">
        <f t="shared" ref="D20:J20" si="1">D16*D10</f>
        <v>1467.3000000000002</v>
      </c>
      <c r="E20" s="43">
        <f t="shared" si="1"/>
        <v>1650.7125000000001</v>
      </c>
      <c r="F20" s="43">
        <f t="shared" si="1"/>
        <v>1834.125</v>
      </c>
      <c r="G20" s="43">
        <f t="shared" si="1"/>
        <v>2017.5375000000001</v>
      </c>
      <c r="H20" s="43">
        <f t="shared" si="1"/>
        <v>2200.9500000000003</v>
      </c>
      <c r="I20" s="43">
        <f t="shared" si="1"/>
        <v>2200.9500000000003</v>
      </c>
      <c r="J20" s="43">
        <f t="shared" si="1"/>
        <v>2200.9500000000003</v>
      </c>
      <c r="K20" s="43">
        <f>K16*K10</f>
        <v>2200.9500000000003</v>
      </c>
      <c r="L20" s="43">
        <f>L16*L10</f>
        <v>2200.9500000000003</v>
      </c>
      <c r="M20" s="43"/>
      <c r="N20" s="43"/>
      <c r="O20" s="43"/>
      <c r="P20" s="43"/>
      <c r="Q20" s="43"/>
      <c r="R20" s="43"/>
      <c r="S20" s="43"/>
      <c r="T20" s="43"/>
    </row>
    <row r="21" spans="1:23">
      <c r="A21" s="83" t="s">
        <v>143</v>
      </c>
      <c r="B21" s="84"/>
      <c r="C21" s="84"/>
      <c r="D21" s="43">
        <f>$D$16*D11</f>
        <v>353.73427500000003</v>
      </c>
      <c r="E21" s="43">
        <f>$E$16*E11</f>
        <v>397.951059375</v>
      </c>
      <c r="F21" s="43">
        <f>$F$16*F11</f>
        <v>442.16784374999997</v>
      </c>
      <c r="G21" s="43">
        <f>$G$16*G11</f>
        <v>486.38462812500001</v>
      </c>
      <c r="H21" s="43">
        <f>$H$16*H11</f>
        <v>530.60141250000004</v>
      </c>
      <c r="I21" s="43">
        <f>$I$16*I11</f>
        <v>530.60141250000004</v>
      </c>
      <c r="J21" s="43">
        <f>$J$16*J11</f>
        <v>530.60141250000004</v>
      </c>
      <c r="K21" s="43">
        <f t="shared" ref="K21:L23" si="2">$K$16*K11</f>
        <v>530.60141250000004</v>
      </c>
      <c r="L21" s="43">
        <f t="shared" si="2"/>
        <v>530.60141250000004</v>
      </c>
      <c r="M21" s="43"/>
      <c r="N21" s="43"/>
      <c r="O21" s="43"/>
      <c r="P21" s="43"/>
      <c r="Q21" s="43"/>
      <c r="R21" s="43"/>
      <c r="S21" s="43"/>
      <c r="T21" s="43"/>
    </row>
    <row r="22" spans="1:23">
      <c r="A22" s="67" t="s">
        <v>144</v>
      </c>
      <c r="B22" s="84"/>
      <c r="C22" s="84"/>
      <c r="D22" s="43">
        <f>$D$16*D12</f>
        <v>78</v>
      </c>
      <c r="E22" s="43">
        <f>$E$16*E12</f>
        <v>87.75</v>
      </c>
      <c r="F22" s="43">
        <f>$F$16*F12</f>
        <v>97.5</v>
      </c>
      <c r="G22" s="43">
        <f>$G$16*G12</f>
        <v>107.25000000000001</v>
      </c>
      <c r="H22" s="43">
        <f>$H$16*H12</f>
        <v>117.00000000000001</v>
      </c>
      <c r="I22" s="43">
        <f>$I$16*I12</f>
        <v>117.00000000000001</v>
      </c>
      <c r="J22" s="43">
        <f>$J$16*J12</f>
        <v>117.00000000000001</v>
      </c>
      <c r="K22" s="43">
        <f t="shared" si="2"/>
        <v>117.00000000000001</v>
      </c>
      <c r="L22" s="43">
        <f t="shared" si="2"/>
        <v>117.00000000000001</v>
      </c>
      <c r="M22" s="43"/>
      <c r="N22" s="43"/>
      <c r="O22" s="43"/>
      <c r="P22" s="43"/>
      <c r="Q22" s="43"/>
      <c r="R22" s="43"/>
      <c r="S22" s="43"/>
      <c r="T22" s="43"/>
    </row>
    <row r="23" spans="1:23">
      <c r="A23" s="67" t="s">
        <v>145</v>
      </c>
      <c r="B23" s="84"/>
      <c r="C23" s="84"/>
      <c r="D23" s="43">
        <f>$D$16*D13</f>
        <v>18</v>
      </c>
      <c r="E23" s="43">
        <f>$E$16*E13</f>
        <v>20.25</v>
      </c>
      <c r="F23" s="43">
        <f>$F$16*F13</f>
        <v>22.5</v>
      </c>
      <c r="G23" s="43">
        <f>$G$16*G13</f>
        <v>24.750000000000004</v>
      </c>
      <c r="H23" s="43">
        <f>$H$16*H13</f>
        <v>27.000000000000004</v>
      </c>
      <c r="I23" s="43">
        <f>$I$16*I13</f>
        <v>27.000000000000004</v>
      </c>
      <c r="J23" s="43">
        <f>$J$16*J13</f>
        <v>27.000000000000004</v>
      </c>
      <c r="K23" s="43">
        <f t="shared" si="2"/>
        <v>27.000000000000004</v>
      </c>
      <c r="L23" s="43">
        <f t="shared" si="2"/>
        <v>27.000000000000004</v>
      </c>
      <c r="M23" s="43"/>
      <c r="N23" s="43"/>
      <c r="O23" s="43"/>
      <c r="P23" s="43"/>
      <c r="Q23" s="43"/>
      <c r="R23" s="43"/>
      <c r="S23" s="43"/>
      <c r="T23" s="43"/>
    </row>
    <row r="24" spans="1:23">
      <c r="A24" s="83" t="s">
        <v>146</v>
      </c>
      <c r="B24" s="84"/>
      <c r="C24" s="84"/>
      <c r="D24" s="43">
        <f>D16*D14</f>
        <v>50.300878846153843</v>
      </c>
      <c r="E24" s="43">
        <f t="shared" ref="E24:J24" si="3">E16*E14</f>
        <v>56.588488701923076</v>
      </c>
      <c r="F24" s="43">
        <f t="shared" si="3"/>
        <v>62.876098557692302</v>
      </c>
      <c r="G24" s="43">
        <f t="shared" si="3"/>
        <v>69.163708413461535</v>
      </c>
      <c r="H24" s="43">
        <f t="shared" si="3"/>
        <v>75.451318269230768</v>
      </c>
      <c r="I24" s="43">
        <f t="shared" si="3"/>
        <v>75.451318269230768</v>
      </c>
      <c r="J24" s="43">
        <f t="shared" si="3"/>
        <v>75.451318269230768</v>
      </c>
      <c r="K24" s="43">
        <f>K16*K14</f>
        <v>75.451318269230768</v>
      </c>
      <c r="L24" s="43">
        <f>L16*L14</f>
        <v>75.451318269230768</v>
      </c>
      <c r="M24" s="43"/>
      <c r="N24" s="43"/>
      <c r="O24" s="43"/>
      <c r="P24" s="43"/>
      <c r="Q24" s="43"/>
      <c r="R24" s="43"/>
      <c r="S24" s="43"/>
      <c r="T24" s="43"/>
    </row>
    <row r="25" spans="1:23" ht="13.5" thickBot="1">
      <c r="A25" s="81" t="s">
        <v>150</v>
      </c>
      <c r="B25" s="53"/>
      <c r="C25" s="53"/>
      <c r="D25" s="66">
        <f>SUM(D20:D24)</f>
        <v>1967.3351538461541</v>
      </c>
      <c r="E25" s="66">
        <f t="shared" ref="E25:K25" si="4">SUM(E20:E24)</f>
        <v>2213.2520480769231</v>
      </c>
      <c r="F25" s="66">
        <f t="shared" si="4"/>
        <v>2459.1689423076923</v>
      </c>
      <c r="G25" s="66">
        <f t="shared" si="4"/>
        <v>2705.0858365384615</v>
      </c>
      <c r="H25" s="66">
        <f t="shared" si="4"/>
        <v>2951.0027307692312</v>
      </c>
      <c r="I25" s="66">
        <f t="shared" si="4"/>
        <v>2951.0027307692312</v>
      </c>
      <c r="J25" s="66">
        <f t="shared" si="4"/>
        <v>2951.0027307692312</v>
      </c>
      <c r="K25" s="66">
        <f t="shared" si="4"/>
        <v>2951.0027307692312</v>
      </c>
      <c r="L25" s="66">
        <f>SUM(L20:L24)</f>
        <v>2951.0027307692312</v>
      </c>
      <c r="M25" s="6"/>
      <c r="N25" s="6"/>
      <c r="O25" s="6"/>
      <c r="P25" s="6"/>
      <c r="Q25" s="6"/>
      <c r="R25" s="6"/>
      <c r="S25" s="6"/>
      <c r="T25" s="43"/>
    </row>
    <row r="26" spans="1:23" ht="13.5" thickTop="1">
      <c r="A26" s="83"/>
      <c r="B26" s="84"/>
      <c r="C26" s="84"/>
      <c r="D26" s="84"/>
      <c r="E26" s="84"/>
      <c r="F26" s="84"/>
      <c r="G26" s="84"/>
      <c r="H26" s="84"/>
      <c r="I26" s="84"/>
      <c r="J26" s="84"/>
      <c r="K26" s="84"/>
      <c r="L26" s="84"/>
      <c r="M26" s="84"/>
      <c r="N26" s="84"/>
      <c r="O26" s="84"/>
      <c r="P26" s="84"/>
      <c r="Q26" s="84"/>
      <c r="R26" s="84"/>
      <c r="S26" s="84"/>
      <c r="T26" s="84"/>
    </row>
    <row r="27" spans="1:23">
      <c r="A27" s="77" t="s">
        <v>151</v>
      </c>
      <c r="B27" s="82" t="s">
        <v>152</v>
      </c>
      <c r="C27" s="82" t="s">
        <v>153</v>
      </c>
      <c r="D27" s="84"/>
      <c r="E27" s="84"/>
      <c r="F27" s="84"/>
      <c r="G27" s="84"/>
      <c r="H27" s="84"/>
      <c r="I27" s="84"/>
      <c r="J27" s="84"/>
      <c r="K27" s="84"/>
      <c r="L27" s="84"/>
      <c r="M27" s="84"/>
      <c r="N27" s="84"/>
      <c r="O27" s="84"/>
      <c r="P27" s="84"/>
      <c r="Q27" s="84"/>
      <c r="R27" s="84"/>
      <c r="S27" s="84"/>
      <c r="T27" s="84"/>
      <c r="U27" s="50"/>
    </row>
    <row r="28" spans="1:23">
      <c r="A28" s="77"/>
      <c r="B28" s="82"/>
      <c r="C28" s="82"/>
      <c r="D28" s="84"/>
      <c r="E28" s="84"/>
      <c r="F28" s="84"/>
      <c r="G28" s="84"/>
      <c r="H28" s="84"/>
      <c r="I28" s="84"/>
      <c r="J28" s="84"/>
      <c r="K28" s="84"/>
      <c r="L28" s="84"/>
      <c r="M28" s="84"/>
      <c r="N28" s="84"/>
      <c r="O28" s="84"/>
      <c r="P28" s="84"/>
      <c r="Q28" s="84"/>
      <c r="R28" s="84"/>
      <c r="S28" s="84"/>
      <c r="T28" s="84"/>
    </row>
    <row r="29" spans="1:23">
      <c r="A29" s="83" t="s">
        <v>154</v>
      </c>
      <c r="B29" s="86">
        <v>0.4</v>
      </c>
      <c r="C29" s="85" t="s">
        <v>155</v>
      </c>
      <c r="D29" s="43">
        <f>ROUND(B29*D21,2)</f>
        <v>141.49</v>
      </c>
      <c r="E29" s="43">
        <f>B29*E21</f>
        <v>159.18042375000002</v>
      </c>
      <c r="F29" s="43">
        <f>B29*F21</f>
        <v>176.86713750000001</v>
      </c>
      <c r="G29" s="43">
        <f>B29*G21</f>
        <v>194.55385125000001</v>
      </c>
      <c r="H29" s="43">
        <f>B29*H21</f>
        <v>212.24056500000003</v>
      </c>
      <c r="I29" s="43">
        <f>B29*I21</f>
        <v>212.24056500000003</v>
      </c>
      <c r="J29" s="43">
        <f>$B$29*J21</f>
        <v>212.24056500000003</v>
      </c>
      <c r="K29" s="43">
        <f>$B$29*K21</f>
        <v>212.24056500000003</v>
      </c>
      <c r="L29" s="43">
        <f>$B$29*L21</f>
        <v>212.24056500000003</v>
      </c>
      <c r="M29" s="43"/>
      <c r="N29" s="43"/>
      <c r="O29" s="43"/>
      <c r="P29" s="43"/>
      <c r="Q29" s="43"/>
      <c r="R29" s="43"/>
      <c r="S29" s="43"/>
      <c r="T29" s="43"/>
      <c r="U29" s="67"/>
      <c r="V29" s="67"/>
      <c r="W29" s="67"/>
    </row>
    <row r="30" spans="1:23">
      <c r="A30" s="83" t="s">
        <v>156</v>
      </c>
      <c r="B30" s="86">
        <v>0.25</v>
      </c>
      <c r="C30" s="85" t="s">
        <v>157</v>
      </c>
      <c r="D30" s="43">
        <f>(D22+D23)*$B$30</f>
        <v>24</v>
      </c>
      <c r="E30" s="43">
        <f t="shared" ref="E30:K30" si="5">(E22+E23)*$B$30</f>
        <v>27</v>
      </c>
      <c r="F30" s="43">
        <f t="shared" si="5"/>
        <v>30</v>
      </c>
      <c r="G30" s="43">
        <f t="shared" si="5"/>
        <v>33.000000000000007</v>
      </c>
      <c r="H30" s="43">
        <f t="shared" si="5"/>
        <v>36.000000000000007</v>
      </c>
      <c r="I30" s="43">
        <f t="shared" si="5"/>
        <v>36.000000000000007</v>
      </c>
      <c r="J30" s="43">
        <f t="shared" si="5"/>
        <v>36.000000000000007</v>
      </c>
      <c r="K30" s="43">
        <f t="shared" si="5"/>
        <v>36.000000000000007</v>
      </c>
      <c r="L30" s="43">
        <f>(L22+L23)*$B$30</f>
        <v>36.000000000000007</v>
      </c>
      <c r="M30" s="43"/>
      <c r="N30" s="43"/>
      <c r="O30" s="43"/>
      <c r="P30" s="43"/>
      <c r="Q30" s="43"/>
      <c r="R30" s="43"/>
      <c r="S30" s="43"/>
      <c r="T30" s="43"/>
      <c r="U30" s="67"/>
      <c r="V30" s="67"/>
      <c r="W30" s="67"/>
    </row>
    <row r="31" spans="1:23">
      <c r="A31" s="83" t="s">
        <v>158</v>
      </c>
      <c r="B31" s="86">
        <v>0.09</v>
      </c>
      <c r="C31" s="85" t="s">
        <v>159</v>
      </c>
      <c r="D31" s="43">
        <f>B31*D25</f>
        <v>177.06016384615387</v>
      </c>
      <c r="E31" s="43">
        <f>B31*E25*1.05</f>
        <v>209.15231854326922</v>
      </c>
      <c r="F31" s="43">
        <f>B31*F25*1.1</f>
        <v>243.45772528846155</v>
      </c>
      <c r="G31" s="43">
        <f>B31*G25*1.2</f>
        <v>292.1492703461538</v>
      </c>
      <c r="H31" s="43">
        <f>B31*H25*1.2</f>
        <v>318.70829492307695</v>
      </c>
      <c r="I31" s="43">
        <f>B31*I25*1.25</f>
        <v>331.98780721153855</v>
      </c>
      <c r="J31" s="43">
        <f>$B$31*J25*1.3</f>
        <v>345.2673195000001</v>
      </c>
      <c r="K31" s="43">
        <f>$B$31*K25*1.35</f>
        <v>358.54683178846165</v>
      </c>
      <c r="L31" s="43">
        <f>$B$31*L25*1.4</f>
        <v>371.82634407692314</v>
      </c>
      <c r="M31" s="43"/>
      <c r="N31" s="43"/>
      <c r="O31" s="43"/>
      <c r="P31" s="43" t="s">
        <v>160</v>
      </c>
      <c r="Q31" s="43"/>
      <c r="R31" s="43"/>
      <c r="S31" s="43"/>
      <c r="T31" s="43"/>
      <c r="U31" s="67"/>
      <c r="V31" s="67"/>
      <c r="W31" s="67"/>
    </row>
    <row r="32" spans="1:23">
      <c r="A32" s="83" t="s">
        <v>161</v>
      </c>
      <c r="B32" s="86">
        <v>7.4999999999999997E-2</v>
      </c>
      <c r="C32" s="85" t="s">
        <v>159</v>
      </c>
      <c r="D32" s="43">
        <f>ROUND(B32*D25,2)</f>
        <v>147.55000000000001</v>
      </c>
      <c r="E32" s="43">
        <f>B32*E25</f>
        <v>165.99390360576922</v>
      </c>
      <c r="F32" s="43">
        <f>B32*F25</f>
        <v>184.43767067307692</v>
      </c>
      <c r="G32" s="43">
        <f>B32*G25</f>
        <v>202.8814377403846</v>
      </c>
      <c r="H32" s="43">
        <f>B32*H25</f>
        <v>221.32520480769233</v>
      </c>
      <c r="I32" s="43">
        <f>B32*I25</f>
        <v>221.32520480769233</v>
      </c>
      <c r="J32" s="43">
        <f>$B$32*J25</f>
        <v>221.32520480769233</v>
      </c>
      <c r="K32" s="43">
        <f>$B$32*K25</f>
        <v>221.32520480769233</v>
      </c>
      <c r="L32" s="43">
        <f>$B$32*L25</f>
        <v>221.32520480769233</v>
      </c>
      <c r="M32" s="43"/>
      <c r="N32" s="43"/>
      <c r="O32" s="43"/>
      <c r="P32" s="43"/>
      <c r="Q32" s="43"/>
      <c r="R32" s="43"/>
      <c r="S32" s="43"/>
      <c r="T32" s="43"/>
      <c r="U32" s="67"/>
      <c r="V32" s="67"/>
      <c r="W32" s="67"/>
    </row>
    <row r="33" spans="1:23">
      <c r="A33" s="83" t="s">
        <v>162</v>
      </c>
      <c r="B33" s="86">
        <v>5.0000000000000001E-3</v>
      </c>
      <c r="C33" s="85" t="s">
        <v>163</v>
      </c>
      <c r="D33" s="43">
        <f>depreciation!D147*0.5%</f>
        <v>19.058351139626691</v>
      </c>
      <c r="E33" s="43">
        <f>depreciation!E147*1%</f>
        <v>33.594761682286752</v>
      </c>
      <c r="F33" s="43">
        <f>depreciation!F147*1.25%</f>
        <v>37.528526356650175</v>
      </c>
      <c r="G33" s="43">
        <f>depreciation!G147*2.5%</f>
        <v>64.002201220883805</v>
      </c>
      <c r="H33" s="43">
        <f>depreciation!H147*2.5%</f>
        <v>55.697349728467259</v>
      </c>
      <c r="I33" s="43">
        <f>depreciation!I147*3%</f>
        <v>56.570997883260844</v>
      </c>
      <c r="J33" s="43">
        <f>depreciation!J147*3.5%</f>
        <v>54.197705441087834</v>
      </c>
      <c r="K33" s="43">
        <f>depreciation!K147*4%</f>
        <v>47.852472401948191</v>
      </c>
      <c r="L33" s="43">
        <f>depreciation!L147*4.75%</f>
        <v>39.383093141722036</v>
      </c>
      <c r="M33" s="43"/>
      <c r="N33" s="43"/>
      <c r="O33" s="43"/>
      <c r="P33" s="43" t="s">
        <v>160</v>
      </c>
      <c r="Q33" s="43"/>
      <c r="R33" s="43"/>
      <c r="S33" s="43"/>
      <c r="T33" s="43"/>
      <c r="U33" s="67"/>
      <c r="V33" s="67"/>
      <c r="W33" s="67"/>
    </row>
    <row r="34" spans="1:23">
      <c r="A34" s="83" t="s">
        <v>164</v>
      </c>
      <c r="B34" s="86">
        <v>0.05</v>
      </c>
      <c r="C34" s="85" t="s">
        <v>149</v>
      </c>
      <c r="D34" s="43">
        <f>D20*B34</f>
        <v>73.365000000000009</v>
      </c>
      <c r="E34" s="43">
        <f>E20*B34*1.5</f>
        <v>123.80343750000002</v>
      </c>
      <c r="F34" s="43">
        <f>F20*B34*2</f>
        <v>183.41250000000002</v>
      </c>
      <c r="G34" s="43">
        <f>G20*B34*2.15</f>
        <v>216.88528125000002</v>
      </c>
      <c r="H34" s="43">
        <f>H20*B34*2.25</f>
        <v>247.60687500000003</v>
      </c>
      <c r="I34" s="43">
        <f>I20*B34*2.5</f>
        <v>275.11875000000003</v>
      </c>
      <c r="J34" s="43">
        <f>J20*$B$34*2.5</f>
        <v>275.11875000000003</v>
      </c>
      <c r="K34" s="43">
        <f>K20*$B$34*2.5</f>
        <v>275.11875000000003</v>
      </c>
      <c r="L34" s="43">
        <f>L20*$B$34*2.5</f>
        <v>275.11875000000003</v>
      </c>
      <c r="M34" s="43"/>
      <c r="N34" s="43"/>
      <c r="O34" s="43"/>
      <c r="P34" s="43" t="s">
        <v>160</v>
      </c>
      <c r="Q34" s="43" t="s">
        <v>165</v>
      </c>
      <c r="R34" s="43"/>
      <c r="S34" s="43"/>
      <c r="T34" s="43"/>
      <c r="U34" s="67"/>
      <c r="V34" s="67"/>
      <c r="W34" s="67"/>
    </row>
    <row r="35" spans="1:23">
      <c r="A35" s="83" t="s">
        <v>166</v>
      </c>
      <c r="B35" s="86">
        <v>0.04</v>
      </c>
      <c r="C35" s="85" t="s">
        <v>149</v>
      </c>
      <c r="D35" s="43">
        <f>B35*D20</f>
        <v>58.692000000000007</v>
      </c>
      <c r="E35" s="43">
        <f>B35*E20*1.25</f>
        <v>82.53562500000001</v>
      </c>
      <c r="F35" s="43">
        <f>B35*F20*1.25</f>
        <v>91.706249999999997</v>
      </c>
      <c r="G35" s="43">
        <f>B35*G20*1.25</f>
        <v>100.87687500000001</v>
      </c>
      <c r="H35" s="43">
        <f>B35*H20*1.25</f>
        <v>110.04750000000001</v>
      </c>
      <c r="I35" s="43">
        <f>B35*I20*1.25</f>
        <v>110.04750000000001</v>
      </c>
      <c r="J35" s="43">
        <f>B35*J20*1.25</f>
        <v>110.04750000000001</v>
      </c>
      <c r="K35" s="43">
        <f>B35*K20*1.25</f>
        <v>110.04750000000001</v>
      </c>
      <c r="L35" s="43">
        <f>B35*L20*1.25</f>
        <v>110.04750000000001</v>
      </c>
      <c r="M35" s="43"/>
      <c r="N35" s="43"/>
      <c r="O35" s="43"/>
      <c r="P35" s="43" t="s">
        <v>160</v>
      </c>
      <c r="Q35" s="43" t="s">
        <v>167</v>
      </c>
      <c r="R35" s="43"/>
      <c r="S35" s="43"/>
      <c r="T35" s="43"/>
      <c r="U35" s="67"/>
      <c r="V35" s="67"/>
      <c r="W35" s="67"/>
    </row>
    <row r="36" spans="1:23">
      <c r="A36" s="83" t="s">
        <v>168</v>
      </c>
      <c r="B36" s="86">
        <v>0.01</v>
      </c>
      <c r="C36" s="85" t="s">
        <v>159</v>
      </c>
      <c r="D36" s="43">
        <f>B36*D25</f>
        <v>19.673351538461542</v>
      </c>
      <c r="E36" s="43">
        <f>B36*E25</f>
        <v>22.13252048076923</v>
      </c>
      <c r="F36" s="43">
        <f>B36*F25*1.1</f>
        <v>27.05085836538462</v>
      </c>
      <c r="G36" s="43">
        <f>B36*G25*1.2</f>
        <v>32.461030038461537</v>
      </c>
      <c r="H36" s="43">
        <f>B36*H25*1.2</f>
        <v>35.41203276923077</v>
      </c>
      <c r="I36" s="43">
        <f>B36*I25*1.2</f>
        <v>35.41203276923077</v>
      </c>
      <c r="J36" s="43">
        <f>B36*J25*1.2</f>
        <v>35.41203276923077</v>
      </c>
      <c r="K36" s="43">
        <f>B36*K25*1.2</f>
        <v>35.41203276923077</v>
      </c>
      <c r="L36" s="43">
        <f>B36*L25*1.2</f>
        <v>35.41203276923077</v>
      </c>
      <c r="M36" s="43"/>
      <c r="N36" s="43"/>
      <c r="O36" s="43"/>
      <c r="P36" s="43" t="s">
        <v>160</v>
      </c>
      <c r="Q36" s="43" t="s">
        <v>167</v>
      </c>
      <c r="R36" s="43"/>
      <c r="S36" s="43"/>
      <c r="T36" s="43"/>
      <c r="U36" s="67"/>
      <c r="V36" s="67"/>
      <c r="W36" s="67"/>
    </row>
    <row r="37" spans="1:23">
      <c r="A37" s="83" t="s">
        <v>169</v>
      </c>
      <c r="B37" s="86">
        <v>2.2499999999999999E-2</v>
      </c>
      <c r="C37" s="85" t="s">
        <v>159</v>
      </c>
      <c r="D37" s="43">
        <f>B37*D25</f>
        <v>44.265040961538467</v>
      </c>
      <c r="E37" s="43">
        <f>B37*E25*1.1</f>
        <v>54.777988189903844</v>
      </c>
      <c r="F37" s="43">
        <f>B37*F25*1.1</f>
        <v>60.864431322115387</v>
      </c>
      <c r="G37" s="43">
        <f>B37*G25*1.15</f>
        <v>69.994096020432679</v>
      </c>
      <c r="H37" s="43">
        <f>B37*H25*1.2</f>
        <v>79.677073730769237</v>
      </c>
      <c r="I37" s="43">
        <f>B37*I25*1.25</f>
        <v>82.996951802884638</v>
      </c>
      <c r="J37" s="43">
        <f>B37*J25*1.3</f>
        <v>86.316829875000025</v>
      </c>
      <c r="K37" s="43">
        <f>B37*K25*1.35</f>
        <v>89.636707947115411</v>
      </c>
      <c r="L37" s="43">
        <f>B37*L25*1.4</f>
        <v>92.956586019230784</v>
      </c>
      <c r="M37" s="43"/>
      <c r="N37" s="43"/>
      <c r="O37" s="43"/>
      <c r="P37" s="43" t="s">
        <v>160</v>
      </c>
      <c r="Q37" s="43"/>
      <c r="R37" s="43"/>
      <c r="S37" s="43"/>
      <c r="T37" s="43"/>
      <c r="U37" s="67"/>
      <c r="V37" s="67"/>
      <c r="W37" s="67"/>
    </row>
    <row r="38" spans="1:23" ht="13.5" thickBot="1">
      <c r="A38" s="83" t="s">
        <v>170</v>
      </c>
      <c r="B38" s="86">
        <v>2.5000000000000001E-2</v>
      </c>
      <c r="C38" s="85" t="s">
        <v>159</v>
      </c>
      <c r="D38" s="43">
        <f>B38*D25</f>
        <v>49.183378846153857</v>
      </c>
      <c r="E38" s="43">
        <f>B38*E25*1.1</f>
        <v>60.864431322115394</v>
      </c>
      <c r="F38" s="43">
        <f>B38*F25*1.1</f>
        <v>67.627145913461547</v>
      </c>
      <c r="G38" s="43">
        <f>B38*G25*1.25</f>
        <v>84.533932391826937</v>
      </c>
      <c r="H38" s="43">
        <f>B38*H25*1.25</f>
        <v>92.21883533653849</v>
      </c>
      <c r="I38" s="43">
        <f>B38*I25*1.25</f>
        <v>92.21883533653849</v>
      </c>
      <c r="J38" s="43">
        <f>B38*J25*1.25</f>
        <v>92.21883533653849</v>
      </c>
      <c r="K38" s="43">
        <f>B38*K25*1.25</f>
        <v>92.21883533653849</v>
      </c>
      <c r="L38" s="43">
        <f>B38*L25*1.25</f>
        <v>92.21883533653849</v>
      </c>
      <c r="M38" s="43"/>
      <c r="N38" s="43"/>
      <c r="O38" s="43"/>
      <c r="P38" s="43" t="s">
        <v>160</v>
      </c>
      <c r="Q38" s="43" t="s">
        <v>167</v>
      </c>
      <c r="R38" s="43"/>
      <c r="S38" s="43"/>
      <c r="T38" s="43"/>
      <c r="U38" s="66"/>
      <c r="V38" s="66"/>
      <c r="W38" s="66"/>
    </row>
    <row r="39" spans="1:23" ht="13.5" thickTop="1">
      <c r="A39" s="83" t="s">
        <v>171</v>
      </c>
      <c r="B39" s="86">
        <v>1.2500000000000001E-2</v>
      </c>
      <c r="C39" s="85" t="s">
        <v>159</v>
      </c>
      <c r="D39" s="43">
        <f>B39*D25</f>
        <v>24.591689423076929</v>
      </c>
      <c r="E39" s="43">
        <f>B39*E25*1.5</f>
        <v>41.498475901442312</v>
      </c>
      <c r="F39" s="43">
        <f>B39*F25*2</f>
        <v>61.479223557692308</v>
      </c>
      <c r="G39" s="43">
        <f>B39*G25*2.5</f>
        <v>84.533932391826937</v>
      </c>
      <c r="H39" s="43">
        <f>B39*H25*2.75</f>
        <v>101.44071887019233</v>
      </c>
      <c r="I39" s="43">
        <f>B39*I25*3.5</f>
        <v>129.10636947115387</v>
      </c>
      <c r="J39" s="43">
        <f>B39*J25*3.75</f>
        <v>138.32825300480772</v>
      </c>
      <c r="K39" s="43">
        <f>B39*K25*4</f>
        <v>147.55013653846157</v>
      </c>
      <c r="L39" s="43">
        <f>B39*L25*4.25</f>
        <v>156.77202007211542</v>
      </c>
      <c r="M39" s="43"/>
      <c r="N39" s="43"/>
      <c r="O39" s="43"/>
      <c r="P39" s="43" t="s">
        <v>160</v>
      </c>
      <c r="Q39" s="43"/>
      <c r="R39" s="43"/>
      <c r="S39" s="43"/>
      <c r="T39" s="43"/>
      <c r="U39" s="6"/>
      <c r="V39" s="6"/>
      <c r="W39" s="6"/>
    </row>
    <row r="40" spans="1:23">
      <c r="A40" s="77" t="s">
        <v>172</v>
      </c>
      <c r="B40" s="86"/>
      <c r="C40" s="85"/>
      <c r="E40" s="43"/>
      <c r="F40" s="43"/>
      <c r="G40" s="43"/>
      <c r="H40" s="43"/>
      <c r="I40" s="43"/>
      <c r="J40" s="43"/>
      <c r="K40" s="43"/>
      <c r="L40" s="43"/>
      <c r="M40" s="43"/>
      <c r="N40" s="43"/>
      <c r="O40" s="43"/>
      <c r="P40" s="43"/>
      <c r="Q40" s="43"/>
      <c r="R40" s="43"/>
      <c r="S40" s="43"/>
      <c r="T40" s="43"/>
      <c r="U40" s="57"/>
      <c r="V40" s="57"/>
      <c r="W40" s="57"/>
    </row>
    <row r="41" spans="1:23">
      <c r="A41" s="83" t="s">
        <v>173</v>
      </c>
      <c r="B41" s="86">
        <v>3.3E-3</v>
      </c>
      <c r="C41" s="86"/>
      <c r="D41" s="43">
        <f>B41*'CAPITAL COST'!C14</f>
        <v>9.5004913271399989</v>
      </c>
      <c r="E41" s="43">
        <f t="shared" ref="E41:L43" si="6">D41</f>
        <v>9.5004913271399989</v>
      </c>
      <c r="F41" s="43">
        <f t="shared" si="6"/>
        <v>9.5004913271399989</v>
      </c>
      <c r="G41" s="43">
        <f t="shared" si="6"/>
        <v>9.5004913271399989</v>
      </c>
      <c r="H41" s="43">
        <f t="shared" si="6"/>
        <v>9.5004913271399989</v>
      </c>
      <c r="I41" s="43">
        <f t="shared" si="6"/>
        <v>9.5004913271399989</v>
      </c>
      <c r="J41" s="43">
        <f t="shared" si="6"/>
        <v>9.5004913271399989</v>
      </c>
      <c r="K41" s="43">
        <f t="shared" si="6"/>
        <v>9.5004913271399989</v>
      </c>
      <c r="L41" s="43">
        <f t="shared" si="6"/>
        <v>9.5004913271399989</v>
      </c>
      <c r="R41" s="43"/>
      <c r="S41" s="43"/>
      <c r="T41" s="43"/>
      <c r="U41" s="43"/>
      <c r="V41" s="43">
        <f>B41*depreciation!D128</f>
        <v>10.488324916976719</v>
      </c>
      <c r="W41" s="43">
        <f>B41*'CAPITAL COST'!D14</f>
        <v>9.5004913271399989</v>
      </c>
    </row>
    <row r="42" spans="1:23">
      <c r="A42" s="83" t="s">
        <v>174</v>
      </c>
      <c r="B42" s="86">
        <v>5.0000000000000001E-3</v>
      </c>
      <c r="C42" s="86"/>
      <c r="D42" s="43">
        <f>B42*'CAPITAL COST'!D20+(ASSETS!I82-ASSETS!I78+('details of fixed assets  '!F145/100000+'details of fixed assets  '!F146/100000))*B42</f>
        <v>3.6821262079999997</v>
      </c>
      <c r="E42" s="43">
        <f>D42</f>
        <v>3.6821262079999997</v>
      </c>
      <c r="F42" s="43">
        <f t="shared" si="6"/>
        <v>3.6821262079999997</v>
      </c>
      <c r="G42" s="43">
        <f t="shared" si="6"/>
        <v>3.6821262079999997</v>
      </c>
      <c r="H42" s="43">
        <f t="shared" si="6"/>
        <v>3.6821262079999997</v>
      </c>
      <c r="I42" s="43">
        <f t="shared" si="6"/>
        <v>3.6821262079999997</v>
      </c>
      <c r="J42" s="43">
        <f t="shared" si="6"/>
        <v>3.6821262079999997</v>
      </c>
      <c r="K42" s="43">
        <f t="shared" si="6"/>
        <v>3.6821262079999997</v>
      </c>
      <c r="L42" s="43">
        <f t="shared" si="6"/>
        <v>3.6821262079999997</v>
      </c>
      <c r="R42" s="43"/>
      <c r="S42" s="43"/>
      <c r="T42" s="43"/>
      <c r="U42" s="43"/>
      <c r="V42" s="43"/>
      <c r="W42" s="43">
        <f>B42*('CAPITAL COST'!D20+'CAPITAL COST'!D16)</f>
        <v>4.2141962079999997</v>
      </c>
    </row>
    <row r="43" spans="1:23">
      <c r="A43" s="63" t="s">
        <v>175</v>
      </c>
      <c r="B43" s="86">
        <v>2.5000000000000001E-3</v>
      </c>
      <c r="C43" s="86"/>
      <c r="D43" s="43">
        <f>B43*(SUM('details of fixed assets  '!F138:F144))/100000</f>
        <v>0.38145000000000001</v>
      </c>
      <c r="E43" s="43">
        <f>D43</f>
        <v>0.38145000000000001</v>
      </c>
      <c r="F43" s="43">
        <f t="shared" si="6"/>
        <v>0.38145000000000001</v>
      </c>
      <c r="G43" s="43">
        <f t="shared" si="6"/>
        <v>0.38145000000000001</v>
      </c>
      <c r="H43" s="43">
        <f t="shared" si="6"/>
        <v>0.38145000000000001</v>
      </c>
      <c r="I43" s="43">
        <f t="shared" si="6"/>
        <v>0.38145000000000001</v>
      </c>
      <c r="J43" s="43">
        <f t="shared" si="6"/>
        <v>0.38145000000000001</v>
      </c>
      <c r="K43" s="43">
        <f t="shared" si="6"/>
        <v>0.38145000000000001</v>
      </c>
      <c r="L43" s="43">
        <f t="shared" si="6"/>
        <v>0.38145000000000001</v>
      </c>
      <c r="R43" s="43"/>
      <c r="S43" s="43"/>
      <c r="T43" s="43"/>
      <c r="U43" s="43"/>
      <c r="V43" s="43"/>
      <c r="W43" s="43"/>
    </row>
    <row r="44" spans="1:23">
      <c r="A44" s="83" t="s">
        <v>176</v>
      </c>
      <c r="B44" s="86">
        <v>2E-3</v>
      </c>
      <c r="C44" s="86"/>
      <c r="D44" s="43">
        <f>+' wORKING CAPITAL'!E15*$B$44</f>
        <v>2.4E-2</v>
      </c>
      <c r="E44" s="43">
        <f>+' wORKING CAPITAL'!F15*$B$44</f>
        <v>2.3922285000000001E-2</v>
      </c>
      <c r="F44" s="43">
        <f>+' wORKING CAPITAL'!G15*$B$44</f>
        <v>2.6530070625000006E-2</v>
      </c>
      <c r="G44" s="43">
        <f>+' wORKING CAPITAL'!H15*$B$44</f>
        <v>2.9477856250000004E-2</v>
      </c>
      <c r="H44" s="43">
        <f>+' wORKING CAPITAL'!I15*$B$44</f>
        <v>3.8910770250000004E-2</v>
      </c>
      <c r="I44" s="43">
        <f>+' wORKING CAPITAL'!J15*$B$44</f>
        <v>4.9522798500000006E-2</v>
      </c>
      <c r="J44" s="43">
        <f>+' wORKING CAPITAL'!K15*$B$44</f>
        <v>6.1313941000000018E-2</v>
      </c>
      <c r="K44" s="43">
        <f>+' wORKING CAPITAL'!L15*$B$44</f>
        <v>7.4284197750000017E-2</v>
      </c>
      <c r="L44" s="43">
        <f>+' wORKING CAPITAL'!M15*$B$44</f>
        <v>7.0746854999999997E-2</v>
      </c>
      <c r="R44" s="43"/>
      <c r="S44" s="43"/>
      <c r="T44" s="43"/>
      <c r="U44" s="43"/>
      <c r="V44" s="43"/>
      <c r="W44" s="43"/>
    </row>
    <row r="45" spans="1:23">
      <c r="A45" s="83" t="s">
        <v>177</v>
      </c>
      <c r="B45" s="86">
        <v>5.0000000000000001E-3</v>
      </c>
      <c r="C45" s="85" t="s">
        <v>159</v>
      </c>
      <c r="D45" s="43">
        <f>B45*D25</f>
        <v>9.8366757692307711</v>
      </c>
      <c r="E45" s="43">
        <f>B45*E25</f>
        <v>11.066260240384615</v>
      </c>
      <c r="F45" s="43">
        <f>B45*F25*1.25</f>
        <v>15.369805889423079</v>
      </c>
      <c r="G45" s="43">
        <f>B45*G25*1.75</f>
        <v>23.66950106971154</v>
      </c>
      <c r="H45" s="43">
        <f>B45*H25*2</f>
        <v>29.510027307692312</v>
      </c>
      <c r="I45" s="43">
        <f>B45*I25*2.5</f>
        <v>36.887534134615393</v>
      </c>
      <c r="J45" s="43">
        <f>B45*J25*3</f>
        <v>44.265040961538467</v>
      </c>
      <c r="K45" s="43">
        <f>B45*K25*3.5</f>
        <v>51.642547788461542</v>
      </c>
      <c r="L45" s="43">
        <f>B45*L25*3.6</f>
        <v>53.118049153846165</v>
      </c>
      <c r="R45" s="43"/>
      <c r="S45" s="43"/>
      <c r="T45" s="43"/>
      <c r="U45" s="43" t="e">
        <f>MIN(2,#REF!,#REF!,#REF!,#REF!,#REF!,#REF!,#REF!,#REF!)</f>
        <v>#REF!</v>
      </c>
      <c r="V45" s="43"/>
      <c r="W45" s="43"/>
    </row>
    <row r="46" spans="1:23">
      <c r="A46" s="83" t="s">
        <v>107</v>
      </c>
      <c r="B46" s="84"/>
      <c r="C46" s="84"/>
      <c r="D46" s="43">
        <f>Interest!I58</f>
        <v>240.11249999999998</v>
      </c>
      <c r="E46" s="43">
        <f>Interest!I70</f>
        <v>217.78750000000002</v>
      </c>
      <c r="F46" s="43">
        <f>Interest!I82</f>
        <v>186.67500000000001</v>
      </c>
      <c r="G46" s="43">
        <f>Interest!I94</f>
        <v>147.25000000000003</v>
      </c>
      <c r="H46" s="43">
        <f>Interest!I106</f>
        <v>99.037499999999994</v>
      </c>
      <c r="I46" s="43">
        <f>Interest!I118</f>
        <v>45.125</v>
      </c>
      <c r="J46" s="43">
        <f>Interest!I130</f>
        <v>2.375</v>
      </c>
      <c r="K46" s="43">
        <f>Interest!I142</f>
        <v>0</v>
      </c>
      <c r="L46" s="43">
        <f>Interest!I154</f>
        <v>0</v>
      </c>
      <c r="M46" s="43"/>
      <c r="N46" s="43"/>
      <c r="O46" s="43"/>
      <c r="P46" s="43"/>
      <c r="Q46" s="43"/>
      <c r="R46" s="43"/>
      <c r="S46" s="43"/>
      <c r="T46" s="43"/>
      <c r="U46" s="67"/>
      <c r="V46" s="67"/>
      <c r="W46" s="67"/>
    </row>
    <row r="47" spans="1:23">
      <c r="A47" s="83" t="s">
        <v>178</v>
      </c>
      <c r="B47" s="84"/>
      <c r="C47" s="84"/>
      <c r="D47" s="43">
        <f>' wORKING CAPITAL'!E29</f>
        <v>0</v>
      </c>
      <c r="E47" s="43">
        <f>' wORKING CAPITAL'!F29</f>
        <v>0</v>
      </c>
      <c r="F47" s="43">
        <f>' wORKING CAPITAL'!G29</f>
        <v>0</v>
      </c>
      <c r="G47" s="43">
        <f>' wORKING CAPITAL'!H29</f>
        <v>0</v>
      </c>
      <c r="H47" s="43">
        <f>' wORKING CAPITAL'!I29</f>
        <v>0</v>
      </c>
      <c r="I47" s="43">
        <f>' wORKING CAPITAL'!J29</f>
        <v>0</v>
      </c>
      <c r="J47" s="43">
        <f>' wORKING CAPITAL'!K29</f>
        <v>0</v>
      </c>
      <c r="K47" s="43">
        <f>' wORKING CAPITAL'!L29</f>
        <v>0</v>
      </c>
      <c r="L47" s="43">
        <f>' wORKING CAPITAL'!M29</f>
        <v>0</v>
      </c>
      <c r="M47" s="43"/>
      <c r="N47" s="43"/>
      <c r="O47" s="43"/>
      <c r="P47" s="43"/>
      <c r="Q47" s="43"/>
      <c r="R47" s="43"/>
      <c r="S47" s="43"/>
      <c r="T47" s="43"/>
      <c r="U47" s="67"/>
      <c r="V47" s="67"/>
      <c r="W47" s="67"/>
    </row>
    <row r="48" spans="1:23">
      <c r="A48" s="83"/>
      <c r="B48" s="85"/>
      <c r="C48" s="84"/>
      <c r="D48" s="43"/>
      <c r="E48" s="43"/>
      <c r="F48" s="43"/>
      <c r="G48" s="43"/>
      <c r="H48" s="43"/>
      <c r="I48" s="43"/>
      <c r="J48" s="43"/>
      <c r="K48" s="43"/>
      <c r="L48" s="43"/>
      <c r="M48" s="43"/>
      <c r="N48" s="43"/>
      <c r="O48" s="43"/>
      <c r="P48" s="43"/>
      <c r="Q48" s="43"/>
      <c r="R48" s="43"/>
      <c r="S48" s="43"/>
      <c r="T48" s="43"/>
      <c r="U48" s="67"/>
      <c r="V48" s="67"/>
      <c r="W48" s="67"/>
    </row>
    <row r="49" spans="1:23">
      <c r="A49" s="83" t="s">
        <v>106</v>
      </c>
      <c r="B49" s="84"/>
      <c r="C49" s="84"/>
      <c r="D49" s="43">
        <f>depreciation!D139</f>
        <v>452.19405969666178</v>
      </c>
      <c r="E49" s="43">
        <f>depreciation!E139</f>
        <v>452.19405969666178</v>
      </c>
      <c r="F49" s="43">
        <f>depreciation!F139</f>
        <v>452.19405969666178</v>
      </c>
      <c r="G49" s="43">
        <f>depreciation!G139</f>
        <v>452.19405969666178</v>
      </c>
      <c r="H49" s="43">
        <f>depreciation!H139</f>
        <v>452.19405969666178</v>
      </c>
      <c r="I49" s="43">
        <f>depreciation!I139</f>
        <v>452.19405969666178</v>
      </c>
      <c r="J49" s="43">
        <f>depreciation!J139</f>
        <v>452.19405969666178</v>
      </c>
      <c r="K49" s="43">
        <f>depreciation!K139</f>
        <v>452.19405969666178</v>
      </c>
      <c r="L49" s="43">
        <f>depreciation!L139</f>
        <v>452.19405969666178</v>
      </c>
      <c r="M49" s="43"/>
      <c r="N49" s="43"/>
      <c r="O49" s="43"/>
      <c r="P49" s="43"/>
      <c r="Q49" s="43"/>
      <c r="R49" s="43"/>
      <c r="S49" s="43"/>
      <c r="T49" s="43"/>
      <c r="U49" s="67"/>
      <c r="V49" s="67"/>
      <c r="W49" s="67"/>
    </row>
    <row r="50" spans="1:23">
      <c r="A50" s="83"/>
      <c r="B50" s="84"/>
      <c r="C50" s="84"/>
      <c r="D50" s="43"/>
      <c r="E50" s="43"/>
      <c r="F50" s="43"/>
      <c r="G50" s="43"/>
      <c r="H50" s="43"/>
      <c r="I50" s="43"/>
      <c r="J50" s="43"/>
      <c r="K50" s="43"/>
      <c r="L50" s="43"/>
      <c r="M50" s="43"/>
      <c r="N50" s="43"/>
      <c r="O50" s="43"/>
      <c r="P50" s="43"/>
      <c r="Q50" s="43"/>
      <c r="R50" s="43"/>
      <c r="S50" s="43"/>
      <c r="T50" s="43"/>
      <c r="U50" s="67"/>
      <c r="V50" s="67"/>
      <c r="W50" s="67"/>
    </row>
    <row r="51" spans="1:23" ht="13.5" thickBot="1">
      <c r="A51" s="81" t="s">
        <v>179</v>
      </c>
      <c r="B51" s="53"/>
      <c r="C51" s="53"/>
      <c r="D51" s="66">
        <f>SUM(D29:D50)</f>
        <v>1494.6602787560439</v>
      </c>
      <c r="E51" s="66">
        <f t="shared" ref="E51:J51" si="7">SUM(E29:E50)</f>
        <v>1675.1696957327424</v>
      </c>
      <c r="F51" s="66">
        <f t="shared" si="7"/>
        <v>1832.2609321686925</v>
      </c>
      <c r="G51" s="66">
        <f t="shared" si="7"/>
        <v>2012.5790138077336</v>
      </c>
      <c r="H51" s="66">
        <f t="shared" si="7"/>
        <v>2104.7190154757113</v>
      </c>
      <c r="I51" s="66">
        <f t="shared" si="7"/>
        <v>2130.8451984472167</v>
      </c>
      <c r="J51" s="66">
        <f t="shared" si="7"/>
        <v>2118.9324778686973</v>
      </c>
      <c r="K51" s="66">
        <f>SUM(K29:K50)</f>
        <v>2143.4239958074622</v>
      </c>
      <c r="L51" s="66">
        <f>SUM(L29:L50)</f>
        <v>2162.2478544641012</v>
      </c>
      <c r="M51" s="6"/>
      <c r="N51" s="6"/>
      <c r="O51" s="6"/>
      <c r="P51" s="6"/>
      <c r="Q51" s="6"/>
      <c r="R51" s="6"/>
      <c r="S51" s="6"/>
      <c r="T51" s="6"/>
      <c r="U51" s="67"/>
      <c r="V51" s="67"/>
      <c r="W51" s="67"/>
    </row>
    <row r="52" spans="1:23" ht="13.5" thickTop="1">
      <c r="A52" s="83"/>
      <c r="B52" s="84"/>
      <c r="C52" s="84"/>
      <c r="D52" s="43"/>
      <c r="E52" s="43"/>
      <c r="F52" s="43"/>
      <c r="G52" s="43"/>
      <c r="H52" s="43"/>
      <c r="I52" s="43"/>
      <c r="J52" s="43"/>
      <c r="K52" s="43"/>
      <c r="L52" s="43"/>
      <c r="M52" s="43"/>
      <c r="N52" s="43"/>
      <c r="O52" s="43"/>
      <c r="P52" s="43"/>
      <c r="Q52" s="43"/>
      <c r="R52" s="43"/>
      <c r="S52" s="43"/>
      <c r="T52" s="43"/>
      <c r="U52" s="67"/>
      <c r="V52" s="67"/>
      <c r="W52" s="67"/>
    </row>
    <row r="53" spans="1:23">
      <c r="A53" s="83"/>
      <c r="B53" s="84"/>
      <c r="C53" s="84"/>
      <c r="D53" s="43"/>
      <c r="E53" s="43"/>
      <c r="F53" s="43"/>
      <c r="G53" s="43"/>
      <c r="H53" s="43"/>
      <c r="I53" s="43"/>
      <c r="J53" s="43"/>
      <c r="K53" s="43"/>
      <c r="L53" s="43"/>
      <c r="M53" s="43"/>
      <c r="N53" s="43"/>
      <c r="O53" s="43"/>
      <c r="P53" s="43"/>
      <c r="Q53" s="43"/>
      <c r="R53" s="43"/>
      <c r="S53" s="43"/>
      <c r="T53" s="43"/>
      <c r="U53" s="67"/>
      <c r="V53" s="67"/>
      <c r="W53" s="67"/>
    </row>
    <row r="54" spans="1:23">
      <c r="A54" s="83"/>
      <c r="B54" s="84"/>
      <c r="C54" s="84"/>
      <c r="D54" s="43"/>
      <c r="E54" s="43"/>
      <c r="F54" s="43"/>
      <c r="G54" s="43"/>
      <c r="H54" s="43"/>
      <c r="I54" s="43"/>
      <c r="J54" s="43"/>
      <c r="K54" s="43"/>
      <c r="L54" s="43"/>
      <c r="M54" s="43"/>
      <c r="N54" s="43"/>
      <c r="O54" s="43"/>
      <c r="P54" s="43"/>
      <c r="Q54" s="43"/>
      <c r="R54" s="43"/>
      <c r="S54" s="43"/>
      <c r="T54" s="43"/>
      <c r="U54" s="67"/>
      <c r="V54" s="67"/>
      <c r="W54" s="67"/>
    </row>
    <row r="55" spans="1:23">
      <c r="A55" s="77" t="s">
        <v>180</v>
      </c>
      <c r="B55" s="78"/>
      <c r="C55" s="78"/>
      <c r="D55" s="6">
        <f>(D25-D51)-(D25*0.1)</f>
        <v>275.94135970549473</v>
      </c>
      <c r="E55" s="6">
        <f t="shared" ref="E55:L55" si="8">(E25-E51)-(E25*0.1)</f>
        <v>316.75714753648833</v>
      </c>
      <c r="F55" s="6">
        <f t="shared" si="8"/>
        <v>380.99111590823054</v>
      </c>
      <c r="G55" s="6">
        <f t="shared" si="8"/>
        <v>421.9982390768817</v>
      </c>
      <c r="H55" s="6">
        <f t="shared" si="8"/>
        <v>551.18344221659675</v>
      </c>
      <c r="I55" s="6">
        <f t="shared" si="8"/>
        <v>525.05725924509136</v>
      </c>
      <c r="J55" s="6">
        <f t="shared" si="8"/>
        <v>536.96997982361074</v>
      </c>
      <c r="K55" s="6">
        <f t="shared" si="8"/>
        <v>512.47846188484584</v>
      </c>
      <c r="L55" s="6">
        <f t="shared" si="8"/>
        <v>493.65460322820684</v>
      </c>
      <c r="M55" s="6"/>
      <c r="N55" s="6"/>
      <c r="O55" s="6"/>
      <c r="P55" s="6"/>
      <c r="Q55" s="6"/>
      <c r="R55" s="6"/>
      <c r="S55" s="6"/>
      <c r="T55" s="6"/>
    </row>
    <row r="56" spans="1:23">
      <c r="A56" s="83"/>
      <c r="B56" s="84"/>
      <c r="C56" s="84"/>
      <c r="D56" s="43"/>
      <c r="E56" s="43"/>
      <c r="F56" s="43"/>
      <c r="G56" s="43"/>
      <c r="H56" s="43"/>
      <c r="I56" s="43"/>
      <c r="J56" s="43"/>
      <c r="K56" s="43"/>
      <c r="L56" s="43"/>
      <c r="M56" s="43"/>
      <c r="N56" s="43"/>
      <c r="O56" s="43"/>
      <c r="P56" s="43"/>
      <c r="Q56" s="43"/>
      <c r="R56" s="43"/>
      <c r="S56" s="43"/>
      <c r="T56" s="43"/>
    </row>
    <row r="57" spans="1:23">
      <c r="A57" s="77" t="s">
        <v>181</v>
      </c>
      <c r="B57" s="84"/>
      <c r="C57" s="84"/>
      <c r="D57" s="43">
        <f>D55+D47+D46</f>
        <v>516.05385970549469</v>
      </c>
      <c r="E57" s="43">
        <f t="shared" ref="E57:J57" si="9">E55+E47+E46</f>
        <v>534.54464753648836</v>
      </c>
      <c r="F57" s="43">
        <f t="shared" si="9"/>
        <v>567.66611590823049</v>
      </c>
      <c r="G57" s="43">
        <f t="shared" si="9"/>
        <v>569.24823907688176</v>
      </c>
      <c r="H57" s="43">
        <f t="shared" si="9"/>
        <v>650.22094221659677</v>
      </c>
      <c r="I57" s="43">
        <f t="shared" si="9"/>
        <v>570.18225924509136</v>
      </c>
      <c r="J57" s="43">
        <f t="shared" si="9"/>
        <v>539.34497982361074</v>
      </c>
      <c r="K57" s="43">
        <f>K55+K47+K46</f>
        <v>512.47846188484584</v>
      </c>
      <c r="L57" s="43">
        <f>L55+L47+L46</f>
        <v>493.65460322820684</v>
      </c>
      <c r="M57" s="43"/>
      <c r="N57" s="43"/>
      <c r="O57" s="43"/>
      <c r="P57" s="43"/>
      <c r="Q57" s="43"/>
      <c r="R57" s="43"/>
      <c r="S57" s="43"/>
      <c r="T57" s="43"/>
    </row>
    <row r="58" spans="1:23">
      <c r="A58" s="83" t="s">
        <v>182</v>
      </c>
      <c r="B58" s="84"/>
      <c r="C58" s="84"/>
      <c r="D58" s="43">
        <v>0</v>
      </c>
      <c r="E58" s="43">
        <v>0</v>
      </c>
      <c r="F58" s="43">
        <v>0</v>
      </c>
      <c r="G58" s="43">
        <v>0</v>
      </c>
      <c r="H58" s="43">
        <f>'iNCOME tAX cOMPUTATION'!H19*0.8</f>
        <v>154.32956284545833</v>
      </c>
      <c r="I58" s="43">
        <f>'iNCOME tAX cOMPUTATION'!I19</f>
        <v>225.86516222390313</v>
      </c>
      <c r="J58" s="43">
        <f>'iNCOME tAX cOMPUTATION'!J19</f>
        <v>263.37452133572316</v>
      </c>
      <c r="K58" s="43">
        <f>'iNCOME tAX cOMPUTATION'!K19</f>
        <v>297.1422342575479</v>
      </c>
      <c r="L58" s="43" t="e">
        <f>'iNCOME tAX cOMPUTATION'!L19</f>
        <v>#VALUE!</v>
      </c>
      <c r="M58" s="43"/>
      <c r="N58" s="43"/>
      <c r="O58" s="43"/>
      <c r="P58" s="43"/>
      <c r="Q58" s="43"/>
      <c r="R58" s="43"/>
      <c r="S58" s="43"/>
      <c r="T58" s="43"/>
    </row>
    <row r="59" spans="1:23">
      <c r="A59" s="77" t="s">
        <v>105</v>
      </c>
      <c r="B59" s="78"/>
      <c r="C59" s="78"/>
      <c r="D59" s="6">
        <f>D55-D58</f>
        <v>275.94135970549473</v>
      </c>
      <c r="E59" s="6">
        <f t="shared" ref="E59:J59" si="10">E55-E58</f>
        <v>316.75714753648833</v>
      </c>
      <c r="F59" s="6">
        <f t="shared" si="10"/>
        <v>380.99111590823054</v>
      </c>
      <c r="G59" s="6">
        <f t="shared" si="10"/>
        <v>421.9982390768817</v>
      </c>
      <c r="H59" s="6">
        <f t="shared" si="10"/>
        <v>396.85387937113842</v>
      </c>
      <c r="I59" s="6">
        <f t="shared" si="10"/>
        <v>299.19209702118826</v>
      </c>
      <c r="J59" s="6">
        <f t="shared" si="10"/>
        <v>273.59545848788758</v>
      </c>
      <c r="K59" s="6">
        <f>K55-K58</f>
        <v>215.33622762729794</v>
      </c>
      <c r="L59" s="6" t="e">
        <f>L55-L58</f>
        <v>#VALUE!</v>
      </c>
      <c r="M59" s="6"/>
      <c r="N59" s="6"/>
      <c r="O59" s="6"/>
      <c r="P59" s="6"/>
      <c r="Q59" s="6"/>
      <c r="R59" s="6"/>
      <c r="S59" s="6"/>
      <c r="T59" s="6"/>
    </row>
    <row r="60" spans="1:23">
      <c r="A60" s="83" t="s">
        <v>183</v>
      </c>
      <c r="B60" s="84"/>
      <c r="C60" s="84"/>
      <c r="D60" s="488">
        <f>D59</f>
        <v>275.94135970549473</v>
      </c>
      <c r="E60" s="488">
        <f t="shared" ref="E60:L60" si="11">D60+E59</f>
        <v>592.69850724198307</v>
      </c>
      <c r="F60" s="488">
        <f t="shared" si="11"/>
        <v>973.68962315021361</v>
      </c>
      <c r="G60" s="488">
        <f t="shared" si="11"/>
        <v>1395.6878622270954</v>
      </c>
      <c r="H60" s="488">
        <f t="shared" si="11"/>
        <v>1792.5417415982338</v>
      </c>
      <c r="I60" s="488">
        <f t="shared" si="11"/>
        <v>2091.7338386194219</v>
      </c>
      <c r="J60" s="488">
        <f t="shared" si="11"/>
        <v>2365.3292971073097</v>
      </c>
      <c r="K60" s="488">
        <f t="shared" si="11"/>
        <v>2580.6655247346075</v>
      </c>
      <c r="L60" s="488" t="e">
        <f t="shared" si="11"/>
        <v>#VALUE!</v>
      </c>
      <c r="M60" s="43"/>
      <c r="N60" s="43"/>
      <c r="O60" s="43"/>
      <c r="P60" s="43"/>
      <c r="Q60" s="43"/>
      <c r="R60" s="43"/>
      <c r="S60" s="43"/>
      <c r="T60" s="43"/>
    </row>
    <row r="61" spans="1:23">
      <c r="A61" s="83" t="s">
        <v>184</v>
      </c>
      <c r="B61" s="84"/>
      <c r="C61" s="84"/>
      <c r="D61" s="488">
        <f>D55+D49</f>
        <v>728.13541940215646</v>
      </c>
      <c r="E61" s="488">
        <f t="shared" ref="E61:L61" si="12">E55+E49</f>
        <v>768.95120723315017</v>
      </c>
      <c r="F61" s="488">
        <f t="shared" si="12"/>
        <v>833.18517560489227</v>
      </c>
      <c r="G61" s="488">
        <f t="shared" si="12"/>
        <v>874.19229877354348</v>
      </c>
      <c r="H61" s="488">
        <f t="shared" si="12"/>
        <v>1003.3775019132586</v>
      </c>
      <c r="I61" s="488">
        <f t="shared" si="12"/>
        <v>977.2513189417532</v>
      </c>
      <c r="J61" s="488">
        <f t="shared" si="12"/>
        <v>989.16403952027258</v>
      </c>
      <c r="K61" s="488">
        <f t="shared" si="12"/>
        <v>964.67252158150768</v>
      </c>
      <c r="L61" s="488">
        <f t="shared" si="12"/>
        <v>945.84866292486868</v>
      </c>
      <c r="M61" s="43"/>
      <c r="N61" s="43"/>
      <c r="O61" s="43"/>
      <c r="P61" s="43"/>
      <c r="Q61" s="43"/>
      <c r="R61" s="43"/>
      <c r="S61" s="43"/>
      <c r="T61" s="43"/>
    </row>
    <row r="62" spans="1:23">
      <c r="A62" s="83" t="s">
        <v>185</v>
      </c>
      <c r="B62" s="84"/>
      <c r="C62" s="84"/>
      <c r="D62" s="488">
        <f>D61/D25*100</f>
        <v>37.011254436166944</v>
      </c>
      <c r="E62" s="488">
        <f t="shared" ref="E62:L62" si="13">E61/E25*100</f>
        <v>34.743047358807857</v>
      </c>
      <c r="F62" s="488">
        <f t="shared" si="13"/>
        <v>33.880761962739676</v>
      </c>
      <c r="G62" s="488">
        <f t="shared" si="13"/>
        <v>32.316619567687944</v>
      </c>
      <c r="H62" s="488">
        <f t="shared" si="13"/>
        <v>34.001239356756216</v>
      </c>
      <c r="I62" s="488">
        <f t="shared" si="13"/>
        <v>33.115906967900884</v>
      </c>
      <c r="J62" s="488">
        <f t="shared" si="13"/>
        <v>33.519590788803825</v>
      </c>
      <c r="K62" s="488">
        <f t="shared" si="13"/>
        <v>32.689651945189787</v>
      </c>
      <c r="L62" s="488">
        <f t="shared" si="13"/>
        <v>32.051771862587074</v>
      </c>
      <c r="M62" s="43"/>
      <c r="N62" s="43"/>
      <c r="O62" s="43"/>
      <c r="P62" s="43"/>
      <c r="Q62" s="43"/>
      <c r="R62" s="43"/>
      <c r="S62" s="43"/>
      <c r="T62" s="43"/>
    </row>
    <row r="63" spans="1:23">
      <c r="A63" s="83" t="s">
        <v>186</v>
      </c>
      <c r="B63" s="84"/>
      <c r="C63" s="84"/>
      <c r="D63" s="489">
        <f>D59/D25*100</f>
        <v>14.026148984631694</v>
      </c>
      <c r="E63" s="489">
        <f t="shared" ref="E63:L63" si="14">E59/E25*100</f>
        <v>14.311842512998737</v>
      </c>
      <c r="F63" s="489">
        <f t="shared" si="14"/>
        <v>15.492677601511476</v>
      </c>
      <c r="G63" s="489">
        <f t="shared" si="14"/>
        <v>15.600179239298665</v>
      </c>
      <c r="H63" s="489">
        <f t="shared" si="14"/>
        <v>13.448102749389577</v>
      </c>
      <c r="I63" s="489">
        <f t="shared" si="14"/>
        <v>10.138658765090284</v>
      </c>
      <c r="J63" s="489">
        <f t="shared" si="14"/>
        <v>9.2712709356446474</v>
      </c>
      <c r="K63" s="489">
        <f t="shared" si="14"/>
        <v>7.2970528079168107</v>
      </c>
      <c r="L63" s="489" t="e">
        <f t="shared" si="14"/>
        <v>#VALUE!</v>
      </c>
      <c r="M63" s="43"/>
      <c r="N63" s="43"/>
      <c r="O63" s="43"/>
      <c r="P63" s="43"/>
      <c r="Q63" s="43"/>
      <c r="R63" s="43"/>
      <c r="S63" s="43"/>
      <c r="T63" s="43"/>
    </row>
    <row r="64" spans="1:23">
      <c r="A64" s="87" t="s">
        <v>187</v>
      </c>
      <c r="B64" s="88"/>
      <c r="C64" s="88"/>
      <c r="D64" s="490">
        <f>D59</f>
        <v>275.94135970549473</v>
      </c>
      <c r="E64" s="490">
        <f t="shared" ref="E64:J64" si="15">E59</f>
        <v>316.75714753648833</v>
      </c>
      <c r="F64" s="490">
        <f t="shared" si="15"/>
        <v>380.99111590823054</v>
      </c>
      <c r="G64" s="490">
        <f t="shared" si="15"/>
        <v>421.9982390768817</v>
      </c>
      <c r="H64" s="490">
        <f t="shared" si="15"/>
        <v>396.85387937113842</v>
      </c>
      <c r="I64" s="490">
        <f t="shared" si="15"/>
        <v>299.19209702118826</v>
      </c>
      <c r="J64" s="490">
        <f t="shared" si="15"/>
        <v>273.59545848788758</v>
      </c>
      <c r="K64" s="490">
        <f>K59</f>
        <v>215.33622762729794</v>
      </c>
      <c r="L64" s="490" t="e">
        <f>L59</f>
        <v>#VALUE!</v>
      </c>
      <c r="M64" s="43"/>
      <c r="N64" s="43"/>
      <c r="O64" s="43"/>
      <c r="P64" s="43"/>
      <c r="Q64" s="43"/>
      <c r="R64" s="43"/>
      <c r="S64" s="43"/>
      <c r="T64" s="43"/>
    </row>
    <row r="65" spans="1:20">
      <c r="D65" s="67"/>
      <c r="E65" s="67"/>
      <c r="F65" s="67"/>
      <c r="G65" s="67"/>
      <c r="H65" s="67"/>
      <c r="I65" s="67"/>
      <c r="J65" s="67"/>
      <c r="K65" s="67"/>
      <c r="L65" s="67"/>
      <c r="M65" s="67"/>
      <c r="N65" s="67"/>
      <c r="O65" s="67"/>
      <c r="P65" s="67"/>
      <c r="Q65" s="67"/>
      <c r="R65" s="67"/>
      <c r="S65" s="67"/>
      <c r="T65" s="43"/>
    </row>
    <row r="66" spans="1:20">
      <c r="A66" s="84" t="s">
        <v>188</v>
      </c>
      <c r="D66" s="67"/>
      <c r="E66" s="67"/>
      <c r="F66" s="67"/>
      <c r="G66" s="67"/>
      <c r="H66" s="67"/>
      <c r="I66" s="67"/>
      <c r="J66" s="67"/>
      <c r="K66" s="67"/>
      <c r="L66" s="67"/>
      <c r="M66" s="67"/>
      <c r="N66" s="67"/>
      <c r="O66" s="67"/>
      <c r="P66" s="67"/>
      <c r="Q66" s="67"/>
      <c r="R66" s="67"/>
      <c r="S66" s="67"/>
      <c r="T66" s="43"/>
    </row>
    <row r="67" spans="1:20">
      <c r="A67" s="84" t="s">
        <v>189</v>
      </c>
      <c r="D67" s="67">
        <f>(D59+D49+D46)</f>
        <v>968.24791940215641</v>
      </c>
      <c r="E67" s="67">
        <f t="shared" ref="E67:K67" si="16">(E59+E49+E46)</f>
        <v>986.73870723315019</v>
      </c>
      <c r="F67" s="67">
        <f t="shared" si="16"/>
        <v>1019.8601756048922</v>
      </c>
      <c r="G67" s="67">
        <f t="shared" si="16"/>
        <v>1021.4422987735435</v>
      </c>
      <c r="H67" s="67">
        <f t="shared" si="16"/>
        <v>948.08543906780017</v>
      </c>
      <c r="I67" s="67">
        <f t="shared" si="16"/>
        <v>796.5111567178501</v>
      </c>
      <c r="J67" s="67">
        <f t="shared" si="16"/>
        <v>728.16451818454937</v>
      </c>
      <c r="K67" s="67">
        <f t="shared" si="16"/>
        <v>667.53028732395978</v>
      </c>
      <c r="L67" s="67" t="e">
        <f>(L59+L49+L46)</f>
        <v>#VALUE!</v>
      </c>
      <c r="M67" s="67"/>
      <c r="N67" s="67"/>
      <c r="O67" s="67"/>
      <c r="P67" s="67"/>
      <c r="Q67" s="67"/>
      <c r="R67" s="67"/>
      <c r="S67" s="67"/>
      <c r="T67" s="43"/>
    </row>
    <row r="68" spans="1:20">
      <c r="A68" s="84" t="s">
        <v>190</v>
      </c>
      <c r="D68" s="67" t="e">
        <f>#REF!</f>
        <v>#REF!</v>
      </c>
      <c r="E68" s="67" t="e">
        <f>#REF!</f>
        <v>#REF!</v>
      </c>
      <c r="F68" s="67" t="e">
        <f>#REF!</f>
        <v>#REF!</v>
      </c>
      <c r="G68" s="67" t="e">
        <f>#REF!</f>
        <v>#REF!</v>
      </c>
      <c r="H68" s="67" t="e">
        <f>#REF!</f>
        <v>#REF!</v>
      </c>
      <c r="I68" s="67" t="e">
        <f>#REF!</f>
        <v>#REF!</v>
      </c>
      <c r="J68" s="67" t="e">
        <f>#REF!</f>
        <v>#REF!</v>
      </c>
      <c r="K68" s="67" t="e">
        <f>#REF!</f>
        <v>#REF!</v>
      </c>
      <c r="L68" s="67" t="e">
        <f>#REF!</f>
        <v>#REF!</v>
      </c>
      <c r="M68" s="67"/>
      <c r="N68" s="67"/>
      <c r="O68" s="67"/>
      <c r="P68" s="67"/>
      <c r="Q68" s="67"/>
      <c r="R68" s="67"/>
      <c r="S68" s="67"/>
      <c r="T68" s="43"/>
    </row>
    <row r="69" spans="1:20">
      <c r="D69" s="67" t="e">
        <f>D67/D68</f>
        <v>#REF!</v>
      </c>
      <c r="E69" s="67" t="e">
        <f t="shared" ref="E69:K69" si="17">E67/E68</f>
        <v>#REF!</v>
      </c>
      <c r="F69" s="67" t="e">
        <f t="shared" si="17"/>
        <v>#REF!</v>
      </c>
      <c r="G69" s="67" t="e">
        <f t="shared" si="17"/>
        <v>#REF!</v>
      </c>
      <c r="H69" s="67" t="e">
        <f t="shared" si="17"/>
        <v>#REF!</v>
      </c>
      <c r="I69" s="67" t="e">
        <f t="shared" si="17"/>
        <v>#REF!</v>
      </c>
      <c r="J69" s="67" t="e">
        <f t="shared" si="17"/>
        <v>#REF!</v>
      </c>
      <c r="K69" s="67" t="e">
        <f t="shared" si="17"/>
        <v>#REF!</v>
      </c>
      <c r="L69" s="67" t="e">
        <f>L67/L68</f>
        <v>#VALUE!</v>
      </c>
      <c r="M69" s="67"/>
      <c r="N69" s="67"/>
      <c r="O69" s="67"/>
      <c r="P69" s="67"/>
      <c r="Q69" s="67"/>
      <c r="R69" s="67"/>
      <c r="S69" s="67"/>
      <c r="T69" s="43"/>
    </row>
    <row r="70" spans="1:20">
      <c r="D70" s="67"/>
      <c r="E70" s="67"/>
      <c r="F70" s="67"/>
      <c r="G70" s="67"/>
      <c r="H70" s="67"/>
      <c r="I70" s="67"/>
      <c r="J70" s="67"/>
      <c r="K70" s="67"/>
      <c r="L70" s="67"/>
      <c r="M70" s="67"/>
      <c r="N70" s="67"/>
      <c r="O70" s="67"/>
      <c r="P70" s="67"/>
      <c r="Q70" s="67"/>
      <c r="R70" s="67"/>
      <c r="S70" s="67"/>
      <c r="T70" s="43"/>
    </row>
    <row r="71" spans="1:20">
      <c r="D71" s="67" t="e">
        <f>AVERAGE(D69:K69)</f>
        <v>#REF!</v>
      </c>
      <c r="E71" s="67"/>
      <c r="F71" s="67"/>
      <c r="G71" s="67"/>
      <c r="H71" s="67"/>
      <c r="I71" s="67"/>
      <c r="J71" s="67"/>
      <c r="K71" s="67"/>
      <c r="L71" s="67"/>
      <c r="M71" s="67"/>
      <c r="N71" s="67"/>
      <c r="O71" s="67"/>
      <c r="P71" s="67"/>
      <c r="Q71" s="67"/>
      <c r="R71" s="67"/>
      <c r="S71" s="67"/>
      <c r="T71" s="43"/>
    </row>
    <row r="72" spans="1:20">
      <c r="D72" s="67"/>
      <c r="E72" s="67"/>
      <c r="F72" s="67"/>
      <c r="G72" s="67"/>
      <c r="H72" s="67"/>
      <c r="I72" s="67"/>
      <c r="J72" s="67"/>
      <c r="K72" s="67"/>
      <c r="L72" s="67"/>
      <c r="M72" s="67"/>
      <c r="N72" s="67"/>
      <c r="O72" s="67"/>
      <c r="P72" s="67"/>
      <c r="Q72" s="67"/>
      <c r="R72" s="67"/>
      <c r="S72" s="67"/>
      <c r="T72" s="43"/>
    </row>
    <row r="73" spans="1:20">
      <c r="D73" s="67"/>
      <c r="E73" s="67"/>
      <c r="F73" s="67"/>
      <c r="G73" s="67"/>
      <c r="H73" s="67"/>
      <c r="I73" s="67"/>
      <c r="J73" s="67"/>
      <c r="K73" s="67"/>
      <c r="L73" s="67"/>
      <c r="M73" s="67"/>
      <c r="N73" s="67"/>
      <c r="O73" s="67"/>
      <c r="P73" s="67"/>
      <c r="Q73" s="67"/>
      <c r="R73" s="67"/>
      <c r="S73" s="67"/>
      <c r="T73" s="43"/>
    </row>
    <row r="74" spans="1:20">
      <c r="D74" s="67"/>
      <c r="E74" s="67"/>
      <c r="F74" s="67"/>
      <c r="G74" s="67"/>
      <c r="H74" s="67"/>
      <c r="I74" s="67"/>
      <c r="J74" s="67"/>
      <c r="K74" s="67"/>
      <c r="L74" s="67"/>
      <c r="M74" s="67"/>
      <c r="N74" s="67"/>
      <c r="O74" s="67"/>
      <c r="P74" s="67"/>
      <c r="Q74" s="67"/>
      <c r="R74" s="67"/>
      <c r="S74" s="67"/>
      <c r="T74" s="43"/>
    </row>
    <row r="75" spans="1:20">
      <c r="D75" s="67"/>
      <c r="E75" s="67"/>
      <c r="F75" s="67"/>
      <c r="G75" s="67"/>
      <c r="H75" s="67"/>
      <c r="I75" s="67"/>
      <c r="J75" s="67"/>
      <c r="K75" s="67"/>
      <c r="L75" s="67"/>
      <c r="M75" s="67"/>
      <c r="N75" s="67"/>
      <c r="O75" s="67"/>
      <c r="P75" s="67"/>
      <c r="Q75" s="67"/>
      <c r="R75" s="67"/>
      <c r="S75" s="67"/>
      <c r="T75" s="43"/>
    </row>
    <row r="76" spans="1:20">
      <c r="D76" s="67"/>
      <c r="E76" s="67"/>
      <c r="F76" s="67"/>
      <c r="G76" s="67"/>
      <c r="H76" s="67"/>
      <c r="I76" s="67"/>
      <c r="J76" s="67"/>
      <c r="K76" s="67"/>
      <c r="L76" s="67"/>
      <c r="M76" s="67"/>
      <c r="N76" s="67"/>
      <c r="O76" s="67"/>
      <c r="P76" s="67"/>
      <c r="Q76" s="67"/>
      <c r="R76" s="67"/>
      <c r="S76" s="67"/>
      <c r="T76" s="43"/>
    </row>
    <row r="77" spans="1:20">
      <c r="D77" s="67"/>
      <c r="E77" s="67"/>
      <c r="F77" s="67"/>
      <c r="G77" s="67"/>
      <c r="H77" s="67"/>
      <c r="I77" s="67"/>
      <c r="J77" s="67"/>
      <c r="K77" s="67"/>
      <c r="L77" s="67"/>
      <c r="M77" s="67"/>
      <c r="N77" s="67"/>
      <c r="O77" s="67"/>
      <c r="P77" s="67"/>
      <c r="Q77" s="67"/>
      <c r="R77" s="67"/>
      <c r="S77" s="67"/>
      <c r="T77" s="43"/>
    </row>
    <row r="78" spans="1:20">
      <c r="D78" s="67"/>
      <c r="E78" s="67"/>
      <c r="F78" s="67"/>
      <c r="G78" s="67"/>
      <c r="H78" s="67"/>
      <c r="I78" s="67"/>
      <c r="J78" s="67"/>
      <c r="K78" s="67"/>
      <c r="L78" s="67"/>
      <c r="M78" s="67"/>
      <c r="N78" s="67"/>
      <c r="O78" s="67"/>
      <c r="P78" s="67"/>
      <c r="Q78" s="67"/>
      <c r="R78" s="67"/>
      <c r="S78" s="67"/>
      <c r="T78" s="43"/>
    </row>
    <row r="79" spans="1:20">
      <c r="D79" s="67"/>
      <c r="E79" s="67"/>
      <c r="F79" s="67"/>
      <c r="G79" s="67"/>
      <c r="H79" s="67"/>
      <c r="I79" s="67"/>
      <c r="J79" s="67"/>
      <c r="K79" s="67"/>
      <c r="L79" s="67"/>
      <c r="M79" s="67"/>
      <c r="N79" s="67"/>
      <c r="O79" s="67"/>
      <c r="P79" s="67"/>
      <c r="Q79" s="67"/>
      <c r="R79" s="67"/>
      <c r="S79" s="67"/>
      <c r="T79" s="43"/>
    </row>
    <row r="80" spans="1:20">
      <c r="D80" s="67"/>
      <c r="E80" s="67"/>
      <c r="F80" s="67"/>
      <c r="G80" s="67"/>
      <c r="H80" s="67"/>
      <c r="I80" s="67"/>
      <c r="J80" s="67"/>
      <c r="K80" s="67"/>
      <c r="L80" s="67"/>
      <c r="M80" s="67"/>
      <c r="N80" s="67"/>
      <c r="O80" s="67"/>
      <c r="P80" s="67"/>
      <c r="Q80" s="67"/>
      <c r="R80" s="67"/>
      <c r="S80" s="67"/>
      <c r="T80" s="43"/>
    </row>
    <row r="81" spans="4:20">
      <c r="D81" s="67"/>
      <c r="E81" s="67"/>
      <c r="F81" s="67"/>
      <c r="G81" s="67"/>
      <c r="H81" s="67"/>
      <c r="I81" s="67"/>
      <c r="J81" s="67"/>
      <c r="K81" s="67"/>
      <c r="L81" s="67"/>
      <c r="M81" s="67"/>
      <c r="N81" s="67"/>
      <c r="O81" s="67"/>
      <c r="P81" s="67"/>
      <c r="Q81" s="67"/>
      <c r="R81" s="67"/>
      <c r="S81" s="67"/>
      <c r="T81" s="43"/>
    </row>
    <row r="82" spans="4:20">
      <c r="D82" s="67"/>
      <c r="E82" s="67"/>
      <c r="F82" s="67"/>
      <c r="G82" s="67"/>
      <c r="H82" s="67"/>
      <c r="I82" s="67"/>
      <c r="J82" s="67"/>
      <c r="K82" s="67"/>
      <c r="L82" s="67"/>
      <c r="M82" s="67"/>
      <c r="N82" s="67"/>
      <c r="O82" s="67"/>
      <c r="P82" s="67"/>
      <c r="Q82" s="67"/>
      <c r="R82" s="67"/>
      <c r="S82" s="67"/>
      <c r="T82" s="43"/>
    </row>
    <row r="83" spans="4:20">
      <c r="D83" s="67"/>
      <c r="E83" s="67"/>
      <c r="F83" s="67"/>
      <c r="G83" s="67"/>
      <c r="H83" s="67"/>
      <c r="I83" s="67"/>
      <c r="J83" s="67"/>
      <c r="K83" s="67"/>
      <c r="L83" s="67"/>
      <c r="M83" s="67"/>
      <c r="N83" s="67"/>
      <c r="O83" s="67"/>
      <c r="P83" s="67"/>
      <c r="Q83" s="67"/>
      <c r="R83" s="67"/>
      <c r="S83" s="67"/>
      <c r="T83" s="43"/>
    </row>
    <row r="84" spans="4:20">
      <c r="D84" s="67"/>
      <c r="E84" s="67"/>
      <c r="F84" s="67"/>
      <c r="G84" s="67"/>
      <c r="H84" s="67"/>
      <c r="I84" s="67"/>
      <c r="J84" s="67"/>
      <c r="K84" s="67"/>
      <c r="L84" s="67"/>
      <c r="M84" s="67"/>
      <c r="N84" s="67"/>
      <c r="O84" s="67"/>
      <c r="P84" s="67"/>
      <c r="Q84" s="67"/>
      <c r="R84" s="67"/>
      <c r="S84" s="67"/>
      <c r="T84" s="43"/>
    </row>
    <row r="85" spans="4:20">
      <c r="D85" s="67"/>
      <c r="E85" s="67"/>
      <c r="F85" s="67"/>
      <c r="G85" s="67"/>
      <c r="H85" s="67"/>
      <c r="I85" s="67"/>
      <c r="J85" s="67"/>
      <c r="K85" s="67"/>
      <c r="L85" s="67"/>
      <c r="M85" s="67"/>
      <c r="N85" s="67"/>
      <c r="O85" s="67"/>
      <c r="P85" s="67"/>
      <c r="Q85" s="67"/>
      <c r="R85" s="67"/>
      <c r="S85" s="67"/>
      <c r="T85" s="43"/>
    </row>
    <row r="86" spans="4:20">
      <c r="D86" s="67"/>
      <c r="E86" s="67"/>
      <c r="F86" s="67"/>
      <c r="G86" s="67"/>
      <c r="H86" s="67"/>
      <c r="I86" s="67"/>
      <c r="J86" s="67"/>
      <c r="K86" s="67"/>
      <c r="L86" s="67"/>
      <c r="M86" s="67"/>
      <c r="N86" s="67"/>
      <c r="O86" s="67"/>
      <c r="P86" s="67"/>
      <c r="Q86" s="67"/>
      <c r="R86" s="67"/>
      <c r="S86" s="67"/>
      <c r="T86" s="43"/>
    </row>
    <row r="87" spans="4:20">
      <c r="D87" s="67"/>
      <c r="E87" s="67"/>
      <c r="F87" s="67"/>
      <c r="G87" s="67"/>
      <c r="H87" s="67"/>
      <c r="I87" s="67"/>
      <c r="J87" s="67"/>
      <c r="K87" s="67"/>
      <c r="L87" s="67"/>
      <c r="M87" s="67"/>
      <c r="N87" s="67"/>
      <c r="O87" s="67"/>
      <c r="P87" s="67"/>
      <c r="Q87" s="67"/>
      <c r="R87" s="67"/>
      <c r="S87" s="67"/>
      <c r="T87" s="43"/>
    </row>
    <row r="88" spans="4:20">
      <c r="D88" s="67"/>
      <c r="E88" s="67"/>
      <c r="F88" s="67"/>
      <c r="G88" s="67"/>
      <c r="H88" s="67"/>
      <c r="I88" s="67"/>
      <c r="J88" s="67"/>
      <c r="K88" s="67"/>
      <c r="L88" s="67"/>
      <c r="M88" s="67"/>
      <c r="N88" s="67"/>
      <c r="O88" s="67"/>
      <c r="P88" s="67"/>
      <c r="Q88" s="67"/>
      <c r="R88" s="67"/>
      <c r="S88" s="67"/>
      <c r="T88" s="43"/>
    </row>
    <row r="89" spans="4:20">
      <c r="D89" s="67"/>
      <c r="E89" s="67"/>
      <c r="F89" s="67"/>
      <c r="G89" s="67"/>
      <c r="H89" s="67"/>
      <c r="I89" s="67"/>
      <c r="J89" s="67"/>
      <c r="K89" s="67"/>
      <c r="L89" s="67"/>
      <c r="M89" s="67"/>
      <c r="N89" s="67"/>
      <c r="O89" s="67"/>
      <c r="P89" s="67"/>
      <c r="Q89" s="67"/>
      <c r="R89" s="67"/>
      <c r="S89" s="67"/>
      <c r="T89" s="43"/>
    </row>
    <row r="90" spans="4:20">
      <c r="D90" s="67"/>
      <c r="E90" s="67"/>
      <c r="F90" s="67"/>
      <c r="G90" s="67"/>
      <c r="H90" s="67"/>
      <c r="I90" s="67"/>
      <c r="J90" s="67"/>
      <c r="K90" s="67"/>
      <c r="L90" s="67"/>
      <c r="M90" s="67"/>
      <c r="N90" s="67"/>
      <c r="O90" s="67"/>
      <c r="P90" s="67"/>
      <c r="Q90" s="67"/>
      <c r="R90" s="67"/>
      <c r="S90" s="67"/>
      <c r="T90" s="43"/>
    </row>
    <row r="91" spans="4:20">
      <c r="D91" s="67"/>
      <c r="E91" s="67"/>
      <c r="F91" s="67"/>
      <c r="G91" s="67"/>
      <c r="H91" s="67"/>
      <c r="I91" s="67"/>
      <c r="J91" s="67"/>
      <c r="K91" s="67"/>
      <c r="L91" s="67"/>
      <c r="M91" s="67"/>
      <c r="N91" s="67"/>
      <c r="O91" s="67"/>
      <c r="P91" s="67"/>
      <c r="Q91" s="67"/>
      <c r="R91" s="67"/>
      <c r="S91" s="67"/>
      <c r="T91" s="43"/>
    </row>
    <row r="92" spans="4:20">
      <c r="D92" s="67"/>
      <c r="E92" s="67"/>
      <c r="F92" s="67"/>
      <c r="G92" s="67"/>
      <c r="H92" s="67"/>
      <c r="I92" s="67"/>
      <c r="J92" s="67"/>
      <c r="K92" s="67"/>
      <c r="L92" s="67"/>
      <c r="M92" s="67"/>
      <c r="N92" s="67"/>
      <c r="O92" s="67"/>
      <c r="P92" s="67"/>
      <c r="Q92" s="67"/>
      <c r="R92" s="67"/>
      <c r="S92" s="67"/>
      <c r="T92" s="43"/>
    </row>
    <row r="93" spans="4:20">
      <c r="D93" s="67"/>
      <c r="E93" s="67"/>
      <c r="F93" s="67"/>
      <c r="G93" s="67"/>
      <c r="H93" s="67"/>
      <c r="I93" s="67"/>
      <c r="J93" s="67"/>
      <c r="K93" s="67"/>
      <c r="L93" s="67"/>
      <c r="M93" s="67"/>
      <c r="N93" s="67"/>
      <c r="O93" s="67"/>
      <c r="P93" s="67"/>
      <c r="Q93" s="67"/>
      <c r="R93" s="67"/>
      <c r="S93" s="67"/>
      <c r="T93" s="43"/>
    </row>
    <row r="94" spans="4:20">
      <c r="D94" s="67"/>
      <c r="E94" s="67"/>
      <c r="F94" s="67"/>
      <c r="G94" s="67"/>
      <c r="H94" s="67"/>
      <c r="I94" s="67"/>
      <c r="J94" s="67"/>
      <c r="K94" s="67"/>
      <c r="L94" s="67"/>
      <c r="M94" s="67"/>
      <c r="N94" s="67"/>
      <c r="O94" s="67"/>
      <c r="P94" s="67"/>
      <c r="Q94" s="67"/>
      <c r="R94" s="67"/>
      <c r="S94" s="67"/>
      <c r="T94" s="43"/>
    </row>
    <row r="95" spans="4:20">
      <c r="D95" s="67"/>
      <c r="E95" s="67"/>
      <c r="F95" s="67"/>
      <c r="G95" s="67"/>
      <c r="H95" s="67"/>
      <c r="I95" s="67"/>
      <c r="J95" s="67"/>
      <c r="K95" s="67"/>
      <c r="L95" s="67"/>
      <c r="M95" s="67"/>
      <c r="N95" s="67"/>
      <c r="O95" s="67"/>
      <c r="P95" s="67"/>
      <c r="Q95" s="67"/>
      <c r="R95" s="67"/>
      <c r="S95" s="67"/>
      <c r="T95" s="43"/>
    </row>
    <row r="96" spans="4:20">
      <c r="D96" s="67"/>
      <c r="E96" s="67"/>
      <c r="F96" s="67"/>
      <c r="G96" s="67"/>
      <c r="H96" s="67"/>
      <c r="I96" s="67"/>
      <c r="J96" s="67"/>
      <c r="K96" s="67"/>
      <c r="L96" s="67"/>
      <c r="M96" s="67"/>
      <c r="N96" s="67"/>
      <c r="O96" s="67"/>
      <c r="P96" s="67"/>
      <c r="Q96" s="67"/>
      <c r="R96" s="67"/>
      <c r="S96" s="67"/>
      <c r="T96" s="43"/>
    </row>
    <row r="97" spans="4:20">
      <c r="D97" s="67"/>
      <c r="E97" s="67"/>
      <c r="F97" s="67"/>
      <c r="G97" s="67"/>
      <c r="H97" s="67"/>
      <c r="I97" s="67"/>
      <c r="J97" s="67"/>
      <c r="K97" s="67"/>
      <c r="L97" s="67"/>
      <c r="M97" s="67"/>
      <c r="N97" s="67"/>
      <c r="O97" s="67"/>
      <c r="P97" s="67"/>
      <c r="Q97" s="67"/>
      <c r="R97" s="67"/>
      <c r="S97" s="67"/>
      <c r="T97" s="43"/>
    </row>
    <row r="98" spans="4:20">
      <c r="D98" s="67"/>
      <c r="E98" s="67"/>
      <c r="F98" s="67"/>
      <c r="G98" s="67"/>
      <c r="H98" s="67"/>
      <c r="I98" s="67"/>
      <c r="J98" s="67"/>
      <c r="K98" s="67"/>
      <c r="L98" s="67"/>
      <c r="M98" s="67"/>
      <c r="N98" s="67"/>
      <c r="O98" s="67"/>
      <c r="P98" s="67"/>
      <c r="Q98" s="67"/>
      <c r="R98" s="67"/>
      <c r="S98" s="67"/>
      <c r="T98" s="43"/>
    </row>
    <row r="99" spans="4:20">
      <c r="D99" s="67"/>
      <c r="E99" s="67"/>
      <c r="F99" s="67"/>
      <c r="G99" s="67"/>
      <c r="H99" s="67"/>
      <c r="I99" s="67"/>
      <c r="J99" s="67"/>
      <c r="K99" s="67"/>
      <c r="L99" s="67"/>
      <c r="M99" s="67"/>
      <c r="N99" s="67"/>
      <c r="O99" s="67"/>
      <c r="P99" s="67"/>
      <c r="Q99" s="67"/>
      <c r="R99" s="67"/>
      <c r="S99" s="67"/>
      <c r="T99" s="43"/>
    </row>
    <row r="100" spans="4:20">
      <c r="D100" s="67"/>
      <c r="E100" s="67"/>
      <c r="F100" s="67"/>
      <c r="G100" s="67"/>
      <c r="H100" s="67"/>
      <c r="I100" s="67"/>
      <c r="J100" s="67"/>
      <c r="K100" s="67"/>
      <c r="L100" s="67"/>
      <c r="M100" s="67"/>
      <c r="N100" s="67"/>
      <c r="O100" s="67"/>
      <c r="P100" s="67"/>
      <c r="Q100" s="67"/>
      <c r="R100" s="67"/>
      <c r="S100" s="67"/>
      <c r="T100" s="43"/>
    </row>
    <row r="101" spans="4:20">
      <c r="D101" s="67"/>
      <c r="E101" s="67"/>
      <c r="F101" s="67"/>
      <c r="G101" s="67"/>
      <c r="H101" s="67"/>
      <c r="I101" s="67"/>
      <c r="J101" s="67"/>
      <c r="K101" s="67"/>
      <c r="L101" s="67"/>
      <c r="M101" s="67"/>
      <c r="N101" s="67"/>
      <c r="O101" s="67"/>
      <c r="P101" s="67"/>
      <c r="Q101" s="67"/>
      <c r="R101" s="67"/>
      <c r="S101" s="67"/>
      <c r="T101" s="43"/>
    </row>
    <row r="102" spans="4:20">
      <c r="D102" s="67"/>
      <c r="E102" s="67"/>
      <c r="F102" s="67"/>
      <c r="G102" s="67"/>
      <c r="H102" s="67"/>
      <c r="I102" s="67"/>
      <c r="J102" s="67"/>
      <c r="K102" s="67"/>
      <c r="L102" s="67"/>
      <c r="M102" s="67"/>
      <c r="N102" s="67"/>
      <c r="O102" s="67"/>
      <c r="P102" s="67"/>
      <c r="Q102" s="67"/>
      <c r="R102" s="67"/>
      <c r="S102" s="67"/>
      <c r="T102" s="43"/>
    </row>
    <row r="103" spans="4:20">
      <c r="D103" s="67"/>
      <c r="E103" s="67"/>
      <c r="F103" s="67"/>
      <c r="G103" s="67"/>
      <c r="H103" s="67"/>
      <c r="I103" s="67"/>
      <c r="J103" s="67"/>
      <c r="K103" s="67"/>
      <c r="L103" s="67"/>
      <c r="M103" s="67"/>
      <c r="N103" s="67"/>
      <c r="O103" s="67"/>
      <c r="P103" s="67"/>
      <c r="Q103" s="67"/>
      <c r="R103" s="67"/>
      <c r="S103" s="67"/>
      <c r="T103" s="43"/>
    </row>
    <row r="104" spans="4:20">
      <c r="D104" s="67"/>
      <c r="E104" s="67"/>
      <c r="F104" s="67"/>
      <c r="G104" s="67"/>
      <c r="H104" s="67"/>
      <c r="I104" s="67"/>
      <c r="J104" s="67"/>
      <c r="K104" s="67"/>
      <c r="L104" s="67"/>
      <c r="M104" s="67"/>
      <c r="N104" s="67"/>
      <c r="O104" s="67"/>
      <c r="P104" s="67"/>
      <c r="Q104" s="67"/>
      <c r="R104" s="67"/>
      <c r="S104" s="67"/>
      <c r="T104" s="43"/>
    </row>
    <row r="105" spans="4:20">
      <c r="D105" s="67"/>
      <c r="E105" s="67"/>
      <c r="F105" s="67"/>
      <c r="G105" s="67"/>
      <c r="H105" s="67"/>
      <c r="I105" s="67"/>
      <c r="J105" s="67"/>
      <c r="K105" s="67"/>
      <c r="L105" s="67"/>
      <c r="M105" s="67"/>
      <c r="N105" s="67"/>
      <c r="O105" s="67"/>
      <c r="P105" s="67"/>
      <c r="Q105" s="67"/>
      <c r="R105" s="67"/>
      <c r="S105" s="67"/>
      <c r="T105" s="43"/>
    </row>
    <row r="106" spans="4:20">
      <c r="D106" s="67"/>
      <c r="E106" s="67"/>
      <c r="F106" s="67"/>
      <c r="G106" s="67"/>
      <c r="H106" s="67"/>
      <c r="I106" s="67"/>
      <c r="J106" s="67"/>
      <c r="K106" s="67"/>
      <c r="L106" s="67"/>
      <c r="M106" s="67"/>
      <c r="N106" s="67"/>
      <c r="O106" s="67"/>
      <c r="P106" s="67"/>
      <c r="Q106" s="67"/>
      <c r="R106" s="67"/>
      <c r="S106" s="67"/>
      <c r="T106" s="67"/>
    </row>
    <row r="107" spans="4:20">
      <c r="D107" s="67"/>
      <c r="E107" s="67"/>
      <c r="F107" s="67"/>
      <c r="G107" s="67"/>
      <c r="H107" s="67"/>
      <c r="I107" s="67"/>
      <c r="J107" s="67"/>
      <c r="K107" s="67"/>
      <c r="L107" s="67"/>
      <c r="M107" s="67"/>
      <c r="N107" s="67"/>
      <c r="O107" s="67"/>
      <c r="P107" s="67"/>
      <c r="Q107" s="67"/>
      <c r="R107" s="67"/>
      <c r="S107" s="67"/>
      <c r="T107" s="67"/>
    </row>
    <row r="108" spans="4:20">
      <c r="D108" s="67"/>
      <c r="E108" s="67"/>
      <c r="F108" s="67"/>
      <c r="G108" s="67"/>
      <c r="H108" s="67"/>
      <c r="I108" s="67"/>
      <c r="J108" s="67"/>
      <c r="K108" s="67"/>
      <c r="L108" s="67"/>
      <c r="M108" s="67"/>
      <c r="N108" s="67"/>
      <c r="O108" s="67"/>
      <c r="P108" s="67"/>
      <c r="Q108" s="67"/>
      <c r="R108" s="67"/>
      <c r="S108" s="67"/>
      <c r="T108" s="67"/>
    </row>
    <row r="109" spans="4:20">
      <c r="D109" s="67"/>
      <c r="E109" s="67"/>
      <c r="F109" s="67"/>
      <c r="G109" s="67"/>
      <c r="H109" s="67"/>
      <c r="I109" s="67"/>
      <c r="J109" s="67"/>
      <c r="K109" s="67"/>
      <c r="L109" s="67"/>
      <c r="M109" s="67"/>
      <c r="N109" s="67"/>
      <c r="O109" s="67"/>
      <c r="P109" s="67"/>
      <c r="Q109" s="67"/>
      <c r="R109" s="67"/>
      <c r="S109" s="67"/>
      <c r="T109" s="67"/>
    </row>
    <row r="118" spans="4:12">
      <c r="D118" s="67">
        <f>D55+D49</f>
        <v>728.13541940215646</v>
      </c>
      <c r="E118" s="67">
        <f t="shared" ref="E118:K118" si="18">E55+E49</f>
        <v>768.95120723315017</v>
      </c>
      <c r="F118" s="67">
        <f t="shared" si="18"/>
        <v>833.18517560489227</v>
      </c>
      <c r="G118" s="67">
        <f t="shared" si="18"/>
        <v>874.19229877354348</v>
      </c>
      <c r="H118" s="67">
        <f t="shared" si="18"/>
        <v>1003.3775019132586</v>
      </c>
      <c r="I118" s="67">
        <f t="shared" si="18"/>
        <v>977.2513189417532</v>
      </c>
      <c r="J118" s="67">
        <f t="shared" si="18"/>
        <v>989.16403952027258</v>
      </c>
      <c r="K118" s="67">
        <f t="shared" si="18"/>
        <v>964.67252158150768</v>
      </c>
      <c r="L118" s="67">
        <f>L55+L49</f>
        <v>945.84866292486868</v>
      </c>
    </row>
    <row r="119" spans="4:12">
      <c r="D119" s="67"/>
      <c r="E119" s="67"/>
      <c r="F119" s="67"/>
      <c r="G119" s="67"/>
      <c r="H119" s="67"/>
      <c r="I119" s="67"/>
      <c r="J119" s="67"/>
      <c r="K119" s="67"/>
      <c r="L119" s="67"/>
    </row>
    <row r="120" spans="4:12">
      <c r="D120" s="67">
        <f>D118/D25*100</f>
        <v>37.011254436166944</v>
      </c>
      <c r="E120" s="67">
        <f t="shared" ref="E120:K120" si="19">E118/E25*100</f>
        <v>34.743047358807857</v>
      </c>
      <c r="F120" s="67">
        <f t="shared" si="19"/>
        <v>33.880761962739676</v>
      </c>
      <c r="G120" s="67">
        <f t="shared" si="19"/>
        <v>32.316619567687944</v>
      </c>
      <c r="H120" s="67">
        <f t="shared" si="19"/>
        <v>34.001239356756216</v>
      </c>
      <c r="I120" s="67">
        <f t="shared" si="19"/>
        <v>33.115906967900884</v>
      </c>
      <c r="J120" s="67">
        <f t="shared" si="19"/>
        <v>33.519590788803825</v>
      </c>
      <c r="K120" s="67">
        <f t="shared" si="19"/>
        <v>32.689651945189787</v>
      </c>
      <c r="L120" s="67">
        <f>L118/L25*100</f>
        <v>32.051771862587074</v>
      </c>
    </row>
    <row r="121" spans="4:12">
      <c r="D121" s="67"/>
      <c r="E121" s="67"/>
      <c r="F121" s="67"/>
      <c r="G121" s="67"/>
      <c r="H121" s="67"/>
      <c r="I121" s="67"/>
      <c r="J121" s="67"/>
      <c r="K121" s="67"/>
      <c r="L121" s="67"/>
    </row>
    <row r="122" spans="4:12">
      <c r="D122" s="67">
        <f>D49+D46+D55</f>
        <v>968.24791940215653</v>
      </c>
      <c r="E122" s="67">
        <f t="shared" ref="E122:K122" si="20">E49+E46+E55</f>
        <v>986.73870723315019</v>
      </c>
      <c r="F122" s="67">
        <f t="shared" si="20"/>
        <v>1019.8601756048923</v>
      </c>
      <c r="G122" s="67">
        <f t="shared" si="20"/>
        <v>1021.4422987735436</v>
      </c>
      <c r="H122" s="67">
        <f t="shared" si="20"/>
        <v>1102.4150019132585</v>
      </c>
      <c r="I122" s="67">
        <f t="shared" si="20"/>
        <v>1022.3763189417532</v>
      </c>
      <c r="J122" s="67">
        <f t="shared" si="20"/>
        <v>991.53903952027258</v>
      </c>
      <c r="K122" s="67">
        <f t="shared" si="20"/>
        <v>964.67252158150768</v>
      </c>
      <c r="L122" s="67">
        <f>L49+L46+L55</f>
        <v>945.84866292486868</v>
      </c>
    </row>
    <row r="123" spans="4:12">
      <c r="D123" s="67"/>
      <c r="E123" s="67"/>
      <c r="F123" s="67"/>
      <c r="G123" s="67"/>
      <c r="H123" s="67"/>
      <c r="I123" s="67"/>
      <c r="J123" s="67"/>
      <c r="K123" s="67"/>
      <c r="L123" s="67"/>
    </row>
    <row r="124" spans="4:12">
      <c r="D124" s="67">
        <f>D122/D25*100</f>
        <v>49.216216032597451</v>
      </c>
      <c r="E124" s="67">
        <f t="shared" ref="E124:J124" si="21">E122/E25*100</f>
        <v>44.583205427981845</v>
      </c>
      <c r="F124" s="67">
        <f t="shared" si="21"/>
        <v>41.471741044673905</v>
      </c>
      <c r="G124" s="67">
        <f t="shared" si="21"/>
        <v>37.760069753668994</v>
      </c>
      <c r="H124" s="67">
        <f t="shared" si="21"/>
        <v>37.357301991580819</v>
      </c>
      <c r="I124" s="67">
        <f t="shared" si="21"/>
        <v>34.645048216382115</v>
      </c>
      <c r="J124" s="67">
        <f t="shared" si="21"/>
        <v>33.600071907144944</v>
      </c>
      <c r="K124" s="67">
        <f>K122/K25*100</f>
        <v>32.689651945189787</v>
      </c>
      <c r="L124" s="67">
        <f>L122/L25*100</f>
        <v>32.051771862587074</v>
      </c>
    </row>
    <row r="126" spans="4:12">
      <c r="D126" s="67">
        <f>D46+D49</f>
        <v>692.30655969666179</v>
      </c>
      <c r="E126" s="67">
        <f t="shared" ref="E126:K126" si="22">E46+E49</f>
        <v>669.98155969666186</v>
      </c>
      <c r="F126" s="67">
        <f t="shared" si="22"/>
        <v>638.86905969666179</v>
      </c>
      <c r="G126" s="67">
        <f t="shared" si="22"/>
        <v>599.44405969666184</v>
      </c>
      <c r="H126" s="67">
        <f t="shared" si="22"/>
        <v>551.23155969666175</v>
      </c>
      <c r="I126" s="67">
        <f t="shared" si="22"/>
        <v>497.31905969666178</v>
      </c>
      <c r="J126" s="67">
        <f t="shared" si="22"/>
        <v>454.56905969666178</v>
      </c>
      <c r="K126" s="67">
        <f t="shared" si="22"/>
        <v>452.19405969666178</v>
      </c>
      <c r="L126" s="67">
        <f>L46+L49</f>
        <v>452.19405969666178</v>
      </c>
    </row>
  </sheetData>
  <mergeCells count="1">
    <mergeCell ref="C5:E5"/>
  </mergeCells>
  <printOptions horizontalCentered="1" verticalCentered="1"/>
  <pageMargins left="1.37" right="0.25" top="0.49" bottom="0.2" header="0.2" footer="0.2"/>
  <pageSetup paperSize="9" scale="85" orientation="landscape" r:id="rId1"/>
  <headerFooter alignWithMargins="0">
    <oddHeader>&amp;C&amp;"Arial,Bold"&amp;12ROYALE de CASA
(A UNIT OF ROYALE INDIA PVT. LTD.)</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6E1E-00AD-4B53-A38A-7EDF7B34D110}">
  <dimension ref="B1:D49"/>
  <sheetViews>
    <sheetView view="pageBreakPreview" zoomScale="60" zoomScaleNormal="100" zoomScalePageLayoutView="40" workbookViewId="0">
      <selection activeCell="P16" sqref="P16"/>
    </sheetView>
  </sheetViews>
  <sheetFormatPr defaultRowHeight="18.75" customHeight="1"/>
  <cols>
    <col min="1" max="1" width="3.140625" style="473" customWidth="1"/>
    <col min="2" max="2" width="10.85546875" style="473" customWidth="1"/>
    <col min="3" max="3" width="76.42578125" style="473" customWidth="1"/>
    <col min="4" max="4" width="16.140625" style="473" customWidth="1"/>
    <col min="5" max="16384" width="9.140625" style="473"/>
  </cols>
  <sheetData>
    <row r="1" spans="2:4" ht="11.25" customHeight="1"/>
    <row r="2" spans="2:4" ht="18.75" customHeight="1">
      <c r="C2" s="474" t="s">
        <v>191</v>
      </c>
    </row>
    <row r="4" spans="2:4" ht="18.75" customHeight="1">
      <c r="B4" s="475" t="s">
        <v>192</v>
      </c>
      <c r="C4" s="475" t="s">
        <v>193</v>
      </c>
      <c r="D4" s="475" t="s">
        <v>194</v>
      </c>
    </row>
    <row r="5" spans="2:4" ht="18.75" customHeight="1">
      <c r="B5" s="458"/>
      <c r="C5" s="458"/>
      <c r="D5" s="458"/>
    </row>
    <row r="6" spans="2:4" ht="18.75" customHeight="1">
      <c r="B6" s="476">
        <v>1</v>
      </c>
      <c r="C6" s="458" t="s">
        <v>195</v>
      </c>
      <c r="D6" s="477" t="s">
        <v>196</v>
      </c>
    </row>
    <row r="7" spans="2:4" ht="18.75" customHeight="1">
      <c r="B7" s="476">
        <v>2</v>
      </c>
      <c r="C7" s="458" t="s">
        <v>197</v>
      </c>
      <c r="D7" s="477" t="s">
        <v>198</v>
      </c>
    </row>
    <row r="8" spans="2:4" ht="18.75" customHeight="1">
      <c r="B8" s="476">
        <v>3</v>
      </c>
      <c r="C8" s="458" t="s">
        <v>199</v>
      </c>
      <c r="D8" s="478" t="s">
        <v>200</v>
      </c>
    </row>
    <row r="9" spans="2:4" ht="18.75" customHeight="1">
      <c r="B9" s="765">
        <v>4</v>
      </c>
      <c r="C9" s="766" t="s">
        <v>201</v>
      </c>
      <c r="D9" s="767" t="s">
        <v>202</v>
      </c>
    </row>
    <row r="10" spans="2:4" ht="18.75" customHeight="1">
      <c r="B10" s="765">
        <v>5</v>
      </c>
      <c r="C10" s="766" t="s">
        <v>203</v>
      </c>
      <c r="D10" s="767" t="s">
        <v>204</v>
      </c>
    </row>
    <row r="11" spans="2:4" ht="18.75" customHeight="1">
      <c r="B11" s="476">
        <v>6</v>
      </c>
      <c r="C11" s="458" t="s">
        <v>205</v>
      </c>
      <c r="D11" s="478">
        <v>13</v>
      </c>
    </row>
    <row r="12" spans="2:4" ht="18.75" customHeight="1">
      <c r="B12" s="476">
        <v>7</v>
      </c>
      <c r="C12" s="479" t="s">
        <v>206</v>
      </c>
      <c r="D12" s="478">
        <v>14</v>
      </c>
    </row>
    <row r="13" spans="2:4" ht="18.75" customHeight="1">
      <c r="B13" s="476">
        <v>8</v>
      </c>
      <c r="C13" s="479" t="s">
        <v>207</v>
      </c>
      <c r="D13" s="478">
        <v>14</v>
      </c>
    </row>
    <row r="14" spans="2:4" ht="18.75" customHeight="1">
      <c r="B14" s="476">
        <v>9</v>
      </c>
      <c r="C14" s="479" t="s">
        <v>208</v>
      </c>
      <c r="D14" s="478" t="s">
        <v>209</v>
      </c>
    </row>
    <row r="15" spans="2:4" ht="18.75" customHeight="1">
      <c r="B15" s="476">
        <v>10</v>
      </c>
      <c r="C15" s="479" t="s">
        <v>210</v>
      </c>
      <c r="D15" s="478">
        <v>18</v>
      </c>
    </row>
    <row r="16" spans="2:4" ht="18.75" customHeight="1">
      <c r="B16" s="476">
        <v>11</v>
      </c>
      <c r="C16" s="479" t="s">
        <v>211</v>
      </c>
      <c r="D16" s="476">
        <v>18</v>
      </c>
    </row>
    <row r="17" spans="2:4" ht="18.75" customHeight="1">
      <c r="B17" s="476">
        <v>12</v>
      </c>
      <c r="C17" s="479" t="s">
        <v>212</v>
      </c>
      <c r="D17" s="478">
        <v>19</v>
      </c>
    </row>
    <row r="18" spans="2:4" ht="18.75" customHeight="1">
      <c r="B18" s="476">
        <v>13</v>
      </c>
      <c r="C18" s="479" t="s">
        <v>213</v>
      </c>
      <c r="D18" s="476" t="s">
        <v>214</v>
      </c>
    </row>
    <row r="19" spans="2:4" ht="18.75" customHeight="1">
      <c r="B19" s="476">
        <v>14</v>
      </c>
      <c r="C19" s="479" t="s">
        <v>215</v>
      </c>
      <c r="D19" s="478">
        <v>24</v>
      </c>
    </row>
    <row r="20" spans="2:4" ht="18.75" customHeight="1">
      <c r="B20" s="476">
        <v>15</v>
      </c>
      <c r="C20" s="479" t="s">
        <v>216</v>
      </c>
      <c r="D20" s="478">
        <v>25</v>
      </c>
    </row>
    <row r="22" spans="2:4" ht="18.75" customHeight="1">
      <c r="C22" s="474" t="s">
        <v>217</v>
      </c>
    </row>
    <row r="24" spans="2:4" ht="18.75" customHeight="1">
      <c r="B24" s="475" t="s">
        <v>192</v>
      </c>
      <c r="C24" s="475" t="s">
        <v>193</v>
      </c>
      <c r="D24" s="475" t="s">
        <v>194</v>
      </c>
    </row>
    <row r="25" spans="2:4" ht="18.75" customHeight="1">
      <c r="B25" s="458"/>
      <c r="C25" s="458"/>
      <c r="D25" s="458"/>
    </row>
    <row r="26" spans="2:4" ht="18.75" customHeight="1">
      <c r="B26" s="476" t="s">
        <v>218</v>
      </c>
      <c r="C26" s="458" t="s">
        <v>219</v>
      </c>
      <c r="D26" s="674">
        <v>26</v>
      </c>
    </row>
    <row r="27" spans="2:4" ht="18.75" customHeight="1">
      <c r="B27" s="476" t="s">
        <v>220</v>
      </c>
      <c r="C27" s="458" t="s">
        <v>221</v>
      </c>
      <c r="D27" s="674">
        <v>27</v>
      </c>
    </row>
    <row r="28" spans="2:4" ht="18.75" customHeight="1">
      <c r="B28" s="476" t="s">
        <v>222</v>
      </c>
      <c r="C28" s="458" t="s">
        <v>223</v>
      </c>
      <c r="D28" s="674">
        <v>28</v>
      </c>
    </row>
    <row r="29" spans="2:4" ht="18.75" customHeight="1">
      <c r="B29" s="476" t="s">
        <v>224</v>
      </c>
      <c r="C29" s="458" t="s">
        <v>225</v>
      </c>
      <c r="D29" s="674">
        <v>29</v>
      </c>
    </row>
    <row r="30" spans="2:4" ht="18.75" customHeight="1">
      <c r="B30" s="476" t="s">
        <v>226</v>
      </c>
      <c r="C30" s="458" t="s">
        <v>122</v>
      </c>
      <c r="D30" s="674">
        <v>30</v>
      </c>
    </row>
    <row r="31" spans="2:4" ht="18.75" customHeight="1">
      <c r="B31" s="476" t="s">
        <v>227</v>
      </c>
      <c r="C31" s="458" t="s">
        <v>228</v>
      </c>
      <c r="D31" s="674">
        <v>31</v>
      </c>
    </row>
    <row r="32" spans="2:4" ht="18.75" customHeight="1">
      <c r="B32" s="476" t="s">
        <v>229</v>
      </c>
      <c r="C32" s="458" t="s">
        <v>230</v>
      </c>
      <c r="D32" s="674">
        <v>32</v>
      </c>
    </row>
    <row r="33" spans="2:4" ht="18.75" customHeight="1">
      <c r="B33" s="476" t="s">
        <v>231</v>
      </c>
      <c r="C33" s="458" t="s">
        <v>232</v>
      </c>
      <c r="D33" s="674">
        <v>33</v>
      </c>
    </row>
    <row r="34" spans="2:4" ht="18.75" customHeight="1">
      <c r="B34" s="476" t="s">
        <v>233</v>
      </c>
      <c r="C34" s="458" t="s">
        <v>234</v>
      </c>
      <c r="D34" s="674">
        <v>34</v>
      </c>
    </row>
    <row r="35" spans="2:4" ht="18.75" customHeight="1">
      <c r="B35" s="476" t="s">
        <v>235</v>
      </c>
      <c r="C35" s="458" t="s">
        <v>236</v>
      </c>
      <c r="D35" s="674">
        <v>35</v>
      </c>
    </row>
    <row r="36" spans="2:4" ht="18.75" customHeight="1">
      <c r="B36" s="476" t="s">
        <v>237</v>
      </c>
      <c r="C36" s="458" t="s">
        <v>238</v>
      </c>
      <c r="D36" s="674">
        <v>36</v>
      </c>
    </row>
    <row r="37" spans="2:4" ht="11.25" customHeight="1"/>
    <row r="38" spans="2:4" ht="18.75" customHeight="1">
      <c r="C38" s="474" t="s">
        <v>239</v>
      </c>
    </row>
    <row r="40" spans="2:4" ht="18.75" customHeight="1">
      <c r="B40" s="458"/>
      <c r="C40" s="475" t="s">
        <v>193</v>
      </c>
      <c r="D40" s="458"/>
    </row>
    <row r="41" spans="2:4" ht="18.75" customHeight="1">
      <c r="B41" s="475" t="s">
        <v>192</v>
      </c>
      <c r="C41" s="458"/>
      <c r="D41" s="475" t="s">
        <v>194</v>
      </c>
    </row>
    <row r="42" spans="2:4" ht="18.75" customHeight="1">
      <c r="B42" s="476">
        <v>1</v>
      </c>
      <c r="C42" s="458" t="s">
        <v>240</v>
      </c>
      <c r="D42" s="478">
        <v>37</v>
      </c>
    </row>
    <row r="43" spans="2:4" ht="18.75" customHeight="1">
      <c r="B43" s="478">
        <v>2</v>
      </c>
      <c r="C43" s="458" t="s">
        <v>241</v>
      </c>
      <c r="D43" s="478">
        <v>38</v>
      </c>
    </row>
    <row r="44" spans="2:4" ht="18.75" customHeight="1">
      <c r="B44" s="476">
        <v>3</v>
      </c>
      <c r="C44" s="458" t="s">
        <v>148</v>
      </c>
      <c r="D44" s="477" t="s">
        <v>242</v>
      </c>
    </row>
    <row r="45" spans="2:4" ht="18.75" customHeight="1">
      <c r="B45" s="476">
        <v>4</v>
      </c>
      <c r="C45" s="458" t="s">
        <v>243</v>
      </c>
      <c r="D45" s="674">
        <v>41</v>
      </c>
    </row>
    <row r="46" spans="2:4" ht="18.75" customHeight="1">
      <c r="B46" s="476">
        <v>5</v>
      </c>
      <c r="C46" s="458" t="s">
        <v>244</v>
      </c>
      <c r="D46" s="674" t="s">
        <v>245</v>
      </c>
    </row>
    <row r="48" spans="2:4" ht="18.75" hidden="1" customHeight="1">
      <c r="B48" s="679"/>
      <c r="C48" s="680" t="s">
        <v>246</v>
      </c>
      <c r="D48" s="681" t="s">
        <v>247</v>
      </c>
    </row>
    <row r="49" ht="18.75" hidden="1" customHeight="1"/>
  </sheetData>
  <phoneticPr fontId="2" type="noConversion"/>
  <pageMargins left="0.47244094488188981" right="0.11811023622047245" top="0.59055118110236227" bottom="0.15748031496062992" header="0.23622047244094491" footer="0.19685039370078741"/>
  <pageSetup paperSize="9" scale="88" orientation="portrait" r:id="rId1"/>
  <headerFooter alignWithMargins="0">
    <oddHeader>&amp;RHOTEL CITY WALK INTERNATIONAL
GUWAHATI</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C4C0-D0A4-49F3-B499-1DF4823A8897}">
  <sheetPr>
    <tabColor indexed="40"/>
  </sheetPr>
  <dimension ref="B3:J44"/>
  <sheetViews>
    <sheetView view="pageBreakPreview" topLeftCell="A35" zoomScaleNormal="100" zoomScaleSheetLayoutView="100" zoomScalePageLayoutView="40" workbookViewId="0">
      <selection activeCell="A40" sqref="A40:IV49"/>
    </sheetView>
  </sheetViews>
  <sheetFormatPr defaultRowHeight="12.75"/>
  <cols>
    <col min="1" max="1" width="1.28515625" style="51" customWidth="1"/>
    <col min="2" max="2" width="3.5703125" style="51" bestFit="1" customWidth="1"/>
    <col min="3" max="4" width="9.140625" style="51"/>
    <col min="5" max="5" width="12.28515625" style="51" customWidth="1"/>
    <col min="6" max="6" width="9.140625" style="51"/>
    <col min="7" max="7" width="11" style="51" bestFit="1" customWidth="1"/>
    <col min="8" max="8" width="9.140625" style="51"/>
    <col min="9" max="9" width="21.140625" style="51" customWidth="1"/>
    <col min="10" max="10" width="12.140625" style="51" bestFit="1" customWidth="1"/>
    <col min="11" max="16384" width="9.140625" style="51"/>
  </cols>
  <sheetData>
    <row r="3" spans="2:8">
      <c r="B3" s="50"/>
      <c r="C3" s="50"/>
      <c r="D3" s="1043" t="s">
        <v>248</v>
      </c>
      <c r="E3" s="1043"/>
      <c r="F3" s="1043"/>
      <c r="G3" s="1043"/>
      <c r="H3" s="50"/>
    </row>
    <row r="4" spans="2:8">
      <c r="B4" s="50"/>
      <c r="C4" s="50"/>
      <c r="D4" s="50"/>
      <c r="E4" s="50"/>
      <c r="F4" s="50"/>
      <c r="G4" s="50"/>
      <c r="H4" s="50"/>
    </row>
    <row r="5" spans="2:8">
      <c r="B5" s="52" t="s">
        <v>249</v>
      </c>
      <c r="C5" s="50" t="s">
        <v>250</v>
      </c>
      <c r="D5" s="50"/>
      <c r="E5" s="50"/>
      <c r="F5" s="50" t="s">
        <v>251</v>
      </c>
      <c r="G5" s="50" t="s">
        <v>252</v>
      </c>
      <c r="H5" s="50"/>
    </row>
    <row r="6" spans="2:8">
      <c r="B6" s="52"/>
      <c r="C6" s="50"/>
      <c r="D6" s="50"/>
      <c r="E6" s="50"/>
      <c r="F6" s="50"/>
      <c r="G6" s="768"/>
      <c r="H6" s="50"/>
    </row>
    <row r="7" spans="2:8">
      <c r="B7" s="50"/>
      <c r="C7" s="50"/>
      <c r="D7" s="50"/>
      <c r="E7" s="50"/>
      <c r="F7" s="50"/>
      <c r="G7" s="50"/>
      <c r="H7" s="50"/>
    </row>
    <row r="8" spans="2:8">
      <c r="B8" s="52" t="s">
        <v>253</v>
      </c>
      <c r="C8" s="50" t="s">
        <v>254</v>
      </c>
      <c r="D8" s="50"/>
      <c r="E8" s="50"/>
      <c r="F8" s="50" t="s">
        <v>251</v>
      </c>
      <c r="G8" s="50" t="s">
        <v>255</v>
      </c>
      <c r="H8" s="50"/>
    </row>
    <row r="9" spans="2:8">
      <c r="B9" s="52"/>
      <c r="C9" s="50"/>
      <c r="D9" s="50"/>
      <c r="E9" s="50"/>
      <c r="F9" s="50"/>
      <c r="G9" s="50"/>
      <c r="H9" s="50"/>
    </row>
    <row r="10" spans="2:8">
      <c r="B10" s="52" t="s">
        <v>256</v>
      </c>
      <c r="C10" s="50" t="s">
        <v>257</v>
      </c>
      <c r="D10" s="50"/>
      <c r="E10" s="50"/>
      <c r="F10" s="50" t="s">
        <v>251</v>
      </c>
      <c r="G10" s="50" t="s">
        <v>258</v>
      </c>
      <c r="H10" s="50"/>
    </row>
    <row r="11" spans="2:8">
      <c r="B11" s="52"/>
      <c r="C11" s="50"/>
      <c r="D11" s="50"/>
      <c r="E11" s="50"/>
      <c r="F11" s="50"/>
      <c r="G11" s="50" t="s">
        <v>259</v>
      </c>
      <c r="H11" s="50"/>
    </row>
    <row r="12" spans="2:8">
      <c r="B12" s="52"/>
      <c r="C12" s="50"/>
      <c r="D12" s="50"/>
      <c r="E12" s="50"/>
      <c r="F12" s="50"/>
      <c r="G12" s="50" t="s">
        <v>260</v>
      </c>
      <c r="H12" s="50"/>
    </row>
    <row r="13" spans="2:8">
      <c r="B13" s="52"/>
      <c r="C13" s="50"/>
      <c r="D13" s="50"/>
      <c r="E13" s="50"/>
      <c r="F13" s="50"/>
      <c r="G13" s="50" t="s">
        <v>261</v>
      </c>
      <c r="H13" s="50"/>
    </row>
    <row r="14" spans="2:8">
      <c r="B14" s="52"/>
      <c r="C14" s="50"/>
      <c r="D14" s="50"/>
      <c r="E14" s="50"/>
      <c r="F14" s="50"/>
      <c r="G14" s="50" t="s">
        <v>262</v>
      </c>
      <c r="H14" s="50"/>
    </row>
    <row r="15" spans="2:8">
      <c r="B15" s="52"/>
      <c r="C15" s="50"/>
      <c r="D15" s="50"/>
      <c r="E15" s="50"/>
      <c r="F15" s="50"/>
      <c r="G15" s="50"/>
      <c r="H15" s="50"/>
    </row>
    <row r="16" spans="2:8">
      <c r="B16" s="52"/>
      <c r="C16" s="50"/>
      <c r="D16" s="50"/>
      <c r="E16" s="50"/>
      <c r="F16" s="50"/>
      <c r="G16" s="50"/>
      <c r="H16" s="50"/>
    </row>
    <row r="17" spans="2:10">
      <c r="B17" s="52" t="s">
        <v>263</v>
      </c>
      <c r="C17" s="50" t="s">
        <v>264</v>
      </c>
      <c r="D17" s="50"/>
      <c r="E17" s="50"/>
      <c r="F17" s="50" t="s">
        <v>251</v>
      </c>
      <c r="G17" s="430" t="str">
        <f>G5</f>
        <v>OM ARHAM VENTURES</v>
      </c>
      <c r="H17" s="50"/>
    </row>
    <row r="18" spans="2:10">
      <c r="B18" s="52"/>
      <c r="C18" s="50"/>
      <c r="D18" s="50"/>
      <c r="E18" s="50"/>
      <c r="F18" s="50"/>
      <c r="G18" s="50"/>
      <c r="H18" s="50"/>
    </row>
    <row r="19" spans="2:10">
      <c r="B19" s="50"/>
      <c r="C19" s="50"/>
      <c r="D19" s="50"/>
      <c r="E19" s="50"/>
      <c r="F19" s="50"/>
      <c r="G19" s="50" t="s">
        <v>265</v>
      </c>
      <c r="H19" s="50"/>
    </row>
    <row r="20" spans="2:10">
      <c r="B20" s="50"/>
      <c r="C20" s="50"/>
      <c r="D20" s="50"/>
      <c r="E20" s="50"/>
      <c r="F20" s="50"/>
      <c r="G20" s="50" t="s">
        <v>266</v>
      </c>
      <c r="H20" s="50"/>
    </row>
    <row r="21" spans="2:10">
      <c r="B21" s="50"/>
      <c r="C21" s="50"/>
      <c r="D21" s="50"/>
      <c r="E21" s="50"/>
      <c r="F21" s="50"/>
      <c r="G21" s="50" t="s">
        <v>267</v>
      </c>
      <c r="H21" s="50"/>
    </row>
    <row r="22" spans="2:10">
      <c r="B22" s="50"/>
      <c r="C22" s="50"/>
      <c r="D22" s="50"/>
      <c r="E22" s="50"/>
      <c r="F22" s="50"/>
      <c r="G22" s="50" t="s">
        <v>268</v>
      </c>
      <c r="H22" s="50"/>
    </row>
    <row r="23" spans="2:10">
      <c r="B23" s="50"/>
      <c r="C23" s="50"/>
      <c r="D23" s="50"/>
      <c r="E23" s="50"/>
      <c r="F23" s="50"/>
      <c r="G23" s="50" t="s">
        <v>269</v>
      </c>
      <c r="H23" s="50"/>
    </row>
    <row r="24" spans="2:10">
      <c r="B24" s="50"/>
      <c r="C24" s="50"/>
      <c r="D24" s="50"/>
      <c r="E24" s="50"/>
      <c r="F24" s="50"/>
      <c r="G24" s="50" t="s">
        <v>270</v>
      </c>
      <c r="H24" s="50"/>
    </row>
    <row r="25" spans="2:10">
      <c r="B25" s="50"/>
      <c r="C25" s="50"/>
      <c r="D25" s="50"/>
      <c r="E25" s="50"/>
      <c r="F25" s="50"/>
      <c r="G25" s="50" t="s">
        <v>271</v>
      </c>
      <c r="H25" s="50"/>
    </row>
    <row r="26" spans="2:10">
      <c r="B26" s="50"/>
      <c r="C26" s="50"/>
      <c r="D26" s="50"/>
      <c r="E26" s="50"/>
      <c r="F26" s="50"/>
      <c r="G26" s="50"/>
      <c r="H26" s="50"/>
    </row>
    <row r="27" spans="2:10">
      <c r="B27" s="50"/>
      <c r="C27" s="50"/>
      <c r="D27" s="50"/>
      <c r="E27" s="50"/>
      <c r="F27" s="50"/>
      <c r="G27" s="50"/>
      <c r="H27" s="50"/>
    </row>
    <row r="28" spans="2:10" ht="13.5" thickBot="1">
      <c r="B28" s="52" t="s">
        <v>272</v>
      </c>
      <c r="C28" s="50" t="s">
        <v>273</v>
      </c>
      <c r="D28" s="50"/>
      <c r="E28" s="50"/>
      <c r="F28" s="50" t="s">
        <v>251</v>
      </c>
      <c r="G28" s="53" t="s">
        <v>87</v>
      </c>
      <c r="H28" s="53"/>
      <c r="I28" s="54"/>
      <c r="J28" s="55">
        <f>'CAPITAL COST'!D28</f>
        <v>4285.8642876220001</v>
      </c>
    </row>
    <row r="29" spans="2:10" ht="13.5" thickTop="1">
      <c r="B29" s="52"/>
      <c r="C29" s="50"/>
      <c r="D29" s="50"/>
      <c r="E29" s="50"/>
      <c r="F29" s="50"/>
      <c r="G29" s="56"/>
      <c r="H29" s="50"/>
    </row>
    <row r="30" spans="2:10">
      <c r="B30" s="52" t="s">
        <v>274</v>
      </c>
      <c r="C30" s="50" t="s">
        <v>275</v>
      </c>
      <c r="D30" s="50"/>
      <c r="E30" s="50"/>
      <c r="F30" s="50" t="s">
        <v>251</v>
      </c>
      <c r="G30" s="50" t="s">
        <v>276</v>
      </c>
      <c r="H30" s="50"/>
      <c r="I30" s="50"/>
      <c r="J30" s="57">
        <f>'CAPITAL COST'!D46</f>
        <v>1185.8642876220001</v>
      </c>
    </row>
    <row r="31" spans="2:10">
      <c r="B31" s="52"/>
      <c r="C31" s="50"/>
      <c r="D31" s="50"/>
      <c r="E31" s="50"/>
      <c r="F31" s="50"/>
      <c r="G31" s="50"/>
      <c r="H31" s="50"/>
      <c r="I31" s="50"/>
      <c r="J31" s="57"/>
    </row>
    <row r="32" spans="2:10">
      <c r="B32" s="52"/>
      <c r="C32" s="50"/>
      <c r="D32" s="50"/>
      <c r="E32" s="50"/>
      <c r="F32" s="50"/>
      <c r="G32" s="50" t="s">
        <v>277</v>
      </c>
      <c r="H32" s="50"/>
      <c r="I32" s="50"/>
      <c r="J32" s="57">
        <f>'CAPITAL COST'!D48</f>
        <v>400</v>
      </c>
    </row>
    <row r="33" spans="2:10">
      <c r="B33" s="52"/>
      <c r="C33" s="50"/>
      <c r="D33" s="50"/>
      <c r="E33" s="50"/>
      <c r="F33" s="50"/>
      <c r="G33" s="50"/>
      <c r="H33" s="50"/>
      <c r="I33" s="50"/>
      <c r="J33" s="50"/>
    </row>
    <row r="34" spans="2:10" ht="13.5" thickBot="1">
      <c r="B34" s="50"/>
      <c r="C34" s="50"/>
      <c r="D34" s="50"/>
      <c r="E34" s="50"/>
      <c r="F34" s="50"/>
      <c r="G34" s="58" t="s">
        <v>278</v>
      </c>
      <c r="H34" s="58"/>
      <c r="I34" s="58"/>
      <c r="J34" s="59">
        <f>'CAPITAL COST'!D50</f>
        <v>2700</v>
      </c>
    </row>
    <row r="35" spans="2:10">
      <c r="B35" s="50"/>
      <c r="C35" s="50"/>
      <c r="D35" s="50"/>
      <c r="E35" s="50"/>
      <c r="F35" s="50"/>
      <c r="G35" s="50"/>
      <c r="H35" s="50"/>
      <c r="I35" s="50"/>
      <c r="J35" s="57"/>
    </row>
    <row r="36" spans="2:10">
      <c r="B36" s="50"/>
      <c r="C36" s="50"/>
      <c r="D36" s="50"/>
      <c r="E36" s="50"/>
      <c r="F36" s="50"/>
      <c r="G36" s="50"/>
      <c r="H36" s="50"/>
      <c r="I36" s="50"/>
      <c r="J36" s="57"/>
    </row>
    <row r="37" spans="2:10" hidden="1">
      <c r="B37" s="50"/>
      <c r="C37" s="50"/>
      <c r="D37" s="50"/>
      <c r="E37" s="50"/>
      <c r="F37" s="50"/>
      <c r="G37" s="60" t="s">
        <v>279</v>
      </c>
      <c r="H37" s="60"/>
      <c r="I37" s="60"/>
      <c r="J37" s="61">
        <f>+'CAPITAL COST'!D54</f>
        <v>0</v>
      </c>
    </row>
    <row r="38" spans="2:10" hidden="1">
      <c r="B38" s="50"/>
      <c r="C38" s="50"/>
      <c r="D38" s="50"/>
      <c r="E38" s="50"/>
      <c r="F38" s="50"/>
      <c r="G38" s="50"/>
      <c r="H38" s="50"/>
      <c r="I38" s="50"/>
      <c r="J38" s="57"/>
    </row>
    <row r="39" spans="2:10">
      <c r="B39" s="52"/>
      <c r="C39" s="50"/>
      <c r="D39" s="50"/>
      <c r="E39" s="50"/>
      <c r="F39" s="50"/>
      <c r="G39" s="56"/>
      <c r="H39" s="50"/>
    </row>
    <row r="40" spans="2:10">
      <c r="B40" s="50"/>
      <c r="C40" s="50"/>
      <c r="D40" s="50"/>
      <c r="E40" s="50"/>
      <c r="F40" s="50"/>
      <c r="G40" s="50"/>
      <c r="H40" s="50"/>
    </row>
    <row r="41" spans="2:10">
      <c r="B41" s="50" t="s">
        <v>280</v>
      </c>
      <c r="C41" s="50" t="s">
        <v>281</v>
      </c>
      <c r="D41" s="50"/>
      <c r="E41" s="50"/>
      <c r="F41" s="50" t="s">
        <v>251</v>
      </c>
      <c r="G41" s="874" t="s">
        <v>282</v>
      </c>
    </row>
    <row r="42" spans="2:10">
      <c r="B42" s="50" t="s">
        <v>283</v>
      </c>
      <c r="C42" s="50" t="s">
        <v>284</v>
      </c>
      <c r="D42" s="50"/>
      <c r="E42" s="50"/>
      <c r="F42" s="50" t="s">
        <v>251</v>
      </c>
      <c r="G42" s="56">
        <f>Manpower!C18</f>
        <v>146</v>
      </c>
    </row>
    <row r="43" spans="2:10">
      <c r="B43" s="50" t="s">
        <v>285</v>
      </c>
      <c r="C43" s="50" t="s">
        <v>286</v>
      </c>
      <c r="D43" s="50"/>
      <c r="E43" s="50"/>
      <c r="F43" s="50" t="s">
        <v>251</v>
      </c>
      <c r="G43" s="769">
        <f>SALESPROJECTION!D12</f>
        <v>195</v>
      </c>
    </row>
    <row r="44" spans="2:10">
      <c r="B44" s="50"/>
      <c r="C44" s="50"/>
      <c r="D44" s="50"/>
      <c r="E44" s="50"/>
      <c r="F44" s="50"/>
      <c r="G44" s="50"/>
    </row>
  </sheetData>
  <mergeCells count="1">
    <mergeCell ref="D3:G3"/>
  </mergeCells>
  <phoneticPr fontId="2" type="noConversion"/>
  <pageMargins left="0.47244094488188981" right="0.11811023622047245" top="0.59055118110236227" bottom="0.15748031496062992" header="0.23622047244094491" footer="0.19685039370078741"/>
  <pageSetup paperSize="9" scale="88" orientation="portrait" r:id="rId1"/>
  <headerFooter alignWithMargins="0">
    <oddHeader>&amp;RHOTEL CITY WALK INTERNATIONAL
GUWAHATI</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1F18-5746-4D15-B4E2-4FBD24D0F55C}">
  <sheetPr>
    <pageSetUpPr fitToPage="1"/>
  </sheetPr>
  <dimension ref="A1:K40"/>
  <sheetViews>
    <sheetView topLeftCell="A25" workbookViewId="0">
      <selection activeCell="F15" sqref="F15"/>
    </sheetView>
  </sheetViews>
  <sheetFormatPr defaultColWidth="8" defaultRowHeight="12.75"/>
  <cols>
    <col min="1" max="1" width="6" style="19" customWidth="1"/>
    <col min="2" max="2" width="3" style="19" customWidth="1"/>
    <col min="3" max="3" width="6.7109375" style="19" customWidth="1"/>
    <col min="4" max="4" width="70.42578125" style="19" customWidth="1"/>
    <col min="5" max="5" width="12.42578125" style="19" customWidth="1"/>
    <col min="6" max="6" width="11.28515625" style="19" customWidth="1"/>
    <col min="7" max="7" width="2" style="19" customWidth="1"/>
    <col min="8" max="8" width="8" style="19" customWidth="1"/>
    <col min="9" max="9" width="12.28515625" style="19" customWidth="1"/>
    <col min="10" max="16384" width="8" style="19"/>
  </cols>
  <sheetData>
    <row r="1" spans="1:11">
      <c r="A1" s="18"/>
      <c r="B1" s="18"/>
      <c r="C1" s="18"/>
      <c r="D1" s="18"/>
      <c r="E1" s="18"/>
      <c r="F1" s="18"/>
      <c r="G1" s="18"/>
    </row>
    <row r="2" spans="1:11">
      <c r="A2" s="18"/>
      <c r="B2" s="18"/>
      <c r="C2" s="18"/>
      <c r="D2" s="18"/>
      <c r="E2" s="18"/>
      <c r="F2" s="18"/>
      <c r="G2" s="18"/>
    </row>
    <row r="3" spans="1:11">
      <c r="A3" s="18"/>
      <c r="B3" s="18"/>
      <c r="C3" s="18"/>
      <c r="D3" s="18"/>
      <c r="E3" s="18"/>
      <c r="F3" s="18"/>
      <c r="G3" s="18"/>
    </row>
    <row r="4" spans="1:11">
      <c r="A4" s="18"/>
      <c r="B4" s="18"/>
      <c r="C4" s="18"/>
      <c r="D4" s="18"/>
      <c r="E4" s="18"/>
      <c r="F4" s="18"/>
      <c r="G4" s="18"/>
    </row>
    <row r="5" spans="1:11">
      <c r="A5" s="18"/>
      <c r="B5" s="18"/>
      <c r="C5" s="1044" t="s">
        <v>287</v>
      </c>
      <c r="D5" s="1044"/>
      <c r="E5" s="1044"/>
      <c r="F5" s="1044"/>
      <c r="G5" s="18"/>
    </row>
    <row r="6" spans="1:11">
      <c r="A6" s="18"/>
      <c r="B6" s="18"/>
      <c r="C6" s="1045"/>
      <c r="D6" s="1045"/>
      <c r="E6" s="1045"/>
      <c r="F6" s="1045"/>
      <c r="G6" s="18"/>
    </row>
    <row r="7" spans="1:11">
      <c r="A7" s="18"/>
      <c r="B7" s="18"/>
      <c r="C7" s="1046" t="s">
        <v>288</v>
      </c>
      <c r="D7" s="1047"/>
      <c r="E7" s="1047"/>
      <c r="F7" s="1047"/>
      <c r="G7" s="18"/>
    </row>
    <row r="8" spans="1:11" ht="13.5" thickBot="1">
      <c r="A8" s="18"/>
      <c r="B8" s="18"/>
      <c r="C8" s="18"/>
      <c r="D8" s="18"/>
      <c r="E8" s="18"/>
      <c r="F8" s="18"/>
      <c r="G8" s="18"/>
    </row>
    <row r="9" spans="1:11" ht="26.25" customHeight="1">
      <c r="A9" s="18"/>
      <c r="B9" s="18"/>
      <c r="C9" s="1048" t="s">
        <v>289</v>
      </c>
      <c r="D9" s="1049"/>
      <c r="E9" s="1049"/>
      <c r="F9" s="1050"/>
      <c r="G9" s="18"/>
    </row>
    <row r="10" spans="1:11" ht="25.5">
      <c r="A10" s="18"/>
      <c r="B10" s="18"/>
      <c r="C10" s="20" t="s">
        <v>290</v>
      </c>
      <c r="D10" s="21" t="s">
        <v>291</v>
      </c>
      <c r="E10" s="22" t="s">
        <v>292</v>
      </c>
      <c r="F10" s="23" t="s">
        <v>293</v>
      </c>
      <c r="G10" s="18"/>
    </row>
    <row r="11" spans="1:11">
      <c r="A11" s="18"/>
      <c r="B11" s="18"/>
      <c r="C11" s="24"/>
      <c r="D11" s="25"/>
      <c r="E11" s="25"/>
      <c r="F11" s="26"/>
      <c r="G11" s="25"/>
      <c r="K11" s="27"/>
    </row>
    <row r="12" spans="1:11">
      <c r="A12" s="18"/>
      <c r="B12" s="18"/>
      <c r="C12" s="28">
        <v>1</v>
      </c>
      <c r="D12" s="22" t="s">
        <v>294</v>
      </c>
      <c r="F12" s="29"/>
      <c r="G12" s="25"/>
      <c r="I12" s="19">
        <f>(30.76+25.92+22.48)</f>
        <v>79.160000000000011</v>
      </c>
      <c r="K12" s="27"/>
    </row>
    <row r="13" spans="1:11">
      <c r="A13" s="18"/>
      <c r="B13" s="18"/>
      <c r="C13" s="28"/>
      <c r="D13" s="25" t="s">
        <v>295</v>
      </c>
      <c r="F13" s="29">
        <f>(873547/100000)+(30.76+25.92+22.48)</f>
        <v>87.895470000000017</v>
      </c>
      <c r="G13" s="25"/>
      <c r="K13" s="27"/>
    </row>
    <row r="14" spans="1:11" ht="6.75" customHeight="1">
      <c r="A14" s="18"/>
      <c r="B14" s="18"/>
      <c r="C14" s="28"/>
      <c r="E14" s="30"/>
      <c r="F14" s="29"/>
      <c r="G14" s="25"/>
      <c r="K14" s="27"/>
    </row>
    <row r="15" spans="1:11">
      <c r="A15" s="18"/>
      <c r="B15" s="18"/>
      <c r="C15" s="28"/>
      <c r="D15" s="25" t="s">
        <v>296</v>
      </c>
      <c r="E15" s="30"/>
      <c r="F15" s="29">
        <f>639.44789-8.73547</f>
        <v>630.71242000000007</v>
      </c>
      <c r="G15" s="25"/>
      <c r="K15" s="27"/>
    </row>
    <row r="16" spans="1:11" ht="6.75" customHeight="1">
      <c r="A16" s="18"/>
      <c r="B16" s="18"/>
      <c r="C16" s="28"/>
      <c r="D16" s="25"/>
      <c r="E16" s="30"/>
      <c r="F16" s="29"/>
      <c r="G16" s="25"/>
      <c r="K16" s="27"/>
    </row>
    <row r="17" spans="1:11">
      <c r="A17" s="18"/>
      <c r="B17" s="18"/>
      <c r="C17" s="28" t="s">
        <v>297</v>
      </c>
      <c r="D17" s="25" t="s">
        <v>298</v>
      </c>
      <c r="E17" s="25"/>
      <c r="F17" s="29">
        <f>[14]ASSETS!I17</f>
        <v>212.57035999999999</v>
      </c>
      <c r="G17" s="25"/>
      <c r="K17" s="27"/>
    </row>
    <row r="18" spans="1:11" ht="6.75" customHeight="1">
      <c r="A18" s="18"/>
      <c r="B18" s="18"/>
      <c r="C18" s="28"/>
      <c r="D18" s="25"/>
      <c r="E18" s="25"/>
      <c r="F18" s="29"/>
      <c r="G18" s="25"/>
      <c r="K18" s="27"/>
    </row>
    <row r="19" spans="1:11">
      <c r="A19" s="18"/>
      <c r="B19" s="18"/>
      <c r="C19" s="28" t="s">
        <v>299</v>
      </c>
      <c r="D19" s="25" t="s">
        <v>300</v>
      </c>
      <c r="E19" s="25"/>
      <c r="F19" s="29">
        <f>[14]ASSETS!I40</f>
        <v>532.10454000000004</v>
      </c>
      <c r="G19" s="25"/>
      <c r="K19" s="27"/>
    </row>
    <row r="20" spans="1:11" ht="6.75" customHeight="1">
      <c r="A20" s="18"/>
      <c r="B20" s="18"/>
      <c r="C20" s="28"/>
      <c r="D20" s="25"/>
      <c r="E20" s="25"/>
      <c r="F20" s="29"/>
      <c r="G20" s="25"/>
      <c r="K20" s="27"/>
    </row>
    <row r="21" spans="1:11">
      <c r="A21" s="18"/>
      <c r="B21" s="18"/>
      <c r="C21" s="28" t="s">
        <v>301</v>
      </c>
      <c r="D21" s="25" t="s">
        <v>82</v>
      </c>
      <c r="E21" s="25"/>
      <c r="F21" s="29">
        <f>[14]ASSETS!I48</f>
        <v>202.49420000000001</v>
      </c>
      <c r="G21" s="25"/>
      <c r="K21" s="27"/>
    </row>
    <row r="22" spans="1:11" ht="6.75" customHeight="1">
      <c r="A22" s="18"/>
      <c r="B22" s="18"/>
      <c r="C22" s="28"/>
      <c r="D22" s="25"/>
      <c r="E22" s="25"/>
      <c r="F22" s="29"/>
      <c r="G22" s="25"/>
      <c r="K22" s="27"/>
    </row>
    <row r="23" spans="1:11">
      <c r="A23" s="18"/>
      <c r="B23" s="18"/>
      <c r="C23" s="28" t="s">
        <v>302</v>
      </c>
      <c r="D23" s="25" t="s">
        <v>303</v>
      </c>
      <c r="E23" s="25"/>
      <c r="F23" s="29">
        <f>(8785729/100000)+0.14</f>
        <v>87.997290000000007</v>
      </c>
      <c r="G23" s="25"/>
      <c r="K23" s="27"/>
    </row>
    <row r="24" spans="1:11" ht="6.75" customHeight="1">
      <c r="A24" s="18"/>
      <c r="B24" s="18"/>
      <c r="C24" s="28"/>
      <c r="D24" s="25"/>
      <c r="E24" s="25"/>
      <c r="F24" s="29"/>
      <c r="G24" s="25"/>
      <c r="K24" s="27"/>
    </row>
    <row r="25" spans="1:11">
      <c r="A25" s="18"/>
      <c r="B25" s="18"/>
      <c r="C25" s="28" t="s">
        <v>304</v>
      </c>
      <c r="D25" s="25" t="s">
        <v>305</v>
      </c>
      <c r="E25" s="25"/>
      <c r="F25" s="29">
        <f>(8785729/100000)</f>
        <v>87.857290000000006</v>
      </c>
      <c r="G25" s="25"/>
      <c r="K25" s="27"/>
    </row>
    <row r="26" spans="1:11" ht="6.75" customHeight="1">
      <c r="A26" s="18"/>
      <c r="B26" s="18"/>
      <c r="C26" s="28"/>
      <c r="D26" s="25"/>
      <c r="E26" s="25"/>
      <c r="F26" s="29"/>
      <c r="G26" s="25"/>
      <c r="K26" s="27"/>
    </row>
    <row r="27" spans="1:11" ht="13.5" thickBot="1">
      <c r="A27" s="18"/>
      <c r="B27" s="18"/>
      <c r="C27" s="28"/>
      <c r="D27" s="25"/>
      <c r="E27" s="25"/>
      <c r="F27" s="31">
        <f>SUM(F12:F26)</f>
        <v>1841.6315700000002</v>
      </c>
      <c r="G27" s="32"/>
      <c r="H27" s="33"/>
      <c r="I27" s="19">
        <f>79.16</f>
        <v>79.16</v>
      </c>
    </row>
    <row r="28" spans="1:11" ht="14.25" thickTop="1" thickBot="1">
      <c r="A28" s="18"/>
      <c r="B28" s="18"/>
      <c r="C28" s="34"/>
      <c r="D28" s="35"/>
      <c r="E28" s="35"/>
      <c r="F28" s="36"/>
      <c r="G28" s="25"/>
      <c r="I28" s="33">
        <f>F27-I27</f>
        <v>1762.4715700000002</v>
      </c>
    </row>
    <row r="29" spans="1:11" ht="21" customHeight="1">
      <c r="A29" s="18"/>
      <c r="B29" s="18"/>
      <c r="C29" s="1051" t="s">
        <v>306</v>
      </c>
      <c r="D29" s="1052"/>
      <c r="E29" s="1052"/>
      <c r="F29" s="1053"/>
      <c r="G29" s="18"/>
    </row>
    <row r="30" spans="1:11" ht="25.5">
      <c r="A30" s="18"/>
      <c r="B30" s="18"/>
      <c r="C30" s="20" t="s">
        <v>290</v>
      </c>
      <c r="D30" s="21" t="s">
        <v>291</v>
      </c>
      <c r="E30" s="21"/>
      <c r="F30" s="23" t="s">
        <v>293</v>
      </c>
      <c r="G30" s="18"/>
    </row>
    <row r="31" spans="1:11">
      <c r="A31" s="18"/>
      <c r="B31" s="18"/>
      <c r="C31" s="20"/>
      <c r="D31" s="21"/>
      <c r="E31" s="21"/>
      <c r="F31" s="23"/>
      <c r="G31" s="18"/>
    </row>
    <row r="32" spans="1:11">
      <c r="A32" s="18"/>
      <c r="B32" s="18"/>
      <c r="C32" s="28" t="s">
        <v>307</v>
      </c>
      <c r="D32" s="25" t="s">
        <v>308</v>
      </c>
      <c r="E32" s="25"/>
      <c r="F32" s="29">
        <f>+F36-F34</f>
        <v>641.63157000000024</v>
      </c>
      <c r="G32" s="18"/>
      <c r="I32" s="33"/>
    </row>
    <row r="33" spans="1:8">
      <c r="A33" s="18"/>
      <c r="B33" s="18"/>
      <c r="C33" s="37"/>
      <c r="D33" s="25" t="s">
        <v>309</v>
      </c>
      <c r="E33" s="25"/>
      <c r="F33" s="38"/>
      <c r="G33" s="25"/>
    </row>
    <row r="34" spans="1:8">
      <c r="A34" s="18"/>
      <c r="B34" s="18"/>
      <c r="C34" s="28">
        <v>2</v>
      </c>
      <c r="D34" s="25" t="s">
        <v>310</v>
      </c>
      <c r="E34" s="25"/>
      <c r="F34" s="29">
        <f>1200</f>
        <v>1200</v>
      </c>
      <c r="G34" s="25"/>
      <c r="H34" s="33"/>
    </row>
    <row r="35" spans="1:8">
      <c r="A35" s="18"/>
      <c r="B35" s="18"/>
      <c r="C35" s="28"/>
      <c r="D35" s="25"/>
      <c r="E35" s="25"/>
      <c r="F35" s="38"/>
      <c r="G35" s="25"/>
    </row>
    <row r="36" spans="1:8" ht="13.5" thickBot="1">
      <c r="A36" s="18"/>
      <c r="B36" s="18"/>
      <c r="C36" s="37"/>
      <c r="D36" s="25"/>
      <c r="E36" s="25"/>
      <c r="F36" s="39">
        <f>+F27</f>
        <v>1841.6315700000002</v>
      </c>
      <c r="G36" s="25"/>
    </row>
    <row r="37" spans="1:8" ht="14.25" thickTop="1" thickBot="1">
      <c r="A37" s="18"/>
      <c r="B37" s="18"/>
      <c r="C37" s="40"/>
      <c r="D37" s="35"/>
      <c r="E37" s="35"/>
      <c r="F37" s="36"/>
      <c r="G37" s="25"/>
    </row>
    <row r="38" spans="1:8">
      <c r="G38" s="41"/>
    </row>
    <row r="40" spans="1:8">
      <c r="C40" s="42"/>
    </row>
  </sheetData>
  <mergeCells count="5">
    <mergeCell ref="C5:F5"/>
    <mergeCell ref="C6:F6"/>
    <mergeCell ref="C7:F7"/>
    <mergeCell ref="C9:F9"/>
    <mergeCell ref="C29:F29"/>
  </mergeCells>
  <printOptions horizontalCentered="1"/>
  <pageMargins left="1" right="1" top="1.25" bottom="2.25" header="0.5" footer="0.5"/>
  <pageSetup paperSize="9" scale="61" orientation="portrait" verticalDpi="18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EFFE-A79D-4227-97DB-8DDDDD39E17C}">
  <sheetPr>
    <tabColor rgb="FF92D050"/>
  </sheetPr>
  <dimension ref="B2:L61"/>
  <sheetViews>
    <sheetView topLeftCell="A10" zoomScale="95" zoomScaleNormal="100" zoomScaleSheetLayoutView="100" zoomScalePageLayoutView="40" workbookViewId="0">
      <selection activeCell="L15" sqref="L15"/>
    </sheetView>
  </sheetViews>
  <sheetFormatPr defaultRowHeight="12.75"/>
  <cols>
    <col min="1" max="1" width="9.140625" style="67"/>
    <col min="2" max="2" width="47" style="67" customWidth="1"/>
    <col min="3" max="3" width="19.85546875" style="67" customWidth="1"/>
    <col min="4" max="4" width="14.5703125" style="67" bestFit="1" customWidth="1"/>
    <col min="5" max="5" width="16.28515625" style="67" bestFit="1" customWidth="1"/>
    <col min="6" max="6" width="12.85546875" style="67" bestFit="1" customWidth="1"/>
    <col min="7" max="7" width="16.28515625" style="67" customWidth="1"/>
    <col min="8" max="8" width="18.42578125" style="67" customWidth="1"/>
    <col min="9" max="9" width="12.5703125" style="67" bestFit="1" customWidth="1"/>
    <col min="10" max="10" width="22.140625" style="67" customWidth="1"/>
    <col min="11" max="11" width="9.42578125" style="67" bestFit="1" customWidth="1"/>
    <col min="12" max="16384" width="9.140625" style="67"/>
  </cols>
  <sheetData>
    <row r="2" spans="2:12">
      <c r="C2" s="673">
        <f>Pages!D26</f>
        <v>26</v>
      </c>
    </row>
    <row r="3" spans="2:12">
      <c r="C3" s="455"/>
    </row>
    <row r="4" spans="2:12">
      <c r="B4" s="1038" t="s">
        <v>311</v>
      </c>
      <c r="C4" s="1038"/>
      <c r="D4" s="1038"/>
      <c r="E4" s="1038"/>
    </row>
    <row r="5" spans="2:12">
      <c r="B5" s="1038" t="s">
        <v>312</v>
      </c>
      <c r="C5" s="1038"/>
      <c r="D5" s="1038"/>
      <c r="E5" s="1038"/>
    </row>
    <row r="9" spans="2:12" ht="13.5" thickBot="1">
      <c r="D9" s="62" t="s">
        <v>313</v>
      </c>
    </row>
    <row r="10" spans="2:12">
      <c r="B10" s="172" t="s">
        <v>314</v>
      </c>
      <c r="C10" s="966" t="s">
        <v>315</v>
      </c>
      <c r="D10" s="172" t="s">
        <v>316</v>
      </c>
      <c r="E10" s="971" t="s">
        <v>317</v>
      </c>
      <c r="G10" s="972" t="s">
        <v>318</v>
      </c>
      <c r="H10" s="973" t="s">
        <v>319</v>
      </c>
      <c r="I10" s="974">
        <v>108</v>
      </c>
      <c r="J10" s="975"/>
      <c r="K10" s="976"/>
      <c r="L10" s="977" t="s">
        <v>87</v>
      </c>
    </row>
    <row r="11" spans="2:12">
      <c r="B11" s="967"/>
      <c r="C11" s="968"/>
      <c r="D11" s="967"/>
      <c r="E11" s="141"/>
      <c r="G11" s="978"/>
      <c r="H11" s="979"/>
      <c r="I11" s="980"/>
      <c r="J11" s="981"/>
      <c r="K11" s="982"/>
      <c r="L11" s="983"/>
    </row>
    <row r="12" spans="2:12">
      <c r="B12" s="141" t="s">
        <v>320</v>
      </c>
      <c r="C12" s="969"/>
      <c r="D12" s="141">
        <f>C12</f>
        <v>0</v>
      </c>
      <c r="E12" s="70"/>
      <c r="G12" s="978"/>
      <c r="H12" s="979"/>
      <c r="I12" s="980"/>
      <c r="J12" s="981"/>
      <c r="K12" s="982"/>
      <c r="L12" s="983"/>
    </row>
    <row r="13" spans="2:12">
      <c r="B13" s="141"/>
      <c r="C13" s="969"/>
      <c r="D13" s="141"/>
      <c r="E13" s="141"/>
      <c r="G13" s="978"/>
      <c r="H13" s="979"/>
      <c r="I13" s="980"/>
      <c r="J13" s="981"/>
      <c r="K13" s="982"/>
      <c r="L13" s="983"/>
    </row>
    <row r="14" spans="2:12" ht="13.5" thickBot="1">
      <c r="B14" s="141" t="s">
        <v>321</v>
      </c>
      <c r="C14" s="969">
        <f>ASSETS!I9+ASSETS!I34+ASSETS!I86</f>
        <v>2878.9367657999996</v>
      </c>
      <c r="D14" s="141">
        <f>C14</f>
        <v>2878.9367657999996</v>
      </c>
      <c r="E14" s="970">
        <f>D14/$D$28</f>
        <v>0.67172840122694821</v>
      </c>
      <c r="G14" s="978" t="s">
        <v>322</v>
      </c>
      <c r="H14" s="979" t="s">
        <v>323</v>
      </c>
      <c r="I14" s="984">
        <f>2763.04*10.764</f>
        <v>29741.362559999998</v>
      </c>
      <c r="J14" s="981"/>
      <c r="K14" s="982"/>
      <c r="L14" s="985"/>
    </row>
    <row r="15" spans="2:12" ht="26.25" thickTop="1">
      <c r="B15" s="141"/>
      <c r="C15" s="969"/>
      <c r="D15" s="141"/>
      <c r="E15" s="970"/>
      <c r="G15" s="978" t="s">
        <v>324</v>
      </c>
      <c r="H15" s="979" t="s">
        <v>323</v>
      </c>
      <c r="I15" s="986">
        <f>14020.04*10.764</f>
        <v>150911.71056000001</v>
      </c>
      <c r="J15" s="981" t="s">
        <v>325</v>
      </c>
      <c r="K15" s="982" t="s">
        <v>326</v>
      </c>
      <c r="L15" s="983">
        <f>D14/I15*10^7</f>
        <v>190769.60662077859</v>
      </c>
    </row>
    <row r="16" spans="2:12">
      <c r="B16" s="141" t="s">
        <v>327</v>
      </c>
      <c r="C16" s="969">
        <f>ASSETS!I26</f>
        <v>375.3</v>
      </c>
      <c r="D16" s="141">
        <f>C16</f>
        <v>375.3</v>
      </c>
      <c r="E16" s="970">
        <f t="shared" ref="E16:E26" si="0">D16/$D$28</f>
        <v>8.7566935118291903E-2</v>
      </c>
      <c r="G16" s="978"/>
      <c r="H16" s="979"/>
      <c r="I16" s="980"/>
      <c r="J16" s="981" t="s">
        <v>328</v>
      </c>
      <c r="K16" s="982" t="s">
        <v>329</v>
      </c>
      <c r="L16" s="985">
        <f>D13/I10</f>
        <v>0</v>
      </c>
    </row>
    <row r="17" spans="2:12">
      <c r="B17" s="141"/>
      <c r="C17" s="969"/>
      <c r="D17" s="141"/>
      <c r="E17" s="970"/>
      <c r="G17" s="978"/>
      <c r="H17" s="979"/>
      <c r="I17" s="980"/>
      <c r="J17" s="981"/>
      <c r="K17" s="982"/>
      <c r="L17" s="985"/>
    </row>
    <row r="18" spans="2:12">
      <c r="B18" s="141" t="s">
        <v>330</v>
      </c>
      <c r="C18" s="969">
        <f>ASSETS!I82</f>
        <v>140.5</v>
      </c>
      <c r="D18" s="141">
        <f>C18</f>
        <v>140.5</v>
      </c>
      <c r="E18" s="970">
        <f t="shared" si="0"/>
        <v>3.2782185942232908E-2</v>
      </c>
      <c r="G18" s="978"/>
      <c r="H18" s="979"/>
      <c r="I18" s="980"/>
      <c r="J18" s="981"/>
      <c r="K18" s="982"/>
      <c r="L18" s="985"/>
    </row>
    <row r="19" spans="2:12" ht="25.5">
      <c r="B19" s="141"/>
      <c r="C19" s="969"/>
      <c r="D19" s="141"/>
      <c r="E19" s="970"/>
      <c r="G19" s="978" t="s">
        <v>331</v>
      </c>
      <c r="H19" s="979" t="s">
        <v>332</v>
      </c>
      <c r="I19" s="987">
        <f>[15]Manpower!F35</f>
        <v>0</v>
      </c>
      <c r="J19" s="981"/>
      <c r="K19" s="982"/>
      <c r="L19" s="985">
        <f>+I19/I10*100</f>
        <v>0</v>
      </c>
    </row>
    <row r="20" spans="2:12">
      <c r="B20" s="141" t="s">
        <v>333</v>
      </c>
      <c r="C20" s="969">
        <f>ASSETS!I62</f>
        <v>467.53924159999997</v>
      </c>
      <c r="D20" s="141">
        <f>C20</f>
        <v>467.53924159999997</v>
      </c>
      <c r="E20" s="970">
        <f t="shared" si="0"/>
        <v>0.10908867155460324</v>
      </c>
      <c r="G20" s="978"/>
      <c r="H20" s="979"/>
      <c r="I20" s="980"/>
      <c r="J20" s="981"/>
      <c r="K20" s="982"/>
      <c r="L20" s="983"/>
    </row>
    <row r="21" spans="2:12">
      <c r="B21" s="141"/>
      <c r="C21" s="969"/>
      <c r="D21" s="141"/>
      <c r="E21" s="970"/>
      <c r="G21" s="978"/>
      <c r="H21" s="979"/>
      <c r="I21" s="980"/>
      <c r="J21" s="981"/>
      <c r="K21" s="982"/>
      <c r="L21" s="983"/>
    </row>
    <row r="22" spans="2:12" ht="26.25" thickBot="1">
      <c r="B22" s="141" t="s">
        <v>334</v>
      </c>
      <c r="C22" s="969">
        <f>'PREOPERATIVE EXP'!D20/100000</f>
        <v>285.72000000000003</v>
      </c>
      <c r="D22" s="141">
        <f>C22</f>
        <v>285.72000000000003</v>
      </c>
      <c r="E22" s="970">
        <f t="shared" si="0"/>
        <v>6.6665666671991378E-2</v>
      </c>
      <c r="G22" s="988"/>
      <c r="H22" s="989"/>
      <c r="I22" s="990"/>
      <c r="J22" s="991" t="s">
        <v>335</v>
      </c>
      <c r="K22" s="992" t="s">
        <v>336</v>
      </c>
      <c r="L22" s="993">
        <f>(D28/100)/I10</f>
        <v>0.39683928589092593</v>
      </c>
    </row>
    <row r="23" spans="2:12">
      <c r="B23" s="141"/>
      <c r="C23" s="969"/>
      <c r="D23" s="141"/>
      <c r="E23" s="970"/>
    </row>
    <row r="24" spans="2:12">
      <c r="B24" s="141" t="s">
        <v>337</v>
      </c>
      <c r="C24" s="969">
        <f>' wORKING CAPITAL'!E28</f>
        <v>22</v>
      </c>
      <c r="D24" s="141">
        <f>C24</f>
        <v>22</v>
      </c>
      <c r="E24" s="970">
        <f t="shared" si="0"/>
        <v>5.1331536706699221E-3</v>
      </c>
      <c r="F24" s="69"/>
    </row>
    <row r="25" spans="2:12">
      <c r="B25" s="141"/>
      <c r="C25" s="969"/>
      <c r="D25" s="141"/>
      <c r="E25" s="970"/>
      <c r="F25" s="69"/>
    </row>
    <row r="26" spans="2:12">
      <c r="B26" s="141" t="s">
        <v>338</v>
      </c>
      <c r="C26" s="969">
        <f>(C14+C16+C18+C20)*3%</f>
        <v>115.868280222</v>
      </c>
      <c r="D26" s="141">
        <f>C26</f>
        <v>115.868280222</v>
      </c>
      <c r="E26" s="970">
        <f t="shared" si="0"/>
        <v>2.7034985815262289E-2</v>
      </c>
    </row>
    <row r="27" spans="2:12">
      <c r="B27" s="141"/>
      <c r="C27" s="969"/>
      <c r="D27" s="141"/>
      <c r="E27" s="141"/>
    </row>
    <row r="28" spans="2:12">
      <c r="B28" s="70" t="s">
        <v>339</v>
      </c>
      <c r="C28" s="965">
        <f>SUM(C11:C27)</f>
        <v>4285.8642876220001</v>
      </c>
      <c r="D28" s="70">
        <f>SUM(D11:D27)</f>
        <v>4285.8642876220001</v>
      </c>
      <c r="E28" s="970">
        <f>SUM(E14:E27)</f>
        <v>0.99999999999999989</v>
      </c>
    </row>
    <row r="29" spans="2:12">
      <c r="B29" s="6"/>
      <c r="C29" s="6"/>
      <c r="D29" s="6"/>
      <c r="E29" s="6"/>
    </row>
    <row r="30" spans="2:12">
      <c r="B30" s="6"/>
      <c r="C30" s="6"/>
      <c r="D30" s="6"/>
      <c r="E30" s="6"/>
    </row>
    <row r="31" spans="2:12">
      <c r="B31" s="71" t="s">
        <v>340</v>
      </c>
      <c r="C31" s="6"/>
      <c r="E31" s="6"/>
      <c r="G31" s="6"/>
    </row>
    <row r="32" spans="2:12">
      <c r="B32" s="6"/>
      <c r="C32" s="6"/>
      <c r="D32" s="6"/>
      <c r="E32" s="6"/>
    </row>
    <row r="33" spans="2:4">
      <c r="B33" s="57"/>
      <c r="C33" s="57"/>
      <c r="D33" s="57"/>
    </row>
    <row r="34" spans="2:4">
      <c r="B34" s="57" t="s">
        <v>341</v>
      </c>
      <c r="C34" s="57"/>
      <c r="D34" s="57">
        <f>D28-(SUM(D35:D39))</f>
        <v>3978.1442876219999</v>
      </c>
    </row>
    <row r="35" spans="2:4">
      <c r="B35" s="57"/>
      <c r="C35" s="57"/>
      <c r="D35" s="57"/>
    </row>
    <row r="36" spans="2:4">
      <c r="B36" s="57" t="s">
        <v>334</v>
      </c>
      <c r="C36" s="57"/>
      <c r="D36" s="57">
        <f>C22</f>
        <v>285.72000000000003</v>
      </c>
    </row>
    <row r="37" spans="2:4">
      <c r="B37" s="57"/>
      <c r="C37" s="57"/>
      <c r="D37" s="57"/>
    </row>
    <row r="38" spans="2:4">
      <c r="B38" s="57" t="s">
        <v>342</v>
      </c>
      <c r="C38" s="57"/>
      <c r="D38" s="57">
        <f>C24</f>
        <v>22</v>
      </c>
    </row>
    <row r="39" spans="2:4">
      <c r="B39" s="57"/>
      <c r="C39" s="57"/>
      <c r="D39" s="57"/>
    </row>
    <row r="40" spans="2:4" ht="13.5" thickBot="1">
      <c r="B40" s="66"/>
      <c r="C40" s="66"/>
      <c r="D40" s="66">
        <f>SUM(D33:D39)</f>
        <v>4285.8642876220001</v>
      </c>
    </row>
    <row r="41" spans="2:4" ht="13.5" thickTop="1">
      <c r="B41" s="57"/>
      <c r="C41" s="57"/>
      <c r="D41" s="57"/>
    </row>
    <row r="42" spans="2:4">
      <c r="B42" s="57"/>
      <c r="C42" s="57"/>
      <c r="D42" s="57"/>
    </row>
    <row r="43" spans="2:4">
      <c r="B43" s="72" t="s">
        <v>343</v>
      </c>
      <c r="C43" s="57"/>
      <c r="D43" s="57"/>
    </row>
    <row r="44" spans="2:4">
      <c r="B44" s="57"/>
      <c r="C44" s="57"/>
      <c r="D44" s="57"/>
    </row>
    <row r="45" spans="2:4">
      <c r="B45" s="57"/>
      <c r="C45" s="57"/>
      <c r="D45" s="57"/>
    </row>
    <row r="46" spans="2:4">
      <c r="B46" s="57" t="s">
        <v>344</v>
      </c>
      <c r="C46" s="57"/>
      <c r="D46" s="57">
        <f>D40-SUM(D49:D51)-D48</f>
        <v>1185.8642876220001</v>
      </c>
    </row>
    <row r="47" spans="2:4">
      <c r="B47" s="57"/>
      <c r="C47" s="57"/>
      <c r="D47" s="57"/>
    </row>
    <row r="48" spans="2:4">
      <c r="B48" s="57" t="s">
        <v>345</v>
      </c>
      <c r="C48" s="57"/>
      <c r="D48" s="57">
        <v>400</v>
      </c>
    </row>
    <row r="49" spans="2:4">
      <c r="B49" s="57"/>
      <c r="C49" s="57"/>
      <c r="D49" s="57"/>
    </row>
    <row r="50" spans="2:4">
      <c r="B50" s="57" t="s">
        <v>346</v>
      </c>
      <c r="C50" s="57"/>
      <c r="D50" s="57">
        <f>2700</f>
        <v>2700</v>
      </c>
    </row>
    <row r="51" spans="2:4">
      <c r="B51" s="57"/>
      <c r="C51" s="57"/>
      <c r="D51" s="57"/>
    </row>
    <row r="52" spans="2:4" ht="13.5" thickBot="1">
      <c r="B52" s="66" t="s">
        <v>347</v>
      </c>
      <c r="C52" s="66"/>
      <c r="D52" s="66">
        <f>SUM(D44:D51)</f>
        <v>4285.8642876220001</v>
      </c>
    </row>
    <row r="53" spans="2:4" ht="13.5" thickTop="1">
      <c r="B53" s="57"/>
      <c r="C53" s="57"/>
      <c r="D53" s="57"/>
    </row>
    <row r="54" spans="2:4">
      <c r="B54" s="57" t="s">
        <v>348</v>
      </c>
      <c r="C54" s="57"/>
      <c r="D54" s="57">
        <f>' wORKING CAPITAL'!E27</f>
        <v>0</v>
      </c>
    </row>
    <row r="55" spans="2:4">
      <c r="B55" s="57"/>
      <c r="C55" s="57"/>
      <c r="D55" s="57"/>
    </row>
    <row r="56" spans="2:4">
      <c r="B56" s="57"/>
      <c r="C56" s="57"/>
      <c r="D56" s="57"/>
    </row>
    <row r="57" spans="2:4">
      <c r="B57" s="57"/>
      <c r="C57" s="57"/>
      <c r="D57" s="57"/>
    </row>
    <row r="58" spans="2:4">
      <c r="B58" s="57"/>
      <c r="C58" s="57"/>
      <c r="D58" s="57"/>
    </row>
    <row r="59" spans="2:4">
      <c r="B59" s="57" t="s">
        <v>349</v>
      </c>
      <c r="C59" s="57"/>
      <c r="D59" s="57">
        <f>D40-D52</f>
        <v>0</v>
      </c>
    </row>
    <row r="60" spans="2:4">
      <c r="B60" s="57"/>
      <c r="C60" s="57"/>
      <c r="D60" s="57"/>
    </row>
    <row r="61" spans="2:4">
      <c r="B61" s="57"/>
      <c r="C61" s="57"/>
      <c r="D61" s="57"/>
    </row>
  </sheetData>
  <mergeCells count="2">
    <mergeCell ref="B5:E5"/>
    <mergeCell ref="B4:E4"/>
  </mergeCells>
  <phoneticPr fontId="2" type="noConversion"/>
  <pageMargins left="0.7" right="0.7" top="0.75" bottom="0.75" header="0.3" footer="0.3"/>
  <pageSetup paperSize="9" scale="88" orientation="portrait" r:id="rId1"/>
  <headerFooter alignWithMargins="0">
    <oddHeader>&amp;ROM ARHAM VENTURES AT PALASBARI.</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5F576-9663-4ABF-8222-28EED68CB98B}">
  <dimension ref="B2:O39"/>
  <sheetViews>
    <sheetView view="pageBreakPreview" topLeftCell="A14" zoomScale="90" zoomScaleNormal="100" zoomScaleSheetLayoutView="90" zoomScalePageLayoutView="40" workbookViewId="0">
      <selection activeCell="E12" sqref="E12 E15 E19 D22:E22"/>
    </sheetView>
  </sheetViews>
  <sheetFormatPr defaultRowHeight="12.75"/>
  <cols>
    <col min="1" max="1" width="1.140625" style="51" customWidth="1"/>
    <col min="2" max="2" width="30" style="51" customWidth="1"/>
    <col min="3" max="3" width="4.85546875" style="51" customWidth="1"/>
    <col min="4" max="4" width="11.42578125" style="51" customWidth="1"/>
    <col min="5" max="7" width="7" style="51" customWidth="1"/>
    <col min="8" max="8" width="6.42578125" style="51" customWidth="1"/>
    <col min="9" max="10" width="7.140625" style="51" bestFit="1" customWidth="1"/>
    <col min="11" max="11" width="7" style="51" customWidth="1"/>
    <col min="12" max="12" width="7" style="51" hidden="1" customWidth="1"/>
    <col min="13" max="14" width="8" style="51" hidden="1" customWidth="1"/>
    <col min="15" max="16384" width="9.140625" style="51"/>
  </cols>
  <sheetData>
    <row r="2" spans="2:14">
      <c r="F2" s="675">
        <f>Pages!D27</f>
        <v>27</v>
      </c>
    </row>
    <row r="4" spans="2:14">
      <c r="D4" s="73" t="s">
        <v>350</v>
      </c>
    </row>
    <row r="6" spans="2:14">
      <c r="C6" s="1021" t="s">
        <v>351</v>
      </c>
      <c r="D6" s="1021"/>
      <c r="E6" s="1021"/>
      <c r="F6" s="1021"/>
      <c r="G6" s="1021"/>
      <c r="H6" s="1021"/>
      <c r="I6" s="1021"/>
    </row>
    <row r="7" spans="2:14">
      <c r="C7" s="999"/>
      <c r="D7" s="999"/>
      <c r="E7" s="999"/>
      <c r="F7" s="999"/>
      <c r="G7" s="999"/>
      <c r="H7" s="999"/>
      <c r="I7" s="999"/>
      <c r="J7" s="50"/>
    </row>
    <row r="8" spans="2:14">
      <c r="C8" s="999"/>
      <c r="D8" s="999"/>
      <c r="E8" s="999"/>
      <c r="F8" s="999"/>
      <c r="G8" s="999"/>
      <c r="H8" s="999"/>
      <c r="I8" s="999"/>
      <c r="J8" s="50"/>
      <c r="K8" s="52" t="s">
        <v>352</v>
      </c>
      <c r="L8" s="52" t="s">
        <v>352</v>
      </c>
    </row>
    <row r="9" spans="2:14" ht="18" customHeight="1">
      <c r="B9" s="132" t="s">
        <v>291</v>
      </c>
      <c r="C9" s="132"/>
      <c r="D9" s="132" t="s">
        <v>353</v>
      </c>
      <c r="E9" s="132">
        <v>1</v>
      </c>
      <c r="F9" s="132">
        <v>2</v>
      </c>
      <c r="G9" s="132">
        <v>3</v>
      </c>
      <c r="H9" s="132">
        <v>4</v>
      </c>
      <c r="I9" s="132">
        <v>5</v>
      </c>
      <c r="J9" s="132">
        <v>6</v>
      </c>
      <c r="K9" s="132">
        <v>7</v>
      </c>
      <c r="L9" s="132">
        <v>8</v>
      </c>
      <c r="M9" s="132">
        <v>9</v>
      </c>
      <c r="N9" s="132">
        <v>10</v>
      </c>
    </row>
    <row r="10" spans="2:14" ht="18" customHeight="1">
      <c r="B10" s="132"/>
      <c r="C10" s="132"/>
      <c r="D10" s="132"/>
      <c r="E10" s="132"/>
      <c r="F10" s="132"/>
      <c r="G10" s="132"/>
      <c r="H10" s="132"/>
      <c r="I10" s="132"/>
      <c r="J10" s="132"/>
      <c r="K10" s="132"/>
      <c r="L10" s="132"/>
      <c r="M10" s="132"/>
      <c r="N10" s="132"/>
    </row>
    <row r="11" spans="2:14" ht="18" customHeight="1">
      <c r="B11" s="132" t="s">
        <v>354</v>
      </c>
      <c r="C11" s="132"/>
      <c r="D11" s="132"/>
      <c r="E11" s="70"/>
      <c r="F11" s="70"/>
      <c r="G11" s="70"/>
      <c r="H11" s="70"/>
      <c r="I11" s="70"/>
      <c r="J11" s="70"/>
      <c r="K11" s="70"/>
      <c r="L11" s="70"/>
      <c r="M11" s="70"/>
      <c r="N11" s="70"/>
    </row>
    <row r="12" spans="2:14" ht="18" customHeight="1">
      <c r="B12" s="132" t="s">
        <v>355</v>
      </c>
      <c r="C12" s="132"/>
      <c r="D12" s="998">
        <v>0.15</v>
      </c>
      <c r="E12" s="70">
        <f>ROUND('P  L '!D29/12*$D$12,0)</f>
        <v>25</v>
      </c>
      <c r="F12" s="70">
        <f>'P  L '!E29/12*$D$12*1.1</f>
        <v>27.665483365384617</v>
      </c>
      <c r="G12" s="70">
        <f>'P  L '!F29/12*$D$12*1.1</f>
        <v>31.123668786057703</v>
      </c>
      <c r="H12" s="70">
        <f>'P  L '!G29/12*$D$12*1.1</f>
        <v>34.581854206730767</v>
      </c>
      <c r="I12" s="70">
        <f>'P  L '!H29/12*$D$12*1.2</f>
        <v>41.498225048076911</v>
      </c>
      <c r="J12" s="70">
        <f>'P  L '!I29/12*$D$12*1.4</f>
        <v>52.815922788461542</v>
      </c>
      <c r="K12" s="70">
        <f>'P  L '!J29/12*$D$12*1.6</f>
        <v>65.391142500000015</v>
      </c>
      <c r="L12" s="70">
        <f>'P  L '!K29/12*$D$12*1.8</f>
        <v>79.223884182692331</v>
      </c>
      <c r="M12" s="70">
        <f>'P  L '!L29/12*$D$12*2</f>
        <v>75.451318269230768</v>
      </c>
      <c r="N12" s="70">
        <f>'P  L '!M29/12*$D$12*2.02</f>
        <v>76.205831451923075</v>
      </c>
    </row>
    <row r="13" spans="2:14" ht="18" customHeight="1">
      <c r="B13" s="132"/>
      <c r="C13" s="132"/>
      <c r="D13" s="998"/>
      <c r="E13" s="70"/>
      <c r="F13" s="70"/>
      <c r="G13" s="70"/>
      <c r="H13" s="70"/>
      <c r="I13" s="70"/>
      <c r="J13" s="70"/>
      <c r="K13" s="70"/>
      <c r="L13" s="70"/>
      <c r="M13" s="70"/>
      <c r="N13" s="70"/>
    </row>
    <row r="14" spans="2:14" ht="18" customHeight="1">
      <c r="B14" s="133" t="s">
        <v>176</v>
      </c>
      <c r="C14" s="132"/>
      <c r="D14" s="998"/>
      <c r="E14" s="70"/>
      <c r="F14" s="70"/>
      <c r="G14" s="70"/>
      <c r="H14" s="70"/>
      <c r="I14" s="70"/>
      <c r="J14" s="70"/>
      <c r="K14" s="70"/>
      <c r="L14" s="70"/>
      <c r="M14" s="70"/>
      <c r="N14" s="70"/>
    </row>
    <row r="15" spans="2:14" ht="18" customHeight="1">
      <c r="B15" s="132" t="s">
        <v>356</v>
      </c>
      <c r="C15" s="132"/>
      <c r="D15" s="998">
        <v>1</v>
      </c>
      <c r="E15" s="70">
        <f>ROUND('P  L '!D33/12*$D$15,0)</f>
        <v>12</v>
      </c>
      <c r="F15" s="70">
        <f>'P  L '!E33/12*$D$15+0.17</f>
        <v>11.961142500000001</v>
      </c>
      <c r="G15" s="70">
        <f>'P  L '!F33/12*$D$15</f>
        <v>13.265035312500002</v>
      </c>
      <c r="H15" s="70">
        <f>'P  L '!G33/12*$D$15</f>
        <v>14.738928125000001</v>
      </c>
      <c r="I15" s="70">
        <f>'P  L '!H33/12*$D$15*1.2</f>
        <v>19.455385125000003</v>
      </c>
      <c r="J15" s="70">
        <f>'P  L '!I33/12*$D$15*1.4</f>
        <v>24.761399250000004</v>
      </c>
      <c r="K15" s="70">
        <f>'P  L '!J33/12*$D$15*1.6</f>
        <v>30.656970500000007</v>
      </c>
      <c r="L15" s="70">
        <f>'P  L '!K33/12*$D$15*1.8</f>
        <v>37.142098875000009</v>
      </c>
      <c r="M15" s="70">
        <f>'P  L '!L33/12*$D$15*2</f>
        <v>35.373427499999998</v>
      </c>
      <c r="N15" s="70">
        <f>'P  L '!M33/12*$D$15*2.02</f>
        <v>35.727161774999999</v>
      </c>
    </row>
    <row r="16" spans="2:14" ht="18" customHeight="1">
      <c r="B16" s="132" t="s">
        <v>357</v>
      </c>
      <c r="C16" s="132"/>
      <c r="D16" s="998"/>
      <c r="E16" s="70"/>
      <c r="F16" s="70"/>
      <c r="G16" s="70"/>
      <c r="H16" s="70"/>
      <c r="I16" s="70"/>
      <c r="J16" s="70"/>
      <c r="K16" s="70"/>
      <c r="L16" s="70"/>
      <c r="M16" s="70"/>
      <c r="N16" s="70"/>
    </row>
    <row r="17" spans="2:15" ht="18" customHeight="1">
      <c r="B17" s="132" t="s">
        <v>358</v>
      </c>
      <c r="C17" s="132"/>
      <c r="D17" s="998"/>
      <c r="E17" s="70"/>
      <c r="F17" s="70"/>
      <c r="G17" s="70"/>
      <c r="H17" s="70"/>
      <c r="I17" s="70"/>
      <c r="J17" s="70"/>
      <c r="K17" s="70"/>
      <c r="L17" s="70"/>
      <c r="M17" s="70"/>
      <c r="N17" s="70"/>
    </row>
    <row r="18" spans="2:15" ht="18" customHeight="1">
      <c r="B18" s="132"/>
      <c r="C18" s="132"/>
      <c r="D18" s="998"/>
      <c r="E18" s="70"/>
      <c r="F18" s="70"/>
      <c r="G18" s="70"/>
      <c r="H18" s="70"/>
      <c r="I18" s="70"/>
      <c r="J18" s="70"/>
      <c r="K18" s="70"/>
      <c r="L18" s="70"/>
      <c r="M18" s="70"/>
      <c r="N18" s="70"/>
    </row>
    <row r="19" spans="2:15" ht="18" customHeight="1">
      <c r="B19" s="132" t="s">
        <v>359</v>
      </c>
      <c r="C19" s="132"/>
      <c r="D19" s="998"/>
      <c r="E19" s="70">
        <f>E12+E15</f>
        <v>37</v>
      </c>
      <c r="F19" s="70">
        <f t="shared" ref="F19:K19" si="0">F12+F15</f>
        <v>39.626625865384618</v>
      </c>
      <c r="G19" s="70">
        <f t="shared" si="0"/>
        <v>44.388704098557703</v>
      </c>
      <c r="H19" s="70">
        <f t="shared" si="0"/>
        <v>49.320782331730769</v>
      </c>
      <c r="I19" s="70">
        <f t="shared" si="0"/>
        <v>60.95361017307691</v>
      </c>
      <c r="J19" s="70">
        <f t="shared" si="0"/>
        <v>77.577322038461546</v>
      </c>
      <c r="K19" s="70">
        <f t="shared" si="0"/>
        <v>96.048113000000029</v>
      </c>
      <c r="L19" s="70">
        <f>L12+L15</f>
        <v>116.36598305769235</v>
      </c>
      <c r="M19" s="70">
        <f>M12+M15</f>
        <v>110.82474576923076</v>
      </c>
      <c r="N19" s="70">
        <f>N12+N15</f>
        <v>111.93299322692307</v>
      </c>
    </row>
    <row r="20" spans="2:15" ht="18" customHeight="1">
      <c r="B20" s="132"/>
      <c r="C20" s="132"/>
      <c r="D20" s="998"/>
      <c r="E20" s="70"/>
      <c r="F20" s="70"/>
      <c r="G20" s="70"/>
      <c r="H20" s="70"/>
      <c r="I20" s="70"/>
      <c r="J20" s="70"/>
      <c r="K20" s="70"/>
      <c r="L20" s="70"/>
      <c r="M20" s="70"/>
      <c r="N20" s="70"/>
    </row>
    <row r="21" spans="2:15" ht="18" customHeight="1">
      <c r="B21" s="132" t="s">
        <v>360</v>
      </c>
      <c r="C21" s="132"/>
      <c r="D21" s="998"/>
      <c r="E21" s="70"/>
      <c r="F21" s="70"/>
      <c r="G21" s="70"/>
      <c r="H21" s="70"/>
      <c r="I21" s="70"/>
      <c r="J21" s="70"/>
      <c r="K21" s="70"/>
      <c r="L21" s="70"/>
      <c r="M21" s="70"/>
      <c r="N21" s="70"/>
    </row>
    <row r="22" spans="2:15" ht="18" customHeight="1">
      <c r="B22" s="132" t="s">
        <v>361</v>
      </c>
      <c r="C22" s="132"/>
      <c r="D22" s="998">
        <v>0.25</v>
      </c>
      <c r="E22" s="70">
        <f>ROUND((SUM('P  L '!D33:D43)-'P  L '!D38-'P  L '!D49)/12*$D$22,0)+1</f>
        <v>15</v>
      </c>
      <c r="F22" s="70">
        <f>(SUM('P  L '!E33:E43)-'P  L '!E38-'P  L '!E49)/12*$D$22+1+0.34</f>
        <v>15.565956873240863</v>
      </c>
      <c r="G22" s="70">
        <f>(SUM('P  L '!F33:F43)-'P  L '!F38-'P  L '!F49)/12*$D$22+1</f>
        <v>18.159076296849619</v>
      </c>
      <c r="H22" s="70">
        <f>(SUM('P  L '!G33:G43)-'P  L '!G38-'P  L '!G49)/12*$D$22+1</f>
        <v>20.364244021631801</v>
      </c>
      <c r="I22" s="70">
        <f>(SUM('P  L '!H33:H43)-'P  L '!H38-'P  L '!H49)/12*$D$22*0.95+1</f>
        <v>21.47112336015887</v>
      </c>
      <c r="J22" s="70">
        <f>(SUM('P  L '!I33:I43)-'P  L '!I38-'P  L '!I49)/12*$D$22*0.925+1</f>
        <v>22.93928480274117</v>
      </c>
      <c r="K22" s="70">
        <f>(SUM('P  L '!J33:J43)-'P  L '!J38-'P  L '!J49)/12*$D$22*0.9+1+0.25</f>
        <v>24.394540308567713</v>
      </c>
      <c r="L22" s="70">
        <f>(SUM('P  L '!K33:K43)-'P  L '!K38-'P  L '!K49)/12*$D$22*0.9+1</f>
        <v>26.065211100725001</v>
      </c>
      <c r="M22" s="70" t="e">
        <f>(SUM('P  L '!L33:L43)-'P  L '!L38-'P  L '!L49)/12*$D$22*0.9+1</f>
        <v>#VALUE!</v>
      </c>
      <c r="N22" s="70" t="e">
        <f>(SUM('P  L '!M33:M43)-'P  L '!M38-'P  L '!M49)/12*$D$22*0.9+1.02</f>
        <v>#VALUE!</v>
      </c>
    </row>
    <row r="23" spans="2:15" ht="18" customHeight="1">
      <c r="B23" s="132"/>
      <c r="C23" s="132"/>
      <c r="D23" s="998"/>
      <c r="E23" s="70"/>
      <c r="F23" s="70"/>
      <c r="G23" s="70"/>
      <c r="H23" s="70"/>
      <c r="I23" s="70"/>
      <c r="J23" s="70"/>
      <c r="K23" s="70"/>
      <c r="L23" s="70"/>
      <c r="M23" s="70"/>
      <c r="N23" s="70"/>
    </row>
    <row r="24" spans="2:15" ht="18" customHeight="1">
      <c r="B24" s="133" t="s">
        <v>362</v>
      </c>
      <c r="C24" s="132"/>
      <c r="D24" s="998"/>
      <c r="E24" s="70"/>
      <c r="F24" s="70"/>
      <c r="G24" s="70"/>
      <c r="H24" s="70"/>
      <c r="I24" s="70"/>
      <c r="J24" s="70"/>
      <c r="K24" s="70"/>
      <c r="L24" s="70"/>
      <c r="M24" s="70"/>
      <c r="N24" s="70"/>
    </row>
    <row r="25" spans="2:15" ht="18" customHeight="1">
      <c r="B25" s="132" t="s">
        <v>363</v>
      </c>
      <c r="C25" s="132"/>
      <c r="D25" s="998"/>
      <c r="E25" s="70">
        <f>E19-E22</f>
        <v>22</v>
      </c>
      <c r="F25" s="70">
        <f t="shared" ref="F25:K25" si="1">F19-F22</f>
        <v>24.060668992143754</v>
      </c>
      <c r="G25" s="70">
        <f t="shared" si="1"/>
        <v>26.229627801708084</v>
      </c>
      <c r="H25" s="70">
        <f t="shared" si="1"/>
        <v>28.956538310098967</v>
      </c>
      <c r="I25" s="70">
        <f t="shared" si="1"/>
        <v>39.48248681291804</v>
      </c>
      <c r="J25" s="70">
        <f t="shared" si="1"/>
        <v>54.638037235720375</v>
      </c>
      <c r="K25" s="70">
        <f t="shared" si="1"/>
        <v>71.653572691432316</v>
      </c>
      <c r="L25" s="70">
        <f>L19-L22</f>
        <v>90.300771956967338</v>
      </c>
      <c r="M25" s="70" t="e">
        <f>M19-M22</f>
        <v>#VALUE!</v>
      </c>
      <c r="N25" s="70" t="e">
        <f>N19-N22</f>
        <v>#VALUE!</v>
      </c>
    </row>
    <row r="26" spans="2:15" ht="18" customHeight="1">
      <c r="B26" s="132" t="s">
        <v>364</v>
      </c>
      <c r="C26" s="132"/>
      <c r="D26" s="998"/>
      <c r="E26" s="70">
        <f>E25</f>
        <v>22</v>
      </c>
      <c r="F26" s="70">
        <f>F25-E25</f>
        <v>2.0606689921437535</v>
      </c>
      <c r="G26" s="70">
        <f t="shared" ref="G26:N26" si="2">G25-F25</f>
        <v>2.1689588095643302</v>
      </c>
      <c r="H26" s="70">
        <f t="shared" si="2"/>
        <v>2.7269105083908833</v>
      </c>
      <c r="I26" s="70">
        <f t="shared" si="2"/>
        <v>10.525948502819073</v>
      </c>
      <c r="J26" s="70">
        <f t="shared" si="2"/>
        <v>15.155550422802335</v>
      </c>
      <c r="K26" s="70">
        <f t="shared" si="2"/>
        <v>17.015535455711941</v>
      </c>
      <c r="L26" s="70">
        <f t="shared" si="2"/>
        <v>18.647199265535022</v>
      </c>
      <c r="M26" s="70" t="e">
        <f t="shared" si="2"/>
        <v>#VALUE!</v>
      </c>
      <c r="N26" s="70" t="e">
        <f t="shared" si="2"/>
        <v>#VALUE!</v>
      </c>
      <c r="O26" s="429"/>
    </row>
    <row r="27" spans="2:15" ht="18" hidden="1" customHeight="1">
      <c r="B27" s="132" t="s">
        <v>365</v>
      </c>
      <c r="C27" s="132"/>
      <c r="D27" s="134">
        <v>0.75</v>
      </c>
      <c r="E27" s="70">
        <f>ROUND(E25*$D$27,0)*0</f>
        <v>0</v>
      </c>
      <c r="F27" s="70">
        <f>E27</f>
        <v>0</v>
      </c>
      <c r="G27" s="70">
        <f t="shared" ref="G27:N27" si="3">F27</f>
        <v>0</v>
      </c>
      <c r="H27" s="70">
        <f t="shared" si="3"/>
        <v>0</v>
      </c>
      <c r="I27" s="70">
        <f t="shared" si="3"/>
        <v>0</v>
      </c>
      <c r="J27" s="70">
        <f t="shared" si="3"/>
        <v>0</v>
      </c>
      <c r="K27" s="70">
        <f t="shared" si="3"/>
        <v>0</v>
      </c>
      <c r="L27" s="70">
        <f t="shared" si="3"/>
        <v>0</v>
      </c>
      <c r="M27" s="70">
        <f t="shared" si="3"/>
        <v>0</v>
      </c>
      <c r="N27" s="70">
        <f t="shared" si="3"/>
        <v>0</v>
      </c>
    </row>
    <row r="28" spans="2:15" ht="18" customHeight="1">
      <c r="B28" s="132" t="s">
        <v>366</v>
      </c>
      <c r="C28" s="132"/>
      <c r="D28" s="998"/>
      <c r="E28" s="70">
        <f>E25-E27</f>
        <v>22</v>
      </c>
      <c r="F28" s="70">
        <f t="shared" ref="F28:K28" si="4">F25-F27</f>
        <v>24.060668992143754</v>
      </c>
      <c r="G28" s="70">
        <f t="shared" si="4"/>
        <v>26.229627801708084</v>
      </c>
      <c r="H28" s="70">
        <f t="shared" si="4"/>
        <v>28.956538310098967</v>
      </c>
      <c r="I28" s="70">
        <f t="shared" si="4"/>
        <v>39.48248681291804</v>
      </c>
      <c r="J28" s="70">
        <f t="shared" si="4"/>
        <v>54.638037235720375</v>
      </c>
      <c r="K28" s="70">
        <f t="shared" si="4"/>
        <v>71.653572691432316</v>
      </c>
      <c r="L28" s="70">
        <f>L25-L27</f>
        <v>90.300771956967338</v>
      </c>
      <c r="M28" s="70" t="e">
        <f>M25-M27</f>
        <v>#VALUE!</v>
      </c>
      <c r="N28" s="70" t="e">
        <f>N25-N27</f>
        <v>#VALUE!</v>
      </c>
    </row>
    <row r="29" spans="2:15" ht="18" hidden="1" customHeight="1">
      <c r="B29" s="132" t="s">
        <v>367</v>
      </c>
      <c r="C29" s="132"/>
      <c r="D29" s="998"/>
      <c r="E29" s="70">
        <f>E27*14.5%*0.9</f>
        <v>0</v>
      </c>
      <c r="F29" s="70">
        <f t="shared" ref="F29:L29" si="5">F27*14.5%*0.9</f>
        <v>0</v>
      </c>
      <c r="G29" s="70">
        <f t="shared" si="5"/>
        <v>0</v>
      </c>
      <c r="H29" s="70">
        <f t="shared" si="5"/>
        <v>0</v>
      </c>
      <c r="I29" s="70">
        <f t="shared" si="5"/>
        <v>0</v>
      </c>
      <c r="J29" s="70">
        <f t="shared" si="5"/>
        <v>0</v>
      </c>
      <c r="K29" s="70">
        <f t="shared" si="5"/>
        <v>0</v>
      </c>
      <c r="L29" s="70">
        <f t="shared" si="5"/>
        <v>0</v>
      </c>
      <c r="M29" s="70">
        <f>M27*14.5%*0.9</f>
        <v>0</v>
      </c>
      <c r="N29" s="70">
        <f>N27*14.5%*0.9</f>
        <v>0</v>
      </c>
    </row>
    <row r="30" spans="2:15" ht="18" customHeight="1">
      <c r="B30" s="132" t="s">
        <v>368</v>
      </c>
      <c r="C30" s="132"/>
      <c r="D30" s="998"/>
      <c r="E30" s="70">
        <f>E15</f>
        <v>12</v>
      </c>
      <c r="F30" s="70">
        <f>F15-E15</f>
        <v>-3.8857499999998879E-2</v>
      </c>
      <c r="G30" s="70">
        <f t="shared" ref="G30:N30" si="6">G15-F15</f>
        <v>1.3038928125000009</v>
      </c>
      <c r="H30" s="70">
        <f t="shared" si="6"/>
        <v>1.473892812499999</v>
      </c>
      <c r="I30" s="70">
        <f t="shared" si="6"/>
        <v>4.7164570000000019</v>
      </c>
      <c r="J30" s="70">
        <f t="shared" si="6"/>
        <v>5.3060141250000008</v>
      </c>
      <c r="K30" s="70">
        <f t="shared" si="6"/>
        <v>5.8955712500000033</v>
      </c>
      <c r="L30" s="70">
        <f t="shared" si="6"/>
        <v>6.4851283750000022</v>
      </c>
      <c r="M30" s="70">
        <f t="shared" si="6"/>
        <v>-1.7686713750000109</v>
      </c>
      <c r="N30" s="70">
        <f t="shared" si="6"/>
        <v>0.35373427500000076</v>
      </c>
    </row>
    <row r="31" spans="2:15" ht="18" customHeight="1">
      <c r="B31" s="132" t="s">
        <v>369</v>
      </c>
      <c r="C31" s="132"/>
      <c r="D31" s="998"/>
      <c r="E31" s="70">
        <f>E12</f>
        <v>25</v>
      </c>
      <c r="F31" s="70">
        <f t="shared" ref="F31:N31" si="7">F12-E12</f>
        <v>2.6654833653846168</v>
      </c>
      <c r="G31" s="70">
        <f t="shared" si="7"/>
        <v>3.458185420673086</v>
      </c>
      <c r="H31" s="70">
        <f t="shared" si="7"/>
        <v>3.4581854206730647</v>
      </c>
      <c r="I31" s="70">
        <f t="shared" si="7"/>
        <v>6.9163708413461435</v>
      </c>
      <c r="J31" s="70">
        <f t="shared" si="7"/>
        <v>11.317697740384631</v>
      </c>
      <c r="K31" s="70">
        <f t="shared" si="7"/>
        <v>12.575219711538473</v>
      </c>
      <c r="L31" s="70">
        <f t="shared" si="7"/>
        <v>13.832741682692316</v>
      </c>
      <c r="M31" s="70">
        <f t="shared" si="7"/>
        <v>-3.7725659134615626</v>
      </c>
      <c r="N31" s="70">
        <f t="shared" si="7"/>
        <v>0.75451318269230683</v>
      </c>
    </row>
    <row r="32" spans="2:15" ht="18" customHeight="1">
      <c r="B32" s="132" t="s">
        <v>370</v>
      </c>
      <c r="C32" s="132"/>
      <c r="D32" s="132"/>
      <c r="E32" s="70">
        <f>E22</f>
        <v>15</v>
      </c>
      <c r="F32" s="70">
        <f t="shared" ref="F32:N32" si="8">F22-E22</f>
        <v>0.56595687324086263</v>
      </c>
      <c r="G32" s="70">
        <f t="shared" si="8"/>
        <v>2.5931194236087567</v>
      </c>
      <c r="H32" s="70">
        <f t="shared" si="8"/>
        <v>2.2051677247821821</v>
      </c>
      <c r="I32" s="70">
        <f t="shared" si="8"/>
        <v>1.1068793385270688</v>
      </c>
      <c r="J32" s="70">
        <f t="shared" si="8"/>
        <v>1.4681614425823</v>
      </c>
      <c r="K32" s="70">
        <f t="shared" si="8"/>
        <v>1.4552555058265426</v>
      </c>
      <c r="L32" s="70">
        <f t="shared" si="8"/>
        <v>1.6706707921572885</v>
      </c>
      <c r="M32" s="70" t="e">
        <f t="shared" si="8"/>
        <v>#VALUE!</v>
      </c>
      <c r="N32" s="70" t="e">
        <f t="shared" si="8"/>
        <v>#VALUE!</v>
      </c>
    </row>
    <row r="33" spans="2:14" ht="18" hidden="1" customHeight="1">
      <c r="B33" s="132" t="s">
        <v>371</v>
      </c>
      <c r="C33" s="132"/>
      <c r="D33" s="132"/>
      <c r="E33" s="70">
        <f>E27</f>
        <v>0</v>
      </c>
      <c r="F33" s="70">
        <f t="shared" ref="F33:N33" si="9">F27-E27</f>
        <v>0</v>
      </c>
      <c r="G33" s="70">
        <f t="shared" si="9"/>
        <v>0</v>
      </c>
      <c r="H33" s="70">
        <f t="shared" si="9"/>
        <v>0</v>
      </c>
      <c r="I33" s="70">
        <f t="shared" si="9"/>
        <v>0</v>
      </c>
      <c r="J33" s="70">
        <f t="shared" si="9"/>
        <v>0</v>
      </c>
      <c r="K33" s="70">
        <f t="shared" si="9"/>
        <v>0</v>
      </c>
      <c r="L33" s="70">
        <f t="shared" si="9"/>
        <v>0</v>
      </c>
      <c r="M33" s="70">
        <f t="shared" si="9"/>
        <v>0</v>
      </c>
      <c r="N33" s="70">
        <f t="shared" si="9"/>
        <v>0</v>
      </c>
    </row>
    <row r="34" spans="2:14" ht="18" customHeight="1">
      <c r="B34" s="132"/>
      <c r="C34" s="132"/>
      <c r="D34" s="132"/>
      <c r="E34" s="70"/>
      <c r="F34" s="70"/>
      <c r="G34" s="70"/>
      <c r="H34" s="70"/>
      <c r="I34" s="70"/>
      <c r="J34" s="70"/>
      <c r="K34" s="70"/>
      <c r="L34" s="70"/>
      <c r="M34" s="70"/>
      <c r="N34" s="70"/>
    </row>
    <row r="35" spans="2:14" ht="18" customHeight="1">
      <c r="E35" s="67"/>
      <c r="F35" s="67"/>
      <c r="G35" s="67"/>
      <c r="H35" s="67"/>
      <c r="I35" s="67"/>
      <c r="J35" s="67"/>
      <c r="K35" s="67"/>
      <c r="L35" s="67"/>
      <c r="M35" s="67"/>
      <c r="N35" s="67"/>
    </row>
    <row r="36" spans="2:14">
      <c r="E36" s="67"/>
      <c r="F36" s="67"/>
      <c r="G36" s="67"/>
      <c r="H36" s="67"/>
      <c r="I36" s="67"/>
      <c r="J36" s="67"/>
      <c r="K36" s="67"/>
      <c r="L36" s="67"/>
      <c r="M36" s="67"/>
      <c r="N36" s="67"/>
    </row>
    <row r="37" spans="2:14">
      <c r="E37" s="67"/>
      <c r="F37" s="67"/>
      <c r="G37" s="67"/>
      <c r="H37" s="67"/>
      <c r="I37" s="67"/>
      <c r="J37" s="67"/>
      <c r="K37" s="67"/>
      <c r="L37" s="67"/>
      <c r="M37" s="67"/>
      <c r="N37" s="67"/>
    </row>
    <row r="38" spans="2:14">
      <c r="E38" s="67"/>
      <c r="F38" s="67"/>
      <c r="G38" s="67"/>
      <c r="H38" s="67"/>
      <c r="I38" s="67"/>
      <c r="J38" s="67"/>
      <c r="K38" s="67"/>
      <c r="L38" s="67"/>
      <c r="M38" s="67"/>
      <c r="N38" s="67"/>
    </row>
    <row r="39" spans="2:14">
      <c r="E39" s="67"/>
      <c r="F39" s="67"/>
      <c r="G39" s="67"/>
      <c r="H39" s="67"/>
      <c r="I39" s="67"/>
      <c r="J39" s="67"/>
      <c r="K39" s="67"/>
      <c r="L39" s="67"/>
      <c r="M39" s="67"/>
      <c r="N39" s="67"/>
    </row>
  </sheetData>
  <mergeCells count="1">
    <mergeCell ref="C6:I6"/>
  </mergeCells>
  <phoneticPr fontId="2" type="noConversion"/>
  <pageMargins left="0.22" right="0.11" top="0.59055118110236227" bottom="0.15748031496062992" header="0.23622047244094491" footer="0.19685039370078741"/>
  <pageSetup paperSize="9" scale="86" orientation="portrait" r:id="rId1"/>
  <headerFooter alignWithMargins="0">
    <oddHeader>&amp;RHOTEL CITY WALK INTERNATIONAL
GUWAHATI</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880BC-C35C-4482-86A9-0107BBE2D646}">
  <sheetPr>
    <tabColor indexed="13"/>
  </sheetPr>
  <dimension ref="A1:R106"/>
  <sheetViews>
    <sheetView zoomScale="115" zoomScaleNormal="115" workbookViewId="0">
      <selection activeCell="C6" sqref="C6"/>
    </sheetView>
  </sheetViews>
  <sheetFormatPr defaultRowHeight="12.75"/>
  <cols>
    <col min="1" max="1" width="20" style="51" customWidth="1"/>
    <col min="2" max="10" width="7.42578125" style="51" customWidth="1"/>
    <col min="11" max="16384" width="9.140625" style="51"/>
  </cols>
  <sheetData>
    <row r="1" spans="1:18" ht="4.5" customHeight="1"/>
    <row r="2" spans="1:18">
      <c r="B2" s="1009"/>
    </row>
    <row r="3" spans="1:18" ht="5.25" customHeight="1"/>
    <row r="4" spans="1:18">
      <c r="A4" s="133" t="s">
        <v>93</v>
      </c>
      <c r="B4" s="132">
        <f>2015</f>
        <v>2015</v>
      </c>
      <c r="C4" s="132">
        <f t="shared" ref="C4:J4" si="0">B4+1</f>
        <v>2016</v>
      </c>
      <c r="D4" s="132">
        <f t="shared" si="0"/>
        <v>2017</v>
      </c>
      <c r="E4" s="132">
        <f t="shared" si="0"/>
        <v>2018</v>
      </c>
      <c r="F4" s="132">
        <f t="shared" si="0"/>
        <v>2019</v>
      </c>
      <c r="G4" s="132">
        <f t="shared" si="0"/>
        <v>2020</v>
      </c>
      <c r="H4" s="132">
        <f t="shared" si="0"/>
        <v>2021</v>
      </c>
      <c r="I4" s="132">
        <f t="shared" si="0"/>
        <v>2022</v>
      </c>
      <c r="J4" s="132">
        <f t="shared" si="0"/>
        <v>2023</v>
      </c>
      <c r="K4" s="84"/>
      <c r="L4" s="84"/>
      <c r="M4" s="84"/>
      <c r="N4" s="84"/>
      <c r="O4" s="84"/>
      <c r="P4" s="84"/>
      <c r="Q4" s="84"/>
      <c r="R4" s="84"/>
    </row>
    <row r="5" spans="1:18">
      <c r="A5" s="133" t="s">
        <v>372</v>
      </c>
      <c r="B5" s="644">
        <f>'P  L '!D18</f>
        <v>0.4</v>
      </c>
      <c r="C5" s="644">
        <f>'P  L '!E18</f>
        <v>0.4</v>
      </c>
      <c r="D5" s="644">
        <f>'P  L '!F18</f>
        <v>0.45</v>
      </c>
      <c r="E5" s="644">
        <f>'P  L '!G18</f>
        <v>0.5</v>
      </c>
      <c r="F5" s="644">
        <f>'P  L '!H18</f>
        <v>0.55000000000000004</v>
      </c>
      <c r="G5" s="644">
        <f>'P  L '!I18</f>
        <v>0.60000000000000009</v>
      </c>
      <c r="H5" s="644">
        <f>'P  L '!J18</f>
        <v>0.65000000000000013</v>
      </c>
      <c r="I5" s="644">
        <f>'P  L '!K18</f>
        <v>0.70000000000000018</v>
      </c>
      <c r="J5" s="644">
        <f>'P  L '!L18</f>
        <v>0.6</v>
      </c>
      <c r="K5" s="84"/>
      <c r="L5" s="84"/>
      <c r="M5" s="84"/>
      <c r="N5" s="84"/>
      <c r="O5" s="84"/>
      <c r="P5" s="84"/>
      <c r="Q5" s="84"/>
      <c r="R5" s="84"/>
    </row>
    <row r="6" spans="1:18">
      <c r="A6" s="183" t="s">
        <v>149</v>
      </c>
      <c r="B6" s="141">
        <v>273.02000000000004</v>
      </c>
      <c r="C6" s="141">
        <v>307.14750000000004</v>
      </c>
      <c r="D6" s="141">
        <v>341.27500000000003</v>
      </c>
      <c r="E6" s="141">
        <v>375.40250000000009</v>
      </c>
      <c r="F6" s="141">
        <v>409.53000000000009</v>
      </c>
      <c r="G6" s="141">
        <v>409.53000000000009</v>
      </c>
      <c r="H6" s="141">
        <v>409.53000000000009</v>
      </c>
      <c r="I6" s="141">
        <v>409.53000000000009</v>
      </c>
      <c r="J6" s="141">
        <v>409.53000000000009</v>
      </c>
      <c r="K6" s="43"/>
      <c r="L6" s="43"/>
      <c r="M6" s="43"/>
      <c r="N6" s="43"/>
      <c r="O6" s="43"/>
      <c r="P6" s="43"/>
      <c r="Q6" s="43"/>
      <c r="R6" s="43"/>
    </row>
    <row r="7" spans="1:18">
      <c r="A7" s="183" t="s">
        <v>143</v>
      </c>
      <c r="B7" s="141">
        <v>216.66400000000004</v>
      </c>
      <c r="C7" s="141">
        <v>243.74700000000004</v>
      </c>
      <c r="D7" s="141">
        <v>270.83000000000004</v>
      </c>
      <c r="E7" s="141">
        <v>297.91300000000007</v>
      </c>
      <c r="F7" s="141">
        <v>324.99600000000009</v>
      </c>
      <c r="G7" s="141">
        <v>324.99600000000009</v>
      </c>
      <c r="H7" s="141">
        <v>324.99600000000009</v>
      </c>
      <c r="I7" s="141">
        <v>324.99600000000009</v>
      </c>
      <c r="J7" s="141">
        <v>324.99600000000009</v>
      </c>
      <c r="K7" s="43"/>
      <c r="L7" s="43"/>
      <c r="M7" s="43"/>
      <c r="N7" s="43"/>
      <c r="O7" s="43"/>
      <c r="P7" s="43"/>
      <c r="Q7" s="43"/>
      <c r="R7" s="43"/>
    </row>
    <row r="8" spans="1:18">
      <c r="A8" s="141" t="s">
        <v>144</v>
      </c>
      <c r="B8" s="141">
        <v>58.400000000000006</v>
      </c>
      <c r="C8" s="141">
        <v>65.7</v>
      </c>
      <c r="D8" s="141">
        <v>73</v>
      </c>
      <c r="E8" s="141">
        <v>80.300000000000011</v>
      </c>
      <c r="F8" s="141">
        <v>87.600000000000009</v>
      </c>
      <c r="G8" s="141">
        <v>87.600000000000009</v>
      </c>
      <c r="H8" s="141">
        <v>87.600000000000009</v>
      </c>
      <c r="I8" s="141">
        <v>87.600000000000009</v>
      </c>
      <c r="J8" s="141">
        <v>87.600000000000009</v>
      </c>
      <c r="K8" s="43"/>
      <c r="L8" s="43"/>
      <c r="M8" s="43"/>
      <c r="N8" s="43"/>
      <c r="O8" s="43"/>
      <c r="P8" s="43"/>
      <c r="Q8" s="43"/>
      <c r="R8" s="43"/>
    </row>
    <row r="9" spans="1:18">
      <c r="A9" s="141" t="s">
        <v>145</v>
      </c>
      <c r="B9" s="141">
        <v>43.800000000000004</v>
      </c>
      <c r="C9" s="141">
        <v>49.274999999999999</v>
      </c>
      <c r="D9" s="141">
        <v>54.75</v>
      </c>
      <c r="E9" s="141">
        <v>60.225000000000001</v>
      </c>
      <c r="F9" s="141">
        <v>65.7</v>
      </c>
      <c r="G9" s="141">
        <v>65.7</v>
      </c>
      <c r="H9" s="141">
        <v>65.7</v>
      </c>
      <c r="I9" s="141">
        <v>65.7</v>
      </c>
      <c r="J9" s="141">
        <v>65.7</v>
      </c>
      <c r="K9" s="43"/>
      <c r="L9" s="43"/>
      <c r="M9" s="43"/>
      <c r="N9" s="43"/>
      <c r="O9" s="43"/>
      <c r="P9" s="43"/>
      <c r="Q9" s="43"/>
      <c r="R9" s="43"/>
    </row>
    <row r="10" spans="1:18" ht="26.25" customHeight="1">
      <c r="A10" s="290" t="s">
        <v>373</v>
      </c>
      <c r="B10" s="70">
        <f t="shared" ref="B10:H10" si="1">SUM(B6:B9)</f>
        <v>591.88400000000001</v>
      </c>
      <c r="C10" s="70">
        <f t="shared" si="1"/>
        <v>665.86950000000013</v>
      </c>
      <c r="D10" s="70">
        <f t="shared" si="1"/>
        <v>739.85500000000002</v>
      </c>
      <c r="E10" s="70">
        <f t="shared" si="1"/>
        <v>813.84050000000013</v>
      </c>
      <c r="F10" s="70">
        <f t="shared" si="1"/>
        <v>887.82600000000025</v>
      </c>
      <c r="G10" s="70">
        <f t="shared" si="1"/>
        <v>887.82600000000025</v>
      </c>
      <c r="H10" s="70">
        <f t="shared" si="1"/>
        <v>887.82600000000025</v>
      </c>
      <c r="I10" s="70">
        <f>SUM(I6:I9)</f>
        <v>887.82600000000025</v>
      </c>
      <c r="J10" s="70">
        <f>SUM(J6:J9)</f>
        <v>887.82600000000025</v>
      </c>
      <c r="K10" s="6"/>
      <c r="L10" s="6"/>
      <c r="M10" s="6"/>
      <c r="N10" s="6"/>
      <c r="O10" s="6"/>
      <c r="P10" s="6"/>
      <c r="Q10" s="6"/>
      <c r="R10" s="43"/>
    </row>
    <row r="11" spans="1:18">
      <c r="A11" s="83"/>
      <c r="B11" s="84"/>
      <c r="C11" s="84"/>
      <c r="D11" s="84"/>
      <c r="E11" s="84"/>
      <c r="F11" s="84"/>
      <c r="G11" s="84"/>
      <c r="H11" s="84"/>
      <c r="I11" s="84"/>
      <c r="J11" s="84"/>
      <c r="K11" s="84"/>
      <c r="L11" s="84"/>
      <c r="M11" s="84"/>
      <c r="N11" s="84"/>
      <c r="O11" s="84"/>
      <c r="P11" s="84"/>
      <c r="Q11" s="84"/>
      <c r="R11" s="84"/>
    </row>
    <row r="12" spans="1:18">
      <c r="B12" s="67"/>
      <c r="C12" s="67"/>
      <c r="D12" s="67"/>
      <c r="E12" s="67"/>
      <c r="F12" s="67"/>
      <c r="G12" s="67"/>
      <c r="H12" s="67"/>
      <c r="I12" s="67"/>
      <c r="J12" s="67"/>
      <c r="K12" s="67"/>
      <c r="L12" s="67"/>
      <c r="M12" s="67"/>
      <c r="N12" s="67"/>
      <c r="O12" s="67"/>
      <c r="P12" s="67"/>
      <c r="Q12" s="67"/>
      <c r="R12" s="43"/>
    </row>
    <row r="13" spans="1:18">
      <c r="B13" s="67"/>
      <c r="C13" s="67"/>
      <c r="D13" s="67"/>
      <c r="E13" s="67"/>
      <c r="F13" s="67"/>
      <c r="G13" s="67"/>
      <c r="H13" s="67"/>
      <c r="I13" s="67"/>
      <c r="J13" s="67"/>
      <c r="K13" s="67"/>
      <c r="L13" s="67"/>
      <c r="M13" s="67"/>
      <c r="N13" s="67"/>
      <c r="O13" s="67"/>
      <c r="P13" s="67"/>
      <c r="Q13" s="67"/>
      <c r="R13" s="43"/>
    </row>
    <row r="14" spans="1:18" ht="13.5" thickBot="1">
      <c r="B14" s="67"/>
      <c r="C14" s="67"/>
      <c r="D14" s="67"/>
      <c r="E14" s="67"/>
      <c r="F14" s="67"/>
      <c r="G14" s="67"/>
      <c r="H14" s="67"/>
      <c r="I14" s="67"/>
      <c r="J14" s="67"/>
      <c r="K14" s="67"/>
      <c r="L14" s="67"/>
      <c r="M14" s="67"/>
      <c r="N14" s="67"/>
      <c r="O14" s="67"/>
      <c r="P14" s="67"/>
      <c r="Q14" s="67"/>
      <c r="R14" s="43"/>
    </row>
    <row r="15" spans="1:18" ht="13.5" thickBot="1">
      <c r="A15" s="645"/>
      <c r="B15" s="646" t="s">
        <v>374</v>
      </c>
      <c r="C15" s="646" t="s">
        <v>375</v>
      </c>
      <c r="D15" s="646" t="s">
        <v>376</v>
      </c>
      <c r="E15" s="647" t="s">
        <v>377</v>
      </c>
      <c r="F15" s="647" t="s">
        <v>378</v>
      </c>
      <c r="G15" s="647" t="s">
        <v>379</v>
      </c>
      <c r="H15" s="647" t="s">
        <v>380</v>
      </c>
      <c r="I15" s="647" t="s">
        <v>381</v>
      </c>
      <c r="J15" s="647" t="s">
        <v>382</v>
      </c>
      <c r="K15" s="67"/>
      <c r="L15" s="67"/>
      <c r="M15" s="67"/>
      <c r="N15" s="67"/>
      <c r="O15" s="67"/>
      <c r="P15" s="67"/>
      <c r="Q15" s="67"/>
      <c r="R15" s="43"/>
    </row>
    <row r="16" spans="1:18" ht="13.5" thickBot="1">
      <c r="A16" s="648" t="s">
        <v>24</v>
      </c>
      <c r="B16" s="653">
        <f>'B  S '!E26</f>
        <v>1185.8642876220001</v>
      </c>
      <c r="C16" s="653">
        <f>'B  S '!F26</f>
        <v>1185.8642876220001</v>
      </c>
      <c r="D16" s="653">
        <f>'B  S '!G26</f>
        <v>1185.8642876220001</v>
      </c>
      <c r="E16" s="653">
        <f>'B  S '!H26</f>
        <v>1185.8642876220001</v>
      </c>
      <c r="F16" s="653">
        <f>'B  S '!I26</f>
        <v>1185.8642876220001</v>
      </c>
      <c r="G16" s="653">
        <f>'B  S '!J26</f>
        <v>1185.8642876220001</v>
      </c>
      <c r="H16" s="653">
        <f>'B  S '!K26</f>
        <v>1185.8642876220001</v>
      </c>
      <c r="I16" s="653">
        <f>'B  S '!L26</f>
        <v>1185.8642876220001</v>
      </c>
      <c r="J16" s="653">
        <f>'B  S '!M26</f>
        <v>1185.8642876220001</v>
      </c>
      <c r="K16" s="67"/>
      <c r="L16" s="67"/>
      <c r="M16" s="67"/>
      <c r="N16" s="67"/>
      <c r="O16" s="67"/>
      <c r="P16" s="67"/>
      <c r="Q16" s="67"/>
      <c r="R16" s="43"/>
    </row>
    <row r="17" spans="1:18" ht="26.25" thickBot="1">
      <c r="A17" s="648" t="s">
        <v>383</v>
      </c>
      <c r="B17" s="649"/>
      <c r="C17" s="649"/>
      <c r="D17" s="649"/>
      <c r="E17" s="651"/>
      <c r="F17" s="650"/>
      <c r="G17" s="650"/>
      <c r="H17" s="650"/>
      <c r="I17" s="650"/>
      <c r="J17" s="650"/>
      <c r="K17" s="67"/>
      <c r="L17" s="67"/>
      <c r="M17" s="67"/>
      <c r="N17" s="67"/>
      <c r="O17" s="67"/>
      <c r="P17" s="67"/>
      <c r="Q17" s="67"/>
      <c r="R17" s="43"/>
    </row>
    <row r="18" spans="1:18" ht="13.5" thickBot="1">
      <c r="A18" s="652" t="s">
        <v>384</v>
      </c>
      <c r="B18" s="649">
        <v>0</v>
      </c>
      <c r="C18" s="649">
        <v>0</v>
      </c>
      <c r="D18" s="649">
        <v>0</v>
      </c>
      <c r="E18" s="650">
        <v>0</v>
      </c>
      <c r="F18" s="650">
        <v>0</v>
      </c>
      <c r="G18" s="650">
        <v>0</v>
      </c>
      <c r="H18" s="650">
        <v>0</v>
      </c>
      <c r="I18" s="650">
        <v>0</v>
      </c>
      <c r="J18" s="650">
        <v>0</v>
      </c>
      <c r="K18" s="67"/>
      <c r="L18" s="67"/>
      <c r="M18" s="67"/>
      <c r="N18" s="67"/>
      <c r="O18" s="67"/>
      <c r="P18" s="67"/>
      <c r="Q18" s="67"/>
      <c r="R18" s="43"/>
    </row>
    <row r="19" spans="1:18" ht="39" thickBot="1">
      <c r="A19" s="648" t="s">
        <v>385</v>
      </c>
      <c r="B19" s="653">
        <f>'B  S '!E27</f>
        <v>320.87118358187342</v>
      </c>
      <c r="C19" s="653">
        <f>'B  S '!F27</f>
        <v>641.53926871394094</v>
      </c>
      <c r="D19" s="653">
        <f>'B  S '!G27</f>
        <v>1019.157856331172</v>
      </c>
      <c r="E19" s="653">
        <f>'B  S '!H27</f>
        <v>1487.4856389741155</v>
      </c>
      <c r="F19" s="653">
        <f>'B  S '!I27</f>
        <v>2051.5345341809298</v>
      </c>
      <c r="G19" s="653">
        <f>'B  S '!J27</f>
        <v>2711.9342288041798</v>
      </c>
      <c r="H19" s="653">
        <f>'B  S '!K27</f>
        <v>3482.0063007832782</v>
      </c>
      <c r="I19" s="653">
        <f>'B  S '!L27</f>
        <v>4350.8106742918708</v>
      </c>
      <c r="J19" s="653" t="e">
        <f>'B  S '!M27</f>
        <v>#VALUE!</v>
      </c>
      <c r="K19" s="67"/>
      <c r="L19" s="67"/>
      <c r="M19" s="67"/>
      <c r="N19" s="67"/>
      <c r="O19" s="67"/>
      <c r="P19" s="67"/>
      <c r="Q19" s="67"/>
      <c r="R19" s="43"/>
    </row>
    <row r="20" spans="1:18" ht="26.25" thickBot="1">
      <c r="A20" s="648" t="s">
        <v>386</v>
      </c>
      <c r="B20" s="649">
        <v>0</v>
      </c>
      <c r="C20" s="649">
        <v>0</v>
      </c>
      <c r="D20" s="649">
        <v>0</v>
      </c>
      <c r="E20" s="650">
        <v>0</v>
      </c>
      <c r="F20" s="650">
        <v>0</v>
      </c>
      <c r="G20" s="650">
        <v>0</v>
      </c>
      <c r="H20" s="650">
        <v>0</v>
      </c>
      <c r="I20" s="650">
        <v>0</v>
      </c>
      <c r="J20" s="650">
        <v>0</v>
      </c>
      <c r="K20" s="67"/>
      <c r="L20" s="67"/>
      <c r="M20" s="67"/>
      <c r="N20" s="67"/>
      <c r="O20" s="67"/>
      <c r="P20" s="67"/>
      <c r="Q20" s="67"/>
      <c r="R20" s="43"/>
    </row>
    <row r="21" spans="1:18" ht="26.25" thickBot="1">
      <c r="A21" s="648" t="s">
        <v>387</v>
      </c>
      <c r="B21" s="649">
        <v>0</v>
      </c>
      <c r="C21" s="649">
        <v>0</v>
      </c>
      <c r="D21" s="649">
        <v>0</v>
      </c>
      <c r="E21" s="650">
        <v>0</v>
      </c>
      <c r="F21" s="650">
        <v>0</v>
      </c>
      <c r="G21" s="650">
        <v>0</v>
      </c>
      <c r="H21" s="650">
        <v>0</v>
      </c>
      <c r="I21" s="650">
        <v>0</v>
      </c>
      <c r="J21" s="650">
        <v>0</v>
      </c>
      <c r="K21" s="67"/>
      <c r="L21" s="67"/>
      <c r="M21" s="67"/>
      <c r="N21" s="67"/>
      <c r="O21" s="67"/>
      <c r="P21" s="67"/>
      <c r="Q21" s="67"/>
      <c r="R21" s="43"/>
    </row>
    <row r="22" spans="1:18" ht="26.25" thickBot="1">
      <c r="A22" s="648" t="s">
        <v>388</v>
      </c>
      <c r="B22" s="649">
        <v>0</v>
      </c>
      <c r="C22" s="649">
        <v>0</v>
      </c>
      <c r="D22" s="649">
        <v>0</v>
      </c>
      <c r="E22" s="650">
        <v>0</v>
      </c>
      <c r="F22" s="650">
        <v>0</v>
      </c>
      <c r="G22" s="650">
        <v>0</v>
      </c>
      <c r="H22" s="650">
        <v>0</v>
      </c>
      <c r="I22" s="650">
        <v>0</v>
      </c>
      <c r="J22" s="650">
        <v>0</v>
      </c>
      <c r="K22" s="67"/>
      <c r="L22" s="67"/>
      <c r="M22" s="67"/>
      <c r="N22" s="67"/>
      <c r="O22" s="67"/>
      <c r="P22" s="67"/>
      <c r="Q22" s="67"/>
      <c r="R22" s="43"/>
    </row>
    <row r="23" spans="1:18" ht="39" thickBot="1">
      <c r="A23" s="648" t="s">
        <v>389</v>
      </c>
      <c r="B23" s="649">
        <v>0</v>
      </c>
      <c r="C23" s="649">
        <v>0</v>
      </c>
      <c r="D23" s="649">
        <v>0</v>
      </c>
      <c r="E23" s="650">
        <v>0</v>
      </c>
      <c r="F23" s="650">
        <v>0</v>
      </c>
      <c r="G23" s="650">
        <v>0</v>
      </c>
      <c r="H23" s="650">
        <v>0</v>
      </c>
      <c r="I23" s="650">
        <v>0</v>
      </c>
      <c r="J23" s="650">
        <v>0</v>
      </c>
      <c r="K23" s="67"/>
      <c r="L23" s="67"/>
      <c r="M23" s="67"/>
      <c r="N23" s="67"/>
      <c r="O23" s="67"/>
      <c r="P23" s="67"/>
      <c r="Q23" s="67"/>
      <c r="R23" s="43"/>
    </row>
    <row r="24" spans="1:18" ht="26.25" thickBot="1">
      <c r="A24" s="648" t="s">
        <v>390</v>
      </c>
      <c r="B24" s="649">
        <v>0</v>
      </c>
      <c r="C24" s="649">
        <v>0</v>
      </c>
      <c r="D24" s="649">
        <v>0</v>
      </c>
      <c r="E24" s="650">
        <v>0</v>
      </c>
      <c r="F24" s="650">
        <v>0</v>
      </c>
      <c r="G24" s="650">
        <v>0</v>
      </c>
      <c r="H24" s="650">
        <v>0</v>
      </c>
      <c r="I24" s="650">
        <v>0</v>
      </c>
      <c r="J24" s="650">
        <v>0</v>
      </c>
      <c r="K24" s="67"/>
      <c r="L24" s="67"/>
      <c r="M24" s="67"/>
      <c r="N24" s="67"/>
      <c r="O24" s="67"/>
      <c r="P24" s="67"/>
      <c r="Q24" s="67"/>
      <c r="R24" s="43"/>
    </row>
    <row r="25" spans="1:18" ht="26.25" thickBot="1">
      <c r="A25" s="648" t="s">
        <v>391</v>
      </c>
      <c r="B25" s="649">
        <v>0</v>
      </c>
      <c r="C25" s="649">
        <v>0</v>
      </c>
      <c r="D25" s="649">
        <v>0</v>
      </c>
      <c r="E25" s="650">
        <v>0</v>
      </c>
      <c r="F25" s="650">
        <v>0</v>
      </c>
      <c r="G25" s="650">
        <v>0</v>
      </c>
      <c r="H25" s="650">
        <v>0</v>
      </c>
      <c r="I25" s="650">
        <v>0</v>
      </c>
      <c r="J25" s="650">
        <v>0</v>
      </c>
      <c r="K25" s="67"/>
      <c r="L25" s="67"/>
      <c r="M25" s="67"/>
      <c r="N25" s="67"/>
      <c r="O25" s="67"/>
      <c r="P25" s="67"/>
      <c r="Q25" s="67"/>
      <c r="R25" s="43"/>
    </row>
    <row r="26" spans="1:18" ht="13.5" thickBot="1">
      <c r="A26" s="648" t="s">
        <v>392</v>
      </c>
      <c r="B26" s="653">
        <f t="shared" ref="B26:G26" si="2">B16+B19</f>
        <v>1506.7354712038737</v>
      </c>
      <c r="C26" s="653">
        <f t="shared" si="2"/>
        <v>1827.4035563359412</v>
      </c>
      <c r="D26" s="653">
        <f t="shared" si="2"/>
        <v>2205.022143953172</v>
      </c>
      <c r="E26" s="653">
        <f t="shared" si="2"/>
        <v>2673.3499265961154</v>
      </c>
      <c r="F26" s="653">
        <f t="shared" si="2"/>
        <v>3237.3988218029299</v>
      </c>
      <c r="G26" s="653">
        <f t="shared" si="2"/>
        <v>3897.79851642618</v>
      </c>
      <c r="H26" s="653">
        <f>H16+H19</f>
        <v>4667.8705884052779</v>
      </c>
      <c r="I26" s="653">
        <f>I16+I19</f>
        <v>5536.6749619138709</v>
      </c>
      <c r="J26" s="653" t="e">
        <f>J16+J19</f>
        <v>#VALUE!</v>
      </c>
      <c r="K26" s="67"/>
      <c r="L26" s="67"/>
      <c r="M26" s="67"/>
      <c r="N26" s="67"/>
      <c r="O26" s="67"/>
      <c r="P26" s="67"/>
      <c r="Q26" s="67"/>
      <c r="R26" s="43"/>
    </row>
    <row r="27" spans="1:18">
      <c r="B27" s="67"/>
      <c r="C27" s="67"/>
      <c r="D27" s="67"/>
      <c r="E27" s="67"/>
      <c r="F27" s="67"/>
      <c r="G27" s="67"/>
      <c r="H27" s="67"/>
      <c r="I27" s="67"/>
      <c r="J27" s="67"/>
      <c r="K27" s="67"/>
      <c r="L27" s="67"/>
      <c r="M27" s="67"/>
      <c r="N27" s="67"/>
      <c r="O27" s="67"/>
      <c r="P27" s="67"/>
      <c r="Q27" s="67"/>
      <c r="R27" s="43"/>
    </row>
    <row r="28" spans="1:18">
      <c r="B28" s="67"/>
      <c r="C28" s="67"/>
      <c r="D28" s="67"/>
      <c r="E28" s="67"/>
      <c r="F28" s="67"/>
      <c r="G28" s="67"/>
      <c r="H28" s="67"/>
      <c r="I28" s="67"/>
      <c r="J28" s="67"/>
      <c r="K28" s="67"/>
      <c r="L28" s="67"/>
      <c r="M28" s="67"/>
      <c r="N28" s="67"/>
      <c r="O28" s="67"/>
      <c r="P28" s="67"/>
      <c r="Q28" s="67"/>
      <c r="R28" s="43"/>
    </row>
    <row r="29" spans="1:18">
      <c r="B29" s="67"/>
      <c r="C29" s="67"/>
      <c r="D29" s="67"/>
      <c r="E29" s="67"/>
      <c r="F29" s="67"/>
      <c r="G29" s="67"/>
      <c r="H29" s="67"/>
      <c r="I29" s="67"/>
      <c r="J29" s="67"/>
      <c r="K29" s="67"/>
      <c r="L29" s="67"/>
      <c r="M29" s="67"/>
      <c r="N29" s="67"/>
      <c r="O29" s="67"/>
      <c r="P29" s="67"/>
      <c r="Q29" s="67"/>
      <c r="R29" s="43"/>
    </row>
    <row r="30" spans="1:18">
      <c r="B30" s="67"/>
      <c r="C30" s="67"/>
      <c r="D30" s="67"/>
      <c r="E30" s="67"/>
      <c r="F30" s="67"/>
      <c r="G30" s="67"/>
      <c r="H30" s="67"/>
      <c r="I30" s="67"/>
      <c r="J30" s="67"/>
      <c r="K30" s="67"/>
      <c r="L30" s="67"/>
      <c r="M30" s="67"/>
      <c r="N30" s="67"/>
      <c r="O30" s="67"/>
      <c r="P30" s="67"/>
      <c r="Q30" s="67"/>
      <c r="R30" s="43"/>
    </row>
    <row r="31" spans="1:18">
      <c r="B31" s="67"/>
      <c r="C31" s="67"/>
      <c r="D31" s="67"/>
      <c r="E31" s="67"/>
      <c r="F31" s="67"/>
      <c r="G31" s="67"/>
      <c r="H31" s="67"/>
      <c r="I31" s="67"/>
      <c r="J31" s="67"/>
      <c r="K31" s="67"/>
      <c r="L31" s="67"/>
      <c r="M31" s="67"/>
      <c r="N31" s="67"/>
      <c r="O31" s="67"/>
      <c r="P31" s="67"/>
      <c r="Q31" s="67"/>
      <c r="R31" s="43"/>
    </row>
    <row r="32" spans="1:18">
      <c r="B32" s="67"/>
      <c r="C32" s="67"/>
      <c r="D32" s="67"/>
      <c r="E32" s="67"/>
      <c r="F32" s="67"/>
      <c r="G32" s="67"/>
      <c r="H32" s="67"/>
      <c r="I32" s="67"/>
      <c r="J32" s="67"/>
      <c r="K32" s="67"/>
      <c r="L32" s="67"/>
      <c r="M32" s="67"/>
      <c r="N32" s="67"/>
      <c r="O32" s="67"/>
      <c r="P32" s="67"/>
      <c r="Q32" s="67"/>
      <c r="R32" s="43"/>
    </row>
    <row r="33" spans="1:18">
      <c r="B33" s="67"/>
      <c r="C33" s="67"/>
      <c r="D33" s="67"/>
      <c r="E33" s="67"/>
      <c r="F33" s="67"/>
      <c r="G33" s="67"/>
      <c r="H33" s="67"/>
      <c r="I33" s="67"/>
      <c r="J33" s="67"/>
      <c r="K33" s="67"/>
      <c r="L33" s="67"/>
      <c r="M33" s="67"/>
      <c r="N33" s="67"/>
      <c r="O33" s="67"/>
      <c r="P33" s="67"/>
      <c r="Q33" s="67"/>
      <c r="R33" s="43"/>
    </row>
    <row r="34" spans="1:18">
      <c r="B34" s="67"/>
      <c r="C34" s="67"/>
      <c r="D34" s="67"/>
      <c r="E34" s="67"/>
      <c r="F34" s="67"/>
      <c r="G34" s="67"/>
      <c r="H34" s="67"/>
      <c r="I34" s="67"/>
      <c r="J34" s="67"/>
      <c r="K34" s="67"/>
      <c r="L34" s="67"/>
      <c r="M34" s="67"/>
      <c r="N34" s="67"/>
      <c r="O34" s="67"/>
      <c r="P34" s="67"/>
      <c r="Q34" s="67"/>
      <c r="R34" s="43"/>
    </row>
    <row r="35" spans="1:18">
      <c r="B35" s="67"/>
      <c r="C35" s="67"/>
      <c r="D35" s="67"/>
      <c r="E35" s="67"/>
      <c r="F35" s="67"/>
      <c r="G35" s="67"/>
      <c r="H35" s="67"/>
      <c r="I35" s="67"/>
      <c r="J35" s="67"/>
      <c r="K35" s="67"/>
      <c r="L35" s="67"/>
      <c r="M35" s="67"/>
      <c r="N35" s="67"/>
      <c r="O35" s="67"/>
      <c r="P35" s="67"/>
      <c r="Q35" s="67"/>
      <c r="R35" s="43"/>
    </row>
    <row r="36" spans="1:18">
      <c r="B36" s="67"/>
      <c r="C36" s="67"/>
      <c r="D36" s="67"/>
      <c r="E36" s="67"/>
      <c r="F36" s="67"/>
      <c r="G36" s="67"/>
      <c r="H36" s="67"/>
      <c r="I36" s="67"/>
      <c r="J36" s="67"/>
      <c r="K36" s="67"/>
      <c r="L36" s="67"/>
      <c r="M36" s="67"/>
      <c r="N36" s="67"/>
      <c r="O36" s="67"/>
      <c r="P36" s="67"/>
      <c r="Q36" s="67"/>
      <c r="R36" s="43"/>
    </row>
    <row r="37" spans="1:18">
      <c r="B37" s="67"/>
      <c r="C37" s="67"/>
      <c r="D37" s="67"/>
      <c r="E37" s="67"/>
      <c r="F37" s="67"/>
      <c r="G37" s="67"/>
      <c r="H37" s="67"/>
      <c r="I37" s="67"/>
      <c r="J37" s="67"/>
      <c r="K37" s="67"/>
      <c r="L37" s="67"/>
      <c r="M37" s="67"/>
      <c r="N37" s="67"/>
      <c r="O37" s="67"/>
      <c r="P37" s="67"/>
      <c r="Q37" s="67"/>
      <c r="R37" s="43"/>
    </row>
    <row r="38" spans="1:18">
      <c r="B38" s="67"/>
      <c r="C38" s="67"/>
      <c r="D38" s="67"/>
      <c r="E38" s="67"/>
      <c r="F38" s="67"/>
      <c r="G38" s="67"/>
      <c r="H38" s="67"/>
      <c r="I38" s="67"/>
      <c r="J38" s="67"/>
      <c r="K38" s="67"/>
      <c r="L38" s="67"/>
      <c r="M38" s="67"/>
      <c r="N38" s="67"/>
      <c r="O38" s="67"/>
      <c r="P38" s="67"/>
      <c r="Q38" s="67"/>
      <c r="R38" s="43"/>
    </row>
    <row r="39" spans="1:18">
      <c r="B39" s="67"/>
      <c r="C39" s="67"/>
      <c r="D39" s="67"/>
      <c r="E39" s="67"/>
      <c r="F39" s="67"/>
      <c r="G39" s="67"/>
      <c r="H39" s="67"/>
      <c r="I39" s="67"/>
      <c r="J39" s="67"/>
      <c r="K39" s="67"/>
      <c r="L39" s="67"/>
      <c r="M39" s="67"/>
      <c r="N39" s="67"/>
      <c r="O39" s="67"/>
      <c r="P39" s="67"/>
      <c r="Q39" s="67"/>
      <c r="R39" s="43"/>
    </row>
    <row r="40" spans="1:18">
      <c r="B40" s="67"/>
      <c r="C40" s="67"/>
      <c r="D40" s="67"/>
      <c r="E40" s="67"/>
      <c r="F40" s="67"/>
      <c r="G40" s="67"/>
      <c r="H40" s="67"/>
      <c r="I40" s="67"/>
      <c r="J40" s="67"/>
      <c r="K40" s="67"/>
      <c r="L40" s="67"/>
      <c r="M40" s="67"/>
      <c r="N40" s="67"/>
      <c r="O40" s="67"/>
      <c r="P40" s="67"/>
      <c r="Q40" s="67"/>
      <c r="R40" s="43"/>
    </row>
    <row r="41" spans="1:18">
      <c r="B41" s="67"/>
      <c r="C41" s="67"/>
      <c r="D41" s="67"/>
      <c r="E41" s="67"/>
      <c r="F41" s="67"/>
      <c r="G41" s="67"/>
      <c r="H41" s="67"/>
      <c r="I41" s="67"/>
      <c r="J41" s="67"/>
      <c r="K41" s="67"/>
      <c r="L41" s="67"/>
      <c r="M41" s="67"/>
      <c r="N41" s="67"/>
      <c r="O41" s="67"/>
      <c r="P41" s="67"/>
      <c r="Q41" s="67"/>
      <c r="R41" s="43"/>
    </row>
    <row r="42" spans="1:18">
      <c r="B42" s="67"/>
      <c r="C42" s="67"/>
      <c r="D42" s="67"/>
      <c r="E42" s="67"/>
      <c r="F42" s="67"/>
      <c r="G42" s="67"/>
      <c r="H42" s="67"/>
      <c r="I42" s="67"/>
      <c r="J42" s="67"/>
      <c r="K42" s="67"/>
      <c r="L42" s="67"/>
      <c r="M42" s="67"/>
      <c r="N42" s="67"/>
      <c r="O42" s="67"/>
      <c r="P42" s="67"/>
      <c r="Q42" s="67"/>
      <c r="R42" s="43"/>
    </row>
    <row r="43" spans="1:18">
      <c r="B43" s="67"/>
      <c r="C43" s="67"/>
      <c r="D43" s="67"/>
      <c r="E43" s="67"/>
      <c r="F43" s="67"/>
      <c r="G43" s="67"/>
      <c r="H43" s="67"/>
      <c r="I43" s="67"/>
      <c r="J43" s="67"/>
      <c r="K43" s="67"/>
      <c r="L43" s="67"/>
      <c r="M43" s="67"/>
      <c r="N43" s="67"/>
      <c r="O43" s="67"/>
      <c r="P43" s="67"/>
      <c r="Q43" s="67"/>
      <c r="R43" s="43"/>
    </row>
    <row r="44" spans="1:18">
      <c r="B44" s="67"/>
      <c r="C44" s="67"/>
      <c r="D44" s="67"/>
      <c r="E44" s="67"/>
      <c r="F44" s="67"/>
      <c r="G44" s="67"/>
      <c r="H44" s="67"/>
      <c r="I44" s="67"/>
      <c r="J44" s="67"/>
      <c r="K44" s="67"/>
      <c r="L44" s="67"/>
      <c r="M44" s="67"/>
      <c r="N44" s="67"/>
      <c r="O44" s="67"/>
      <c r="P44" s="67"/>
      <c r="Q44" s="67"/>
      <c r="R44" s="43"/>
    </row>
    <row r="45" spans="1:18">
      <c r="B45" s="67"/>
      <c r="C45" s="67"/>
      <c r="D45" s="67"/>
      <c r="E45" s="67"/>
      <c r="F45" s="67"/>
      <c r="G45" s="67"/>
      <c r="H45" s="67"/>
      <c r="I45" s="67"/>
      <c r="J45" s="67"/>
      <c r="K45" s="67"/>
      <c r="L45" s="67"/>
      <c r="M45" s="67"/>
      <c r="N45" s="67"/>
      <c r="O45" s="67"/>
      <c r="P45" s="67"/>
      <c r="Q45" s="67"/>
      <c r="R45" s="43"/>
    </row>
    <row r="46" spans="1:18">
      <c r="B46" s="67"/>
      <c r="C46" s="67"/>
      <c r="D46" s="67"/>
      <c r="E46" s="67"/>
      <c r="F46" s="67"/>
      <c r="G46" s="67"/>
      <c r="H46" s="67"/>
      <c r="I46" s="67"/>
      <c r="J46" s="67"/>
      <c r="K46" s="67"/>
      <c r="L46" s="67"/>
      <c r="M46" s="67"/>
      <c r="N46" s="67"/>
      <c r="O46" s="67"/>
      <c r="P46" s="67"/>
      <c r="Q46" s="67"/>
      <c r="R46" s="43"/>
    </row>
    <row r="47" spans="1:18">
      <c r="A47" s="84" t="s">
        <v>181</v>
      </c>
      <c r="B47" s="67" t="e">
        <f>#REF!/B10*100</f>
        <v>#REF!</v>
      </c>
      <c r="C47" s="67" t="e">
        <f>#REF!/C10*100</f>
        <v>#REF!</v>
      </c>
      <c r="D47" s="67" t="e">
        <f>#REF!/D10*100</f>
        <v>#REF!</v>
      </c>
      <c r="E47" s="67" t="e">
        <f>#REF!/E10*100</f>
        <v>#REF!</v>
      </c>
      <c r="F47" s="67" t="e">
        <f>#REF!/F10*100</f>
        <v>#REF!</v>
      </c>
      <c r="G47" s="67" t="e">
        <f>#REF!/G10*100</f>
        <v>#REF!</v>
      </c>
      <c r="H47" s="67" t="e">
        <f>#REF!/H10*100</f>
        <v>#REF!</v>
      </c>
      <c r="I47" s="67" t="e">
        <f>#REF!/I10*100</f>
        <v>#REF!</v>
      </c>
      <c r="J47" s="67"/>
      <c r="K47" s="67"/>
      <c r="L47" s="67"/>
      <c r="M47" s="67"/>
      <c r="N47" s="67"/>
      <c r="O47" s="67"/>
      <c r="P47" s="67"/>
      <c r="Q47" s="67"/>
      <c r="R47" s="43"/>
    </row>
    <row r="48" spans="1:18">
      <c r="A48" s="84" t="s">
        <v>393</v>
      </c>
      <c r="B48" s="67" t="e">
        <f>(#REF!+#REF!)/B10*100</f>
        <v>#REF!</v>
      </c>
      <c r="C48" s="67" t="e">
        <f>(#REF!+#REF!)/C10*100</f>
        <v>#REF!</v>
      </c>
      <c r="D48" s="67" t="e">
        <f>(#REF!+#REF!)/D10*100</f>
        <v>#REF!</v>
      </c>
      <c r="E48" s="67" t="e">
        <f>(#REF!+#REF!)/E10*100</f>
        <v>#REF!</v>
      </c>
      <c r="F48" s="67" t="e">
        <f>(#REF!+#REF!)/F10*100</f>
        <v>#REF!</v>
      </c>
      <c r="G48" s="67" t="e">
        <f>(#REF!+#REF!)/G10*100</f>
        <v>#REF!</v>
      </c>
      <c r="H48" s="67" t="e">
        <f>(#REF!+#REF!)/H10*100</f>
        <v>#REF!</v>
      </c>
      <c r="I48" s="67" t="e">
        <f>(#REF!+#REF!)/I10*100</f>
        <v>#REF!</v>
      </c>
      <c r="J48" s="67"/>
      <c r="K48" s="67"/>
      <c r="L48" s="67"/>
      <c r="M48" s="67"/>
      <c r="N48" s="67"/>
      <c r="O48" s="67"/>
      <c r="P48" s="67"/>
      <c r="Q48" s="67"/>
      <c r="R48" s="43"/>
    </row>
    <row r="49" spans="1:18">
      <c r="A49" s="84" t="s">
        <v>394</v>
      </c>
      <c r="B49" s="67" t="e">
        <f>#REF!/B10*100</f>
        <v>#REF!</v>
      </c>
      <c r="C49" s="67" t="e">
        <f>#REF!/C10*100</f>
        <v>#REF!</v>
      </c>
      <c r="D49" s="67" t="e">
        <f>#REF!/D10*100</f>
        <v>#REF!</v>
      </c>
      <c r="E49" s="67" t="e">
        <f>#REF!/E10*100</f>
        <v>#REF!</v>
      </c>
      <c r="F49" s="67" t="e">
        <f>#REF!/F10*100</f>
        <v>#REF!</v>
      </c>
      <c r="G49" s="67" t="e">
        <f>#REF!/G10*100</f>
        <v>#REF!</v>
      </c>
      <c r="H49" s="67" t="e">
        <f>#REF!/H10*100</f>
        <v>#REF!</v>
      </c>
      <c r="I49" s="67" t="e">
        <f>#REF!/I10*100</f>
        <v>#REF!</v>
      </c>
      <c r="J49" s="67"/>
      <c r="K49" s="67"/>
      <c r="L49" s="67"/>
      <c r="M49" s="67"/>
      <c r="N49" s="67"/>
      <c r="O49" s="67"/>
      <c r="P49" s="67"/>
      <c r="Q49" s="67"/>
      <c r="R49" s="43"/>
    </row>
    <row r="50" spans="1:18">
      <c r="A50" s="84" t="s">
        <v>184</v>
      </c>
      <c r="B50" s="67" t="e">
        <f>(#REF!+#REF!)/B10*100</f>
        <v>#REF!</v>
      </c>
      <c r="C50" s="67" t="e">
        <f>(#REF!+#REF!)/C10*100</f>
        <v>#REF!</v>
      </c>
      <c r="D50" s="67" t="e">
        <f>(#REF!+#REF!)/D10*100</f>
        <v>#REF!</v>
      </c>
      <c r="E50" s="67" t="e">
        <f>(#REF!+#REF!)/E10*100</f>
        <v>#REF!</v>
      </c>
      <c r="F50" s="67" t="e">
        <f>(#REF!+#REF!)/F10*100</f>
        <v>#REF!</v>
      </c>
      <c r="G50" s="67" t="e">
        <f>(#REF!+#REF!)/G10*100</f>
        <v>#REF!</v>
      </c>
      <c r="H50" s="67" t="e">
        <f>(#REF!+#REF!)/H10*100</f>
        <v>#REF!</v>
      </c>
      <c r="I50" s="67" t="e">
        <f>(#REF!+#REF!)/I10*100</f>
        <v>#REF!</v>
      </c>
      <c r="J50" s="67"/>
      <c r="K50" s="67"/>
      <c r="L50" s="67"/>
      <c r="M50" s="67"/>
      <c r="N50" s="67"/>
      <c r="O50" s="67"/>
      <c r="P50" s="67"/>
      <c r="Q50" s="67"/>
      <c r="R50" s="43"/>
    </row>
    <row r="51" spans="1:18">
      <c r="B51" s="67"/>
      <c r="C51" s="67"/>
      <c r="D51" s="67"/>
      <c r="E51" s="67"/>
      <c r="F51" s="67"/>
      <c r="G51" s="67"/>
      <c r="H51" s="67"/>
      <c r="I51" s="67"/>
      <c r="J51" s="67"/>
      <c r="K51" s="67"/>
      <c r="L51" s="67"/>
      <c r="M51" s="67"/>
      <c r="N51" s="67"/>
      <c r="O51" s="67"/>
      <c r="P51" s="67"/>
      <c r="Q51" s="67"/>
      <c r="R51" s="43"/>
    </row>
    <row r="52" spans="1:18">
      <c r="B52" s="67"/>
      <c r="C52" s="67"/>
      <c r="D52" s="67"/>
      <c r="E52" s="67"/>
      <c r="F52" s="67"/>
      <c r="G52" s="67"/>
      <c r="H52" s="67"/>
      <c r="I52" s="67"/>
      <c r="J52" s="67"/>
      <c r="K52" s="67"/>
      <c r="L52" s="67"/>
      <c r="M52" s="67"/>
      <c r="N52" s="67"/>
      <c r="O52" s="67"/>
      <c r="P52" s="67"/>
      <c r="Q52" s="67"/>
      <c r="R52" s="43"/>
    </row>
    <row r="53" spans="1:18">
      <c r="B53" s="67"/>
      <c r="C53" s="67"/>
      <c r="D53" s="67"/>
      <c r="E53" s="67"/>
      <c r="F53" s="67"/>
      <c r="G53" s="67"/>
      <c r="H53" s="67"/>
      <c r="I53" s="67"/>
      <c r="J53" s="67"/>
      <c r="K53" s="67"/>
      <c r="L53" s="67"/>
      <c r="M53" s="67"/>
      <c r="N53" s="67"/>
      <c r="O53" s="67"/>
      <c r="P53" s="67"/>
      <c r="Q53" s="67"/>
      <c r="R53" s="43"/>
    </row>
    <row r="54" spans="1:18">
      <c r="B54" s="67"/>
      <c r="C54" s="67"/>
      <c r="D54" s="67"/>
      <c r="E54" s="67"/>
      <c r="F54" s="67"/>
      <c r="G54" s="67"/>
      <c r="H54" s="67"/>
      <c r="I54" s="67"/>
      <c r="J54" s="67"/>
      <c r="K54" s="67"/>
      <c r="L54" s="67"/>
      <c r="M54" s="67"/>
      <c r="N54" s="67"/>
      <c r="O54" s="67"/>
      <c r="P54" s="67"/>
      <c r="Q54" s="67"/>
      <c r="R54" s="43"/>
    </row>
    <row r="55" spans="1:18">
      <c r="B55" s="67"/>
      <c r="C55" s="67"/>
      <c r="D55" s="67"/>
      <c r="E55" s="67"/>
      <c r="F55" s="67"/>
      <c r="G55" s="67"/>
      <c r="H55" s="67"/>
      <c r="I55" s="67"/>
      <c r="J55" s="67"/>
      <c r="K55" s="67"/>
      <c r="L55" s="67"/>
      <c r="M55" s="67"/>
      <c r="N55" s="67"/>
      <c r="O55" s="67"/>
      <c r="P55" s="67"/>
      <c r="Q55" s="67"/>
      <c r="R55" s="43"/>
    </row>
    <row r="56" spans="1:18">
      <c r="B56" s="67"/>
      <c r="C56" s="67"/>
      <c r="D56" s="67"/>
      <c r="E56" s="67"/>
      <c r="F56" s="67"/>
      <c r="G56" s="67"/>
      <c r="H56" s="67"/>
      <c r="I56" s="67"/>
      <c r="J56" s="67"/>
      <c r="K56" s="67"/>
      <c r="L56" s="67"/>
      <c r="M56" s="67"/>
      <c r="N56" s="67"/>
      <c r="O56" s="67"/>
      <c r="P56" s="67"/>
      <c r="Q56" s="67"/>
      <c r="R56" s="43"/>
    </row>
    <row r="57" spans="1:18">
      <c r="B57" s="67"/>
      <c r="C57" s="67"/>
      <c r="D57" s="67"/>
      <c r="E57" s="67"/>
      <c r="F57" s="67"/>
      <c r="G57" s="67"/>
      <c r="H57" s="67"/>
      <c r="I57" s="67"/>
      <c r="J57" s="67"/>
      <c r="K57" s="67"/>
      <c r="L57" s="67"/>
      <c r="M57" s="67"/>
      <c r="N57" s="67"/>
      <c r="O57" s="67"/>
      <c r="P57" s="67"/>
      <c r="Q57" s="67"/>
      <c r="R57" s="43"/>
    </row>
    <row r="58" spans="1:18">
      <c r="B58" s="67"/>
      <c r="C58" s="67"/>
      <c r="D58" s="67"/>
      <c r="E58" s="67"/>
      <c r="F58" s="67"/>
      <c r="G58" s="67"/>
      <c r="H58" s="67"/>
      <c r="I58" s="67"/>
      <c r="J58" s="67"/>
      <c r="K58" s="67"/>
      <c r="L58" s="67"/>
      <c r="M58" s="67"/>
      <c r="N58" s="67"/>
      <c r="O58" s="67"/>
      <c r="P58" s="67"/>
      <c r="Q58" s="67"/>
      <c r="R58" s="43"/>
    </row>
    <row r="59" spans="1:18">
      <c r="B59" s="67"/>
      <c r="C59" s="67"/>
      <c r="D59" s="67"/>
      <c r="E59" s="67"/>
      <c r="F59" s="67"/>
      <c r="G59" s="67"/>
      <c r="H59" s="67"/>
      <c r="I59" s="67"/>
      <c r="J59" s="67"/>
      <c r="K59" s="67"/>
      <c r="L59" s="67"/>
      <c r="M59" s="67"/>
      <c r="N59" s="67"/>
      <c r="O59" s="67"/>
      <c r="P59" s="67"/>
      <c r="Q59" s="67"/>
      <c r="R59" s="43"/>
    </row>
    <row r="60" spans="1:18">
      <c r="B60" s="67"/>
      <c r="C60" s="67"/>
      <c r="D60" s="67"/>
      <c r="E60" s="67"/>
      <c r="F60" s="67"/>
      <c r="G60" s="67"/>
      <c r="H60" s="67"/>
      <c r="I60" s="67"/>
      <c r="J60" s="67"/>
      <c r="K60" s="67"/>
      <c r="L60" s="67"/>
      <c r="M60" s="67"/>
      <c r="N60" s="67"/>
      <c r="O60" s="67"/>
      <c r="P60" s="67"/>
      <c r="Q60" s="67"/>
      <c r="R60" s="43"/>
    </row>
    <row r="61" spans="1:18">
      <c r="B61" s="67"/>
      <c r="C61" s="67"/>
      <c r="D61" s="67"/>
      <c r="E61" s="67"/>
      <c r="F61" s="67"/>
      <c r="G61" s="67"/>
      <c r="H61" s="67"/>
      <c r="I61" s="67"/>
      <c r="J61" s="67"/>
      <c r="K61" s="67"/>
      <c r="L61" s="67"/>
      <c r="M61" s="67"/>
      <c r="N61" s="67"/>
      <c r="O61" s="67"/>
      <c r="P61" s="67"/>
      <c r="Q61" s="67"/>
      <c r="R61" s="43"/>
    </row>
    <row r="62" spans="1:18">
      <c r="B62" s="67"/>
      <c r="C62" s="67"/>
      <c r="D62" s="67"/>
      <c r="E62" s="67"/>
      <c r="F62" s="67"/>
      <c r="G62" s="67"/>
      <c r="H62" s="67"/>
      <c r="I62" s="67"/>
      <c r="J62" s="67"/>
      <c r="K62" s="67"/>
      <c r="L62" s="67"/>
      <c r="M62" s="67"/>
      <c r="N62" s="67"/>
      <c r="O62" s="67"/>
      <c r="P62" s="67"/>
      <c r="Q62" s="67"/>
      <c r="R62" s="43"/>
    </row>
    <row r="63" spans="1:18">
      <c r="B63" s="67"/>
      <c r="C63" s="67"/>
      <c r="D63" s="67"/>
      <c r="E63" s="67"/>
      <c r="F63" s="67"/>
      <c r="G63" s="67"/>
      <c r="H63" s="67"/>
      <c r="I63" s="67"/>
      <c r="J63" s="67"/>
      <c r="K63" s="67"/>
      <c r="L63" s="67"/>
      <c r="M63" s="67"/>
      <c r="N63" s="67"/>
      <c r="O63" s="67"/>
      <c r="P63" s="67"/>
      <c r="Q63" s="67"/>
      <c r="R63" s="43"/>
    </row>
    <row r="64" spans="1:18">
      <c r="B64" s="67"/>
      <c r="C64" s="67"/>
      <c r="D64" s="67"/>
      <c r="E64" s="67"/>
      <c r="F64" s="67"/>
      <c r="G64" s="67"/>
      <c r="H64" s="67"/>
      <c r="I64" s="67"/>
      <c r="J64" s="67"/>
      <c r="K64" s="67"/>
      <c r="L64" s="67"/>
      <c r="M64" s="67"/>
      <c r="N64" s="67"/>
      <c r="O64" s="67"/>
      <c r="P64" s="67"/>
      <c r="Q64" s="67"/>
      <c r="R64" s="43"/>
    </row>
    <row r="65" spans="2:18">
      <c r="B65" s="67"/>
      <c r="C65" s="67"/>
      <c r="D65" s="67"/>
      <c r="E65" s="67"/>
      <c r="F65" s="67"/>
      <c r="G65" s="67"/>
      <c r="H65" s="67"/>
      <c r="I65" s="67"/>
      <c r="J65" s="67"/>
      <c r="K65" s="67"/>
      <c r="L65" s="67"/>
      <c r="M65" s="67"/>
      <c r="N65" s="67"/>
      <c r="O65" s="67"/>
      <c r="P65" s="67"/>
      <c r="Q65" s="67"/>
      <c r="R65" s="43"/>
    </row>
    <row r="66" spans="2:18">
      <c r="B66" s="67"/>
      <c r="C66" s="67"/>
      <c r="D66" s="67"/>
      <c r="E66" s="67"/>
      <c r="F66" s="67"/>
      <c r="G66" s="67"/>
      <c r="H66" s="67"/>
      <c r="I66" s="67"/>
      <c r="J66" s="67"/>
      <c r="K66" s="67"/>
      <c r="L66" s="67"/>
      <c r="M66" s="67"/>
      <c r="N66" s="67"/>
      <c r="O66" s="67"/>
      <c r="P66" s="67"/>
      <c r="Q66" s="67"/>
      <c r="R66" s="43"/>
    </row>
    <row r="67" spans="2:18">
      <c r="B67" s="67"/>
      <c r="C67" s="67"/>
      <c r="D67" s="67"/>
      <c r="E67" s="67"/>
      <c r="F67" s="67"/>
      <c r="G67" s="67"/>
      <c r="H67" s="67"/>
      <c r="I67" s="67"/>
      <c r="J67" s="67"/>
      <c r="K67" s="67"/>
      <c r="L67" s="67"/>
      <c r="M67" s="67"/>
      <c r="N67" s="67"/>
      <c r="O67" s="67"/>
      <c r="P67" s="67"/>
      <c r="Q67" s="67"/>
      <c r="R67" s="43"/>
    </row>
    <row r="68" spans="2:18">
      <c r="B68" s="67"/>
      <c r="C68" s="67"/>
      <c r="D68" s="67"/>
      <c r="E68" s="67"/>
      <c r="F68" s="67"/>
      <c r="G68" s="67"/>
      <c r="H68" s="67"/>
      <c r="I68" s="67"/>
      <c r="J68" s="67"/>
      <c r="K68" s="67"/>
      <c r="L68" s="67"/>
      <c r="M68" s="67"/>
      <c r="N68" s="67"/>
      <c r="O68" s="67"/>
      <c r="P68" s="67"/>
      <c r="Q68" s="67"/>
      <c r="R68" s="43"/>
    </row>
    <row r="69" spans="2:18">
      <c r="B69" s="67"/>
      <c r="C69" s="67"/>
      <c r="D69" s="67"/>
      <c r="E69" s="67"/>
      <c r="F69" s="67"/>
      <c r="G69" s="67"/>
      <c r="H69" s="67"/>
      <c r="I69" s="67"/>
      <c r="J69" s="67"/>
      <c r="K69" s="67"/>
      <c r="L69" s="67"/>
      <c r="M69" s="67"/>
      <c r="N69" s="67"/>
      <c r="O69" s="67"/>
      <c r="P69" s="67"/>
      <c r="Q69" s="67"/>
      <c r="R69" s="43"/>
    </row>
    <row r="70" spans="2:18">
      <c r="B70" s="67"/>
      <c r="C70" s="67"/>
      <c r="D70" s="67"/>
      <c r="E70" s="67"/>
      <c r="F70" s="67"/>
      <c r="G70" s="67"/>
      <c r="H70" s="67"/>
      <c r="I70" s="67"/>
      <c r="J70" s="67"/>
      <c r="K70" s="67"/>
      <c r="L70" s="67"/>
      <c r="M70" s="67"/>
      <c r="N70" s="67"/>
      <c r="O70" s="67"/>
      <c r="P70" s="67"/>
      <c r="Q70" s="67"/>
      <c r="R70" s="43"/>
    </row>
    <row r="71" spans="2:18">
      <c r="B71" s="67"/>
      <c r="C71" s="67"/>
      <c r="D71" s="67"/>
      <c r="E71" s="67"/>
      <c r="F71" s="67"/>
      <c r="G71" s="67"/>
      <c r="H71" s="67"/>
      <c r="I71" s="67"/>
      <c r="J71" s="67"/>
      <c r="K71" s="67"/>
      <c r="L71" s="67"/>
      <c r="M71" s="67"/>
      <c r="N71" s="67"/>
      <c r="O71" s="67"/>
      <c r="P71" s="67"/>
      <c r="Q71" s="67"/>
      <c r="R71" s="43"/>
    </row>
    <row r="72" spans="2:18">
      <c r="B72" s="67"/>
      <c r="C72" s="67"/>
      <c r="D72" s="67"/>
      <c r="E72" s="67"/>
      <c r="F72" s="67"/>
      <c r="G72" s="67"/>
      <c r="H72" s="67"/>
      <c r="I72" s="67"/>
      <c r="J72" s="67"/>
      <c r="K72" s="67"/>
      <c r="L72" s="67"/>
      <c r="M72" s="67"/>
      <c r="N72" s="67"/>
      <c r="O72" s="67"/>
      <c r="P72" s="67"/>
      <c r="Q72" s="67"/>
      <c r="R72" s="43"/>
    </row>
    <row r="73" spans="2:18">
      <c r="B73" s="67"/>
      <c r="C73" s="67"/>
      <c r="D73" s="67"/>
      <c r="E73" s="67"/>
      <c r="F73" s="67"/>
      <c r="G73" s="67"/>
      <c r="H73" s="67"/>
      <c r="I73" s="67"/>
      <c r="J73" s="67"/>
      <c r="K73" s="67"/>
      <c r="L73" s="67"/>
      <c r="M73" s="67"/>
      <c r="N73" s="67"/>
      <c r="O73" s="67"/>
      <c r="P73" s="67"/>
      <c r="Q73" s="67"/>
      <c r="R73" s="43"/>
    </row>
    <row r="74" spans="2:18">
      <c r="B74" s="67"/>
      <c r="C74" s="67"/>
      <c r="D74" s="67"/>
      <c r="E74" s="67"/>
      <c r="F74" s="67"/>
      <c r="G74" s="67"/>
      <c r="H74" s="67"/>
      <c r="I74" s="67"/>
      <c r="J74" s="67"/>
      <c r="K74" s="67"/>
      <c r="L74" s="67"/>
      <c r="M74" s="67"/>
      <c r="N74" s="67"/>
      <c r="O74" s="67"/>
      <c r="P74" s="67"/>
      <c r="Q74" s="67"/>
      <c r="R74" s="43"/>
    </row>
    <row r="75" spans="2:18">
      <c r="B75" s="67"/>
      <c r="C75" s="67"/>
      <c r="D75" s="67"/>
      <c r="E75" s="67"/>
      <c r="F75" s="67"/>
      <c r="G75" s="67"/>
      <c r="H75" s="67"/>
      <c r="I75" s="67"/>
      <c r="J75" s="67"/>
      <c r="K75" s="67"/>
      <c r="L75" s="67"/>
      <c r="M75" s="67"/>
      <c r="N75" s="67"/>
      <c r="O75" s="67"/>
      <c r="P75" s="67"/>
      <c r="Q75" s="67"/>
      <c r="R75" s="43"/>
    </row>
    <row r="76" spans="2:18">
      <c r="B76" s="67"/>
      <c r="C76" s="67"/>
      <c r="D76" s="67"/>
      <c r="E76" s="67"/>
      <c r="F76" s="67"/>
      <c r="G76" s="67"/>
      <c r="H76" s="67"/>
      <c r="I76" s="67"/>
      <c r="J76" s="67"/>
      <c r="K76" s="67"/>
      <c r="L76" s="67"/>
      <c r="M76" s="67"/>
      <c r="N76" s="67"/>
      <c r="O76" s="67"/>
      <c r="P76" s="67"/>
      <c r="Q76" s="67"/>
      <c r="R76" s="43"/>
    </row>
    <row r="77" spans="2:18">
      <c r="B77" s="67"/>
      <c r="C77" s="67"/>
      <c r="D77" s="67"/>
      <c r="E77" s="67"/>
      <c r="F77" s="67"/>
      <c r="G77" s="67"/>
      <c r="H77" s="67"/>
      <c r="I77" s="67"/>
      <c r="J77" s="67"/>
      <c r="K77" s="67"/>
      <c r="L77" s="67"/>
      <c r="M77" s="67"/>
      <c r="N77" s="67"/>
      <c r="O77" s="67"/>
      <c r="P77" s="67"/>
      <c r="Q77" s="67"/>
      <c r="R77" s="43"/>
    </row>
    <row r="78" spans="2:18">
      <c r="B78" s="67"/>
      <c r="C78" s="67"/>
      <c r="D78" s="67"/>
      <c r="E78" s="67"/>
      <c r="F78" s="67"/>
      <c r="G78" s="67"/>
      <c r="H78" s="67"/>
      <c r="I78" s="67"/>
      <c r="J78" s="67"/>
      <c r="K78" s="67"/>
      <c r="L78" s="67"/>
      <c r="M78" s="67"/>
      <c r="N78" s="67"/>
      <c r="O78" s="67"/>
      <c r="P78" s="67"/>
      <c r="Q78" s="67"/>
      <c r="R78" s="43"/>
    </row>
    <row r="79" spans="2:18">
      <c r="B79" s="67"/>
      <c r="C79" s="67"/>
      <c r="D79" s="67"/>
      <c r="E79" s="67"/>
      <c r="F79" s="67"/>
      <c r="G79" s="67"/>
      <c r="H79" s="67"/>
      <c r="I79" s="67"/>
      <c r="J79" s="67"/>
      <c r="K79" s="67"/>
      <c r="L79" s="67"/>
      <c r="M79" s="67"/>
      <c r="N79" s="67"/>
      <c r="O79" s="67"/>
      <c r="P79" s="67"/>
      <c r="Q79" s="67"/>
      <c r="R79" s="43"/>
    </row>
    <row r="80" spans="2:18">
      <c r="B80" s="67"/>
      <c r="C80" s="67"/>
      <c r="D80" s="67"/>
      <c r="E80" s="67"/>
      <c r="F80" s="67"/>
      <c r="G80" s="67"/>
      <c r="H80" s="67"/>
      <c r="I80" s="67"/>
      <c r="J80" s="67"/>
      <c r="K80" s="67"/>
      <c r="L80" s="67"/>
      <c r="M80" s="67"/>
      <c r="N80" s="67"/>
      <c r="O80" s="67"/>
      <c r="P80" s="67"/>
      <c r="Q80" s="67"/>
      <c r="R80" s="43"/>
    </row>
    <row r="81" spans="2:18">
      <c r="B81" s="67"/>
      <c r="C81" s="67"/>
      <c r="D81" s="67"/>
      <c r="E81" s="67"/>
      <c r="F81" s="67"/>
      <c r="G81" s="67"/>
      <c r="H81" s="67"/>
      <c r="I81" s="67"/>
      <c r="J81" s="67"/>
      <c r="K81" s="67"/>
      <c r="L81" s="67"/>
      <c r="M81" s="67"/>
      <c r="N81" s="67"/>
      <c r="O81" s="67"/>
      <c r="P81" s="67"/>
      <c r="Q81" s="67"/>
      <c r="R81" s="43"/>
    </row>
    <row r="82" spans="2:18">
      <c r="B82" s="67"/>
      <c r="C82" s="67"/>
      <c r="D82" s="67"/>
      <c r="E82" s="67"/>
      <c r="F82" s="67"/>
      <c r="G82" s="67"/>
      <c r="H82" s="67"/>
      <c r="I82" s="67"/>
      <c r="J82" s="67"/>
      <c r="K82" s="67"/>
      <c r="L82" s="67"/>
      <c r="M82" s="67"/>
      <c r="N82" s="67"/>
      <c r="O82" s="67"/>
      <c r="P82" s="67"/>
      <c r="Q82" s="67"/>
      <c r="R82" s="43"/>
    </row>
    <row r="83" spans="2:18">
      <c r="B83" s="67"/>
      <c r="C83" s="67"/>
      <c r="D83" s="67"/>
      <c r="E83" s="67"/>
      <c r="F83" s="67"/>
      <c r="G83" s="67"/>
      <c r="H83" s="67"/>
      <c r="I83" s="67"/>
      <c r="J83" s="67"/>
      <c r="K83" s="67"/>
      <c r="L83" s="67"/>
      <c r="M83" s="67"/>
      <c r="N83" s="67"/>
      <c r="O83" s="67"/>
      <c r="P83" s="67"/>
      <c r="Q83" s="67"/>
      <c r="R83" s="43"/>
    </row>
    <row r="84" spans="2:18">
      <c r="B84" s="67"/>
      <c r="C84" s="67"/>
      <c r="D84" s="67"/>
      <c r="E84" s="67"/>
      <c r="F84" s="67"/>
      <c r="G84" s="67"/>
      <c r="H84" s="67"/>
      <c r="I84" s="67"/>
      <c r="J84" s="67"/>
      <c r="K84" s="67"/>
      <c r="L84" s="67"/>
      <c r="M84" s="67"/>
      <c r="N84" s="67"/>
      <c r="O84" s="67"/>
      <c r="P84" s="67"/>
      <c r="Q84" s="67"/>
      <c r="R84" s="43"/>
    </row>
    <row r="85" spans="2:18">
      <c r="B85" s="67"/>
      <c r="C85" s="67"/>
      <c r="D85" s="67"/>
      <c r="E85" s="67"/>
      <c r="F85" s="67"/>
      <c r="G85" s="67"/>
      <c r="H85" s="67"/>
      <c r="I85" s="67"/>
      <c r="J85" s="67"/>
      <c r="K85" s="67"/>
      <c r="L85" s="67"/>
      <c r="M85" s="67"/>
      <c r="N85" s="67"/>
      <c r="O85" s="67"/>
      <c r="P85" s="67"/>
      <c r="Q85" s="67"/>
      <c r="R85" s="43"/>
    </row>
    <row r="86" spans="2:18">
      <c r="B86" s="67"/>
      <c r="C86" s="67"/>
      <c r="D86" s="67"/>
      <c r="E86" s="67"/>
      <c r="F86" s="67"/>
      <c r="G86" s="67"/>
      <c r="H86" s="67"/>
      <c r="I86" s="67"/>
      <c r="J86" s="67"/>
      <c r="K86" s="67"/>
      <c r="L86" s="67"/>
      <c r="M86" s="67"/>
      <c r="N86" s="67"/>
      <c r="O86" s="67"/>
      <c r="P86" s="67"/>
      <c r="Q86" s="67"/>
      <c r="R86" s="67"/>
    </row>
    <row r="87" spans="2:18">
      <c r="B87" s="67"/>
      <c r="C87" s="67"/>
      <c r="D87" s="67"/>
      <c r="E87" s="67"/>
      <c r="F87" s="67"/>
      <c r="G87" s="67"/>
      <c r="H87" s="67"/>
      <c r="I87" s="67"/>
      <c r="J87" s="67"/>
      <c r="K87" s="67"/>
      <c r="L87" s="67"/>
      <c r="M87" s="67"/>
      <c r="N87" s="67"/>
      <c r="O87" s="67"/>
      <c r="P87" s="67"/>
      <c r="Q87" s="67"/>
      <c r="R87" s="67"/>
    </row>
    <row r="88" spans="2:18">
      <c r="B88" s="67"/>
      <c r="C88" s="67"/>
      <c r="D88" s="67"/>
      <c r="E88" s="67"/>
      <c r="F88" s="67"/>
      <c r="G88" s="67"/>
      <c r="H88" s="67"/>
      <c r="I88" s="67"/>
      <c r="J88" s="67"/>
      <c r="K88" s="67"/>
      <c r="L88" s="67"/>
      <c r="M88" s="67"/>
      <c r="N88" s="67"/>
      <c r="O88" s="67"/>
      <c r="P88" s="67"/>
      <c r="Q88" s="67"/>
      <c r="R88" s="67"/>
    </row>
    <row r="89" spans="2:18">
      <c r="B89" s="67"/>
      <c r="C89" s="67"/>
      <c r="D89" s="67"/>
      <c r="E89" s="67"/>
      <c r="F89" s="67"/>
      <c r="G89" s="67"/>
      <c r="H89" s="67"/>
      <c r="I89" s="67"/>
      <c r="J89" s="67"/>
      <c r="K89" s="67"/>
      <c r="L89" s="67"/>
      <c r="M89" s="67"/>
      <c r="N89" s="67"/>
      <c r="O89" s="67"/>
      <c r="P89" s="67"/>
      <c r="Q89" s="67"/>
      <c r="R89" s="67"/>
    </row>
    <row r="98" spans="2:10">
      <c r="B98" s="67" t="e">
        <f>#REF!+#REF!</f>
        <v>#REF!</v>
      </c>
      <c r="C98" s="67" t="e">
        <f>#REF!+#REF!</f>
        <v>#REF!</v>
      </c>
      <c r="D98" s="67" t="e">
        <f>#REF!+#REF!</f>
        <v>#REF!</v>
      </c>
      <c r="E98" s="67" t="e">
        <f>#REF!+#REF!</f>
        <v>#REF!</v>
      </c>
      <c r="F98" s="67" t="e">
        <f>#REF!+#REF!</f>
        <v>#REF!</v>
      </c>
      <c r="G98" s="67" t="e">
        <f>#REF!+#REF!</f>
        <v>#REF!</v>
      </c>
      <c r="H98" s="67" t="e">
        <f>#REF!+#REF!</f>
        <v>#REF!</v>
      </c>
      <c r="I98" s="67" t="e">
        <f>#REF!+#REF!</f>
        <v>#REF!</v>
      </c>
      <c r="J98" s="67" t="e">
        <f>#REF!+#REF!</f>
        <v>#REF!</v>
      </c>
    </row>
    <row r="99" spans="2:10">
      <c r="B99" s="67"/>
      <c r="C99" s="67"/>
      <c r="D99" s="67"/>
      <c r="E99" s="67"/>
      <c r="F99" s="67"/>
      <c r="G99" s="67"/>
      <c r="H99" s="67"/>
      <c r="I99" s="67"/>
      <c r="J99" s="67"/>
    </row>
    <row r="100" spans="2:10">
      <c r="B100" s="67" t="e">
        <f t="shared" ref="B100:H100" si="3">B98/B10*100</f>
        <v>#REF!</v>
      </c>
      <c r="C100" s="67" t="e">
        <f t="shared" si="3"/>
        <v>#REF!</v>
      </c>
      <c r="D100" s="67" t="e">
        <f t="shared" si="3"/>
        <v>#REF!</v>
      </c>
      <c r="E100" s="67" t="e">
        <f t="shared" si="3"/>
        <v>#REF!</v>
      </c>
      <c r="F100" s="67" t="e">
        <f t="shared" si="3"/>
        <v>#REF!</v>
      </c>
      <c r="G100" s="67" t="e">
        <f t="shared" si="3"/>
        <v>#REF!</v>
      </c>
      <c r="H100" s="67" t="e">
        <f t="shared" si="3"/>
        <v>#REF!</v>
      </c>
      <c r="I100" s="67" t="e">
        <f>I98/I10*100</f>
        <v>#REF!</v>
      </c>
      <c r="J100" s="67" t="e">
        <f>J98/J10*100</f>
        <v>#REF!</v>
      </c>
    </row>
    <row r="101" spans="2:10">
      <c r="B101" s="67"/>
      <c r="C101" s="67"/>
      <c r="D101" s="67"/>
      <c r="E101" s="67"/>
      <c r="F101" s="67"/>
      <c r="G101" s="67"/>
      <c r="H101" s="67"/>
      <c r="I101" s="67"/>
      <c r="J101" s="67"/>
    </row>
    <row r="102" spans="2:10">
      <c r="B102" s="67" t="e">
        <f>#REF!+#REF!+#REF!</f>
        <v>#REF!</v>
      </c>
      <c r="C102" s="67" t="e">
        <f>#REF!+#REF!+#REF!</f>
        <v>#REF!</v>
      </c>
      <c r="D102" s="67" t="e">
        <f>#REF!+#REF!+#REF!</f>
        <v>#REF!</v>
      </c>
      <c r="E102" s="67" t="e">
        <f>#REF!+#REF!+#REF!</f>
        <v>#REF!</v>
      </c>
      <c r="F102" s="67" t="e">
        <f>#REF!+#REF!+#REF!</f>
        <v>#REF!</v>
      </c>
      <c r="G102" s="67" t="e">
        <f>#REF!+#REF!+#REF!</f>
        <v>#REF!</v>
      </c>
      <c r="H102" s="67" t="e">
        <f>#REF!+#REF!+#REF!</f>
        <v>#REF!</v>
      </c>
      <c r="I102" s="67" t="e">
        <f>#REF!+#REF!+#REF!</f>
        <v>#REF!</v>
      </c>
      <c r="J102" s="67" t="e">
        <f>#REF!+#REF!+#REF!</f>
        <v>#REF!</v>
      </c>
    </row>
    <row r="103" spans="2:10">
      <c r="B103" s="67"/>
      <c r="C103" s="67"/>
      <c r="D103" s="67"/>
      <c r="E103" s="67"/>
      <c r="F103" s="67"/>
      <c r="G103" s="67"/>
      <c r="H103" s="67"/>
      <c r="I103" s="67"/>
      <c r="J103" s="67"/>
    </row>
    <row r="104" spans="2:10">
      <c r="B104" s="67" t="e">
        <f t="shared" ref="B104:H104" si="4">B102/B10*100</f>
        <v>#REF!</v>
      </c>
      <c r="C104" s="67" t="e">
        <f t="shared" si="4"/>
        <v>#REF!</v>
      </c>
      <c r="D104" s="67" t="e">
        <f t="shared" si="4"/>
        <v>#REF!</v>
      </c>
      <c r="E104" s="67" t="e">
        <f t="shared" si="4"/>
        <v>#REF!</v>
      </c>
      <c r="F104" s="67" t="e">
        <f t="shared" si="4"/>
        <v>#REF!</v>
      </c>
      <c r="G104" s="67" t="e">
        <f t="shared" si="4"/>
        <v>#REF!</v>
      </c>
      <c r="H104" s="67" t="e">
        <f t="shared" si="4"/>
        <v>#REF!</v>
      </c>
      <c r="I104" s="67" t="e">
        <f>I102/I10*100</f>
        <v>#REF!</v>
      </c>
      <c r="J104" s="67" t="e">
        <f>J102/J10*100</f>
        <v>#REF!</v>
      </c>
    </row>
    <row r="106" spans="2:10">
      <c r="B106" s="67" t="e">
        <f>#REF!+#REF!</f>
        <v>#REF!</v>
      </c>
      <c r="C106" s="67" t="e">
        <f>#REF!+#REF!</f>
        <v>#REF!</v>
      </c>
      <c r="D106" s="67" t="e">
        <f>#REF!+#REF!</f>
        <v>#REF!</v>
      </c>
      <c r="E106" s="67" t="e">
        <f>#REF!+#REF!</f>
        <v>#REF!</v>
      </c>
      <c r="F106" s="67" t="e">
        <f>#REF!+#REF!</f>
        <v>#REF!</v>
      </c>
      <c r="G106" s="67" t="e">
        <f>#REF!+#REF!</f>
        <v>#REF!</v>
      </c>
      <c r="H106" s="67" t="e">
        <f>#REF!+#REF!</f>
        <v>#REF!</v>
      </c>
      <c r="I106" s="67" t="e">
        <f>#REF!+#REF!</f>
        <v>#REF!</v>
      </c>
      <c r="J106" s="67" t="e">
        <f>#REF!+#REF!</f>
        <v>#REF!</v>
      </c>
    </row>
  </sheetData>
  <printOptions horizontalCentered="1" verticalCentered="1"/>
  <pageMargins left="1.37" right="0.25" top="0.49" bottom="0.2" header="0.2" footer="0.2"/>
  <pageSetup paperSize="9" scale="85" orientation="landscape" r:id="rId1"/>
  <headerFooter alignWithMargins="0">
    <oddHeader>&amp;C&amp;"Arial,Bold"&amp;12ROYALE de CASA
(A UNIT OF ROYALE INDIA PVT. LTD.)</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E7243-1D05-4BFE-98EB-EAC2056484C9}">
  <dimension ref="A1:Z170"/>
  <sheetViews>
    <sheetView view="pageBreakPreview" topLeftCell="A19" zoomScale="121" zoomScaleNormal="100" zoomScaleSheetLayoutView="100" zoomScalePageLayoutView="40" workbookViewId="0">
      <selection activeCell="D37" sqref="D37"/>
    </sheetView>
  </sheetViews>
  <sheetFormatPr defaultRowHeight="12.75"/>
  <cols>
    <col min="1" max="1" width="33.7109375" style="51" customWidth="1"/>
    <col min="2" max="2" width="9.140625" style="51" customWidth="1"/>
    <col min="3" max="3" width="13.85546875" style="51" customWidth="1"/>
    <col min="4" max="4" width="10.42578125" style="51" bestFit="1" customWidth="1"/>
    <col min="5" max="9" width="8.28515625" style="51" bestFit="1" customWidth="1"/>
    <col min="10" max="10" width="9.140625" style="51" customWidth="1"/>
    <col min="11" max="11" width="8.28515625" style="51" customWidth="1"/>
    <col min="12" max="13" width="9.140625" style="51" hidden="1" customWidth="1"/>
    <col min="14" max="14" width="9.140625" style="51" customWidth="1"/>
    <col min="15" max="15" width="9.140625" style="51"/>
    <col min="16" max="20" width="9.28515625" style="51" bestFit="1" customWidth="1"/>
    <col min="21" max="25" width="9.42578125" style="51" bestFit="1" customWidth="1"/>
    <col min="26" max="26" width="9.28515625" style="51" bestFit="1" customWidth="1"/>
    <col min="27" max="16384" width="9.140625" style="51"/>
  </cols>
  <sheetData>
    <row r="1" spans="1:21" ht="4.5" customHeight="1"/>
    <row r="2" spans="1:21">
      <c r="D2" s="675">
        <f>Pages!D28</f>
        <v>28</v>
      </c>
    </row>
    <row r="3" spans="1:21" ht="5.25" customHeight="1"/>
    <row r="4" spans="1:21">
      <c r="D4" s="999" t="s">
        <v>139</v>
      </c>
      <c r="E4" s="999"/>
      <c r="F4" s="999"/>
    </row>
    <row r="5" spans="1:21">
      <c r="C5" s="1021" t="s">
        <v>140</v>
      </c>
      <c r="D5" s="1021"/>
      <c r="E5" s="1021"/>
      <c r="F5" s="999"/>
    </row>
    <row r="6" spans="1:21">
      <c r="D6" s="1008"/>
      <c r="E6" s="1008"/>
      <c r="J6" s="306" t="s">
        <v>141</v>
      </c>
    </row>
    <row r="7" spans="1:21">
      <c r="U7" s="84"/>
    </row>
    <row r="8" spans="1:21">
      <c r="A8" s="998" t="s">
        <v>93</v>
      </c>
      <c r="B8" s="998"/>
      <c r="C8" s="998"/>
      <c r="D8" s="172" t="str">
        <f>'B  S '!E8</f>
        <v>Year1</v>
      </c>
      <c r="E8" s="172" t="str">
        <f>'B  S '!F8</f>
        <v>Year2</v>
      </c>
      <c r="F8" s="172" t="str">
        <f>'B  S '!G8</f>
        <v>Year3</v>
      </c>
      <c r="G8" s="172" t="str">
        <f>'B  S '!H8</f>
        <v>Year4</v>
      </c>
      <c r="H8" s="172" t="str">
        <f>'B  S '!I8</f>
        <v>Year5</v>
      </c>
      <c r="I8" s="172" t="str">
        <f>'B  S '!J8</f>
        <v>Year6</v>
      </c>
      <c r="J8" s="172" t="str">
        <f>'B  S '!K8</f>
        <v>Year7</v>
      </c>
      <c r="K8" s="172" t="str">
        <f>'B  S '!L8</f>
        <v>Year8</v>
      </c>
      <c r="L8" s="172" t="str">
        <f>'B  S '!M8</f>
        <v>Year9</v>
      </c>
      <c r="M8" s="172" t="str">
        <f>'B  S '!N8</f>
        <v>Year10</v>
      </c>
      <c r="N8" s="82"/>
      <c r="O8" s="82"/>
      <c r="P8" s="82"/>
      <c r="Q8" s="82"/>
      <c r="R8" s="82"/>
      <c r="S8" s="82"/>
      <c r="T8" s="82"/>
      <c r="U8" s="82"/>
    </row>
    <row r="9" spans="1:21">
      <c r="A9" s="83"/>
      <c r="B9" s="84"/>
      <c r="C9" s="84"/>
      <c r="D9" s="84"/>
      <c r="E9" s="84"/>
      <c r="F9" s="84"/>
      <c r="G9" s="84"/>
      <c r="H9" s="84"/>
      <c r="I9" s="84"/>
      <c r="J9" s="84"/>
      <c r="K9" s="84"/>
      <c r="L9" s="84"/>
      <c r="M9" s="84"/>
      <c r="N9" s="84"/>
      <c r="O9" s="84"/>
      <c r="P9" s="84"/>
      <c r="Q9" s="84"/>
      <c r="R9" s="84"/>
      <c r="S9" s="84"/>
      <c r="T9" s="84"/>
      <c r="U9" s="84"/>
    </row>
    <row r="10" spans="1:21">
      <c r="A10" s="83" t="s">
        <v>142</v>
      </c>
      <c r="B10" s="84"/>
      <c r="C10" s="84"/>
      <c r="D10" s="43">
        <f>SALESPROJECTION!E74</f>
        <v>3668.25</v>
      </c>
      <c r="E10" s="43">
        <f>SALESPROJECTION!F74</f>
        <v>3668.25</v>
      </c>
      <c r="F10" s="43">
        <f>SALESPROJECTION!G74</f>
        <v>3668.25</v>
      </c>
      <c r="G10" s="43">
        <f>SALESPROJECTION!H74</f>
        <v>3668.25</v>
      </c>
      <c r="H10" s="43">
        <f>SALESPROJECTION!I74</f>
        <v>3668.25</v>
      </c>
      <c r="I10" s="43">
        <f>SALESPROJECTION!J74</f>
        <v>3668.25</v>
      </c>
      <c r="J10" s="43">
        <f>SALESPROJECTION!K74</f>
        <v>3668.25</v>
      </c>
      <c r="K10" s="43">
        <f>SALESPROJECTION!L74</f>
        <v>3668.25</v>
      </c>
      <c r="L10" s="43">
        <f>SALESPROJECTION!M74</f>
        <v>3668.25</v>
      </c>
      <c r="M10" s="43">
        <f>SALESPROJECTION!N74</f>
        <v>3668.25</v>
      </c>
      <c r="N10" s="43"/>
      <c r="O10" s="43"/>
      <c r="P10" s="43"/>
      <c r="Q10" s="43"/>
      <c r="R10" s="43"/>
      <c r="S10" s="43"/>
      <c r="T10" s="43"/>
      <c r="U10" s="43"/>
    </row>
    <row r="11" spans="1:21">
      <c r="A11" s="83" t="s">
        <v>143</v>
      </c>
      <c r="B11" s="84"/>
      <c r="C11" s="84"/>
      <c r="D11" s="43">
        <f>SALESPROJECTION!E75</f>
        <v>884.33568749999995</v>
      </c>
      <c r="E11" s="43">
        <f>SALESPROJECTION!F75</f>
        <v>884.33568749999995</v>
      </c>
      <c r="F11" s="43">
        <f>SALESPROJECTION!G75</f>
        <v>884.33568749999995</v>
      </c>
      <c r="G11" s="43">
        <f>SALESPROJECTION!H75</f>
        <v>884.33568749999995</v>
      </c>
      <c r="H11" s="43">
        <f>SALESPROJECTION!I75</f>
        <v>884.33568749999995</v>
      </c>
      <c r="I11" s="43">
        <f>SALESPROJECTION!J75</f>
        <v>884.33568749999995</v>
      </c>
      <c r="J11" s="43">
        <f>SALESPROJECTION!K75</f>
        <v>884.33568749999995</v>
      </c>
      <c r="K11" s="43">
        <f>SALESPROJECTION!L75</f>
        <v>884.33568749999995</v>
      </c>
      <c r="L11" s="43">
        <f>SALESPROJECTION!M75</f>
        <v>884.33568749999995</v>
      </c>
      <c r="M11" s="43">
        <f>SALESPROJECTION!N75</f>
        <v>884.33568749999995</v>
      </c>
      <c r="N11" s="43"/>
      <c r="O11" s="43"/>
      <c r="P11" s="43"/>
      <c r="Q11" s="43"/>
      <c r="R11" s="43"/>
      <c r="S11" s="43"/>
      <c r="T11" s="43"/>
      <c r="U11" s="43"/>
    </row>
    <row r="12" spans="1:21">
      <c r="A12" s="67" t="s">
        <v>144</v>
      </c>
      <c r="B12" s="84"/>
      <c r="C12" s="84"/>
      <c r="D12" s="43">
        <f>SALESPROJECTION!E76</f>
        <v>195</v>
      </c>
      <c r="E12" s="43">
        <f>SALESPROJECTION!F76</f>
        <v>195</v>
      </c>
      <c r="F12" s="43">
        <f>SALESPROJECTION!G76</f>
        <v>195</v>
      </c>
      <c r="G12" s="43">
        <f>SALESPROJECTION!H76</f>
        <v>195</v>
      </c>
      <c r="H12" s="43">
        <f>SALESPROJECTION!I76</f>
        <v>195</v>
      </c>
      <c r="I12" s="43">
        <f>SALESPROJECTION!J76</f>
        <v>195</v>
      </c>
      <c r="J12" s="43">
        <f>SALESPROJECTION!K76</f>
        <v>195</v>
      </c>
      <c r="K12" s="43">
        <f>SALESPROJECTION!L76</f>
        <v>195</v>
      </c>
      <c r="L12" s="43">
        <f>SALESPROJECTION!M76</f>
        <v>195</v>
      </c>
      <c r="M12" s="43">
        <f>SALESPROJECTION!N76</f>
        <v>195</v>
      </c>
      <c r="N12" s="43"/>
      <c r="O12" s="43"/>
      <c r="P12" s="43"/>
      <c r="Q12" s="43"/>
      <c r="R12" s="43"/>
      <c r="S12" s="43"/>
      <c r="T12" s="43"/>
      <c r="U12" s="43"/>
    </row>
    <row r="13" spans="1:21">
      <c r="A13" s="67" t="str">
        <f>SALESPROJECTION!A77</f>
        <v>Fitness Centre</v>
      </c>
      <c r="B13" s="84"/>
      <c r="C13" s="84"/>
      <c r="D13" s="43">
        <f>SALESPROJECTION!E77</f>
        <v>24</v>
      </c>
      <c r="E13" s="43">
        <f>SALESPROJECTION!F77</f>
        <v>24</v>
      </c>
      <c r="F13" s="43">
        <f>SALESPROJECTION!G77</f>
        <v>24</v>
      </c>
      <c r="G13" s="43">
        <f>SALESPROJECTION!H77</f>
        <v>24</v>
      </c>
      <c r="H13" s="43">
        <f>SALESPROJECTION!I77</f>
        <v>24</v>
      </c>
      <c r="I13" s="43">
        <f>SALESPROJECTION!J77</f>
        <v>24</v>
      </c>
      <c r="J13" s="43">
        <f>SALESPROJECTION!K77</f>
        <v>24</v>
      </c>
      <c r="K13" s="43">
        <f>SALESPROJECTION!L77</f>
        <v>24</v>
      </c>
      <c r="L13" s="43">
        <f>SALESPROJECTION!M77</f>
        <v>24</v>
      </c>
      <c r="M13" s="43">
        <f>SALESPROJECTION!N77</f>
        <v>24</v>
      </c>
      <c r="N13" s="43"/>
      <c r="O13" s="43"/>
      <c r="P13" s="43"/>
      <c r="Q13" s="43"/>
      <c r="R13" s="43"/>
      <c r="S13" s="43"/>
      <c r="T13" s="43"/>
      <c r="U13" s="43"/>
    </row>
    <row r="14" spans="1:21">
      <c r="A14" s="67" t="str">
        <f>SALESPROJECTION!A78</f>
        <v>Game Parlour</v>
      </c>
      <c r="B14" s="84"/>
      <c r="C14" s="84"/>
      <c r="D14" s="43">
        <f>SALESPROJECTION!E78</f>
        <v>87.75</v>
      </c>
      <c r="E14" s="43">
        <f>SALESPROJECTION!F78</f>
        <v>87.75</v>
      </c>
      <c r="F14" s="43">
        <f>SALESPROJECTION!G78</f>
        <v>87.75</v>
      </c>
      <c r="G14" s="43">
        <f>SALESPROJECTION!H78</f>
        <v>87.75</v>
      </c>
      <c r="H14" s="43">
        <f>SALESPROJECTION!I78</f>
        <v>87.75</v>
      </c>
      <c r="I14" s="43">
        <f>SALESPROJECTION!J78</f>
        <v>87.75</v>
      </c>
      <c r="J14" s="43">
        <f>SALESPROJECTION!K78</f>
        <v>87.75</v>
      </c>
      <c r="K14" s="43">
        <f>SALESPROJECTION!L78</f>
        <v>87.75</v>
      </c>
      <c r="L14" s="43">
        <f>SALESPROJECTION!M78</f>
        <v>87.75</v>
      </c>
      <c r="M14" s="43">
        <f>SALESPROJECTION!N78</f>
        <v>87.75</v>
      </c>
      <c r="N14" s="43"/>
      <c r="O14" s="43"/>
      <c r="P14" s="43"/>
      <c r="Q14" s="43"/>
      <c r="R14" s="43"/>
      <c r="S14" s="43"/>
      <c r="T14" s="43"/>
      <c r="U14" s="43"/>
    </row>
    <row r="15" spans="1:21">
      <c r="A15" s="67" t="s">
        <v>145</v>
      </c>
      <c r="B15" s="84"/>
      <c r="C15" s="84"/>
      <c r="D15" s="43">
        <f>SALESPROJECTION!E79</f>
        <v>45</v>
      </c>
      <c r="E15" s="43">
        <f>SALESPROJECTION!F79</f>
        <v>45</v>
      </c>
      <c r="F15" s="43">
        <f>SALESPROJECTION!G79</f>
        <v>45</v>
      </c>
      <c r="G15" s="43">
        <f>SALESPROJECTION!H79</f>
        <v>45</v>
      </c>
      <c r="H15" s="43">
        <f>SALESPROJECTION!I79</f>
        <v>45</v>
      </c>
      <c r="I15" s="43">
        <f>SALESPROJECTION!J79</f>
        <v>45</v>
      </c>
      <c r="J15" s="43">
        <f>SALESPROJECTION!K79</f>
        <v>45</v>
      </c>
      <c r="K15" s="43">
        <f>SALESPROJECTION!L79</f>
        <v>45</v>
      </c>
      <c r="L15" s="43">
        <f>SALESPROJECTION!M79</f>
        <v>45</v>
      </c>
      <c r="M15" s="43">
        <f>SALESPROJECTION!N79</f>
        <v>45</v>
      </c>
      <c r="N15" s="43"/>
      <c r="O15" s="43"/>
      <c r="P15" s="43"/>
      <c r="Q15" s="43"/>
      <c r="R15" s="43"/>
      <c r="S15" s="43"/>
      <c r="T15" s="43"/>
      <c r="U15" s="43"/>
    </row>
    <row r="16" spans="1:21">
      <c r="A16" s="83" t="s">
        <v>146</v>
      </c>
      <c r="B16" s="84"/>
      <c r="C16" s="84"/>
      <c r="D16" s="43">
        <f>SALESPROJECTION!E80</f>
        <v>125.7521971153846</v>
      </c>
      <c r="E16" s="43">
        <f>SALESPROJECTION!F80</f>
        <v>125.7521971153846</v>
      </c>
      <c r="F16" s="43">
        <f>SALESPROJECTION!G80</f>
        <v>125.7521971153846</v>
      </c>
      <c r="G16" s="43">
        <f>SALESPROJECTION!H80</f>
        <v>125.7521971153846</v>
      </c>
      <c r="H16" s="43">
        <f>SALESPROJECTION!I80</f>
        <v>125.7521971153846</v>
      </c>
      <c r="I16" s="43">
        <f>SALESPROJECTION!J80</f>
        <v>125.7521971153846</v>
      </c>
      <c r="J16" s="43">
        <f>SALESPROJECTION!K80</f>
        <v>125.7521971153846</v>
      </c>
      <c r="K16" s="43">
        <f>SALESPROJECTION!L80</f>
        <v>125.7521971153846</v>
      </c>
      <c r="L16" s="43">
        <f>SALESPROJECTION!M80</f>
        <v>125.7521971153846</v>
      </c>
      <c r="M16" s="43">
        <f>SALESPROJECTION!N80</f>
        <v>125.7521971153846</v>
      </c>
      <c r="N16" s="43"/>
      <c r="O16" s="43"/>
      <c r="P16" s="43"/>
      <c r="Q16" s="43"/>
      <c r="R16" s="43"/>
      <c r="S16" s="43"/>
      <c r="T16" s="43"/>
      <c r="U16" s="43"/>
    </row>
    <row r="17" spans="1:26">
      <c r="A17" s="77" t="s">
        <v>124</v>
      </c>
      <c r="B17" s="78"/>
      <c r="C17" s="78"/>
      <c r="D17" s="6">
        <f>SUM(D10:D16)</f>
        <v>5030.0878846153846</v>
      </c>
      <c r="E17" s="6">
        <f t="shared" ref="E17:J17" si="0">SUM(E10:E16)</f>
        <v>5030.0878846153846</v>
      </c>
      <c r="F17" s="6">
        <f t="shared" si="0"/>
        <v>5030.0878846153846</v>
      </c>
      <c r="G17" s="6">
        <f t="shared" si="0"/>
        <v>5030.0878846153846</v>
      </c>
      <c r="H17" s="6">
        <f t="shared" si="0"/>
        <v>5030.0878846153846</v>
      </c>
      <c r="I17" s="6">
        <f t="shared" si="0"/>
        <v>5030.0878846153846</v>
      </c>
      <c r="J17" s="6">
        <f t="shared" si="0"/>
        <v>5030.0878846153846</v>
      </c>
      <c r="K17" s="6">
        <f>SUM(K10:K16)</f>
        <v>5030.0878846153846</v>
      </c>
      <c r="L17" s="6">
        <f>SUM(L10:L16)</f>
        <v>5030.0878846153846</v>
      </c>
      <c r="M17" s="6">
        <f>SUM(M10:M16)</f>
        <v>5030.0878846153846</v>
      </c>
      <c r="N17" s="6"/>
      <c r="O17" s="6"/>
      <c r="P17" s="6"/>
      <c r="Q17" s="6"/>
      <c r="R17" s="6"/>
      <c r="S17" s="6"/>
      <c r="T17" s="6"/>
      <c r="U17" s="43">
        <f>E17-SALESPROJECTION!F81</f>
        <v>0</v>
      </c>
      <c r="V17" s="43">
        <f>F17-SALESPROJECTION!G81</f>
        <v>0</v>
      </c>
      <c r="W17" s="43">
        <f>G17-SALESPROJECTION!H81</f>
        <v>0</v>
      </c>
      <c r="X17" s="43">
        <f>H17-SALESPROJECTION!I81</f>
        <v>0</v>
      </c>
      <c r="Y17" s="43">
        <f>I17-SALESPROJECTION!J81</f>
        <v>0</v>
      </c>
      <c r="Z17" s="43">
        <f>J17-SALESPROJECTION!K81</f>
        <v>0</v>
      </c>
    </row>
    <row r="18" spans="1:26">
      <c r="A18" s="77" t="s">
        <v>147</v>
      </c>
      <c r="B18" s="78"/>
      <c r="C18" s="78"/>
      <c r="D18" s="79">
        <v>0.4</v>
      </c>
      <c r="E18" s="79">
        <f>D18</f>
        <v>0.4</v>
      </c>
      <c r="F18" s="79">
        <f>E18+0.05</f>
        <v>0.45</v>
      </c>
      <c r="G18" s="79">
        <f>F18+0.05</f>
        <v>0.5</v>
      </c>
      <c r="H18" s="79">
        <f>G18+5%</f>
        <v>0.55000000000000004</v>
      </c>
      <c r="I18" s="79">
        <f>H18+5%</f>
        <v>0.60000000000000009</v>
      </c>
      <c r="J18" s="79">
        <f>I18+5%</f>
        <v>0.65000000000000013</v>
      </c>
      <c r="K18" s="79">
        <f>J18+5%</f>
        <v>0.70000000000000018</v>
      </c>
      <c r="L18" s="79">
        <v>0.6</v>
      </c>
      <c r="M18" s="79">
        <v>0.6</v>
      </c>
      <c r="N18" s="79"/>
      <c r="O18" s="79"/>
      <c r="P18" s="79"/>
      <c r="Q18" s="79"/>
      <c r="R18" s="79"/>
      <c r="S18" s="79"/>
      <c r="T18" s="79"/>
      <c r="U18" s="85"/>
    </row>
    <row r="19" spans="1:26">
      <c r="A19" s="83"/>
      <c r="B19" s="84"/>
      <c r="C19" s="84"/>
      <c r="D19" s="84"/>
      <c r="E19" s="84"/>
      <c r="F19" s="84"/>
      <c r="G19" s="84"/>
      <c r="H19" s="84"/>
      <c r="I19" s="84"/>
      <c r="J19" s="84"/>
      <c r="K19" s="84"/>
      <c r="L19" s="84"/>
      <c r="M19" s="84"/>
      <c r="N19" s="84"/>
      <c r="O19" s="84"/>
      <c r="P19" s="84"/>
      <c r="Q19" s="84"/>
      <c r="R19" s="84"/>
      <c r="S19" s="84"/>
      <c r="T19" s="84"/>
      <c r="U19" s="84"/>
    </row>
    <row r="20" spans="1:26">
      <c r="A20" s="80" t="s">
        <v>148</v>
      </c>
      <c r="B20" s="78"/>
      <c r="C20" s="78"/>
      <c r="D20" s="78"/>
      <c r="E20" s="78"/>
      <c r="F20" s="78"/>
      <c r="G20" s="84"/>
      <c r="H20" s="84"/>
      <c r="I20" s="84"/>
      <c r="J20" s="84"/>
      <c r="K20" s="84"/>
      <c r="L20" s="84"/>
      <c r="M20" s="84"/>
      <c r="N20" s="84"/>
      <c r="O20" s="84"/>
      <c r="P20" s="84"/>
      <c r="Q20" s="84"/>
      <c r="R20" s="84"/>
      <c r="S20" s="84"/>
      <c r="T20" s="84"/>
      <c r="U20" s="84"/>
    </row>
    <row r="21" spans="1:26">
      <c r="A21" s="80"/>
      <c r="B21" s="78"/>
      <c r="C21" s="78"/>
      <c r="D21" s="78"/>
      <c r="E21" s="78"/>
      <c r="F21" s="78"/>
      <c r="G21" s="84"/>
      <c r="H21" s="84"/>
      <c r="I21" s="84"/>
      <c r="J21" s="84"/>
      <c r="K21" s="84"/>
      <c r="L21" s="84"/>
      <c r="M21" s="84"/>
      <c r="N21" s="84"/>
      <c r="O21" s="84"/>
      <c r="P21" s="84"/>
      <c r="Q21" s="84"/>
      <c r="R21" s="84"/>
      <c r="S21" s="84"/>
      <c r="T21" s="84"/>
      <c r="U21" s="84"/>
    </row>
    <row r="22" spans="1:26">
      <c r="A22" s="83" t="s">
        <v>149</v>
      </c>
      <c r="B22" s="84"/>
      <c r="C22" s="84"/>
      <c r="D22" s="43">
        <f t="shared" ref="D22:M22" si="1">D18*D10</f>
        <v>1467.3000000000002</v>
      </c>
      <c r="E22" s="43">
        <f t="shared" si="1"/>
        <v>1467.3000000000002</v>
      </c>
      <c r="F22" s="43">
        <f t="shared" si="1"/>
        <v>1650.7125000000001</v>
      </c>
      <c r="G22" s="43">
        <f t="shared" si="1"/>
        <v>1834.125</v>
      </c>
      <c r="H22" s="43">
        <f t="shared" si="1"/>
        <v>2017.5375000000001</v>
      </c>
      <c r="I22" s="43">
        <f t="shared" si="1"/>
        <v>2200.9500000000003</v>
      </c>
      <c r="J22" s="43">
        <f t="shared" si="1"/>
        <v>2384.3625000000006</v>
      </c>
      <c r="K22" s="43">
        <f t="shared" si="1"/>
        <v>2567.7750000000005</v>
      </c>
      <c r="L22" s="43">
        <f t="shared" si="1"/>
        <v>2200.9499999999998</v>
      </c>
      <c r="M22" s="43">
        <f t="shared" si="1"/>
        <v>2200.9499999999998</v>
      </c>
      <c r="N22" s="43"/>
      <c r="O22" s="43"/>
      <c r="P22" s="43"/>
      <c r="Q22" s="43"/>
      <c r="R22" s="43"/>
      <c r="S22" s="43"/>
      <c r="T22" s="43"/>
      <c r="U22" s="43"/>
    </row>
    <row r="23" spans="1:26">
      <c r="A23" s="83" t="s">
        <v>143</v>
      </c>
      <c r="B23" s="84"/>
      <c r="C23" s="84"/>
      <c r="D23" s="43">
        <f>$D$18*D11</f>
        <v>353.73427500000003</v>
      </c>
      <c r="E23" s="43">
        <f>$E$18*E11</f>
        <v>353.73427500000003</v>
      </c>
      <c r="F23" s="43">
        <f>$F$18*F11</f>
        <v>397.951059375</v>
      </c>
      <c r="G23" s="43">
        <f>$G$18*G11</f>
        <v>442.16784374999997</v>
      </c>
      <c r="H23" s="43">
        <f>$H$18*H11</f>
        <v>486.38462812500001</v>
      </c>
      <c r="I23" s="43">
        <f>$I$18*I11</f>
        <v>530.60141250000004</v>
      </c>
      <c r="J23" s="43">
        <f>J18*J11</f>
        <v>574.81819687500013</v>
      </c>
      <c r="K23" s="43">
        <f>K18*K11</f>
        <v>619.0349812500001</v>
      </c>
      <c r="L23" s="43">
        <f>L18*L11</f>
        <v>530.60141249999992</v>
      </c>
      <c r="M23" s="43">
        <f>M18*M11</f>
        <v>530.60141249999992</v>
      </c>
      <c r="N23" s="43">
        <f>N18*N11</f>
        <v>0</v>
      </c>
      <c r="O23" s="43"/>
      <c r="P23" s="43"/>
      <c r="Q23" s="43"/>
      <c r="R23" s="43"/>
      <c r="S23" s="43"/>
      <c r="T23" s="43"/>
      <c r="U23" s="43"/>
    </row>
    <row r="24" spans="1:26">
      <c r="A24" s="67" t="s">
        <v>144</v>
      </c>
      <c r="B24" s="84"/>
      <c r="C24" s="84"/>
      <c r="D24" s="43">
        <f>$D$18*D12</f>
        <v>78</v>
      </c>
      <c r="E24" s="43">
        <f>$E$18*E12</f>
        <v>78</v>
      </c>
      <c r="F24" s="43">
        <f>$F$18*F12</f>
        <v>87.75</v>
      </c>
      <c r="G24" s="43">
        <f>$G$18*G12</f>
        <v>97.5</v>
      </c>
      <c r="H24" s="43">
        <f>$H$18*H12</f>
        <v>107.25000000000001</v>
      </c>
      <c r="I24" s="43">
        <f>$I$18*I12</f>
        <v>117.00000000000001</v>
      </c>
      <c r="J24" s="43">
        <f>$J$18*J12</f>
        <v>126.75000000000003</v>
      </c>
      <c r="K24" s="43">
        <f>$K$18*K12</f>
        <v>136.50000000000003</v>
      </c>
      <c r="L24" s="43">
        <f>L12*L18</f>
        <v>117</v>
      </c>
      <c r="M24" s="43">
        <f>M12*M18</f>
        <v>117</v>
      </c>
      <c r="N24" s="43"/>
      <c r="O24" s="43"/>
      <c r="P24" s="43"/>
      <c r="Q24" s="43"/>
      <c r="R24" s="43"/>
      <c r="S24" s="43"/>
      <c r="T24" s="43"/>
      <c r="U24" s="43"/>
    </row>
    <row r="25" spans="1:26">
      <c r="A25" s="67" t="str">
        <f>A13</f>
        <v>Fitness Centre</v>
      </c>
      <c r="B25" s="84"/>
      <c r="C25" s="84"/>
      <c r="D25" s="43">
        <f>D13*D18</f>
        <v>9.6000000000000014</v>
      </c>
      <c r="E25" s="43">
        <f t="shared" ref="E25:M25" si="2">E13*E18</f>
        <v>9.6000000000000014</v>
      </c>
      <c r="F25" s="43">
        <f t="shared" si="2"/>
        <v>10.8</v>
      </c>
      <c r="G25" s="43">
        <f t="shared" si="2"/>
        <v>12</v>
      </c>
      <c r="H25" s="43">
        <f t="shared" si="2"/>
        <v>13.200000000000001</v>
      </c>
      <c r="I25" s="43">
        <f t="shared" si="2"/>
        <v>14.400000000000002</v>
      </c>
      <c r="J25" s="43">
        <f t="shared" si="2"/>
        <v>15.600000000000003</v>
      </c>
      <c r="K25" s="43">
        <f t="shared" si="2"/>
        <v>16.800000000000004</v>
      </c>
      <c r="L25" s="43">
        <f t="shared" si="2"/>
        <v>14.399999999999999</v>
      </c>
      <c r="M25" s="43">
        <f t="shared" si="2"/>
        <v>14.399999999999999</v>
      </c>
      <c r="N25" s="43"/>
      <c r="O25" s="43"/>
      <c r="P25" s="43"/>
      <c r="Q25" s="43"/>
      <c r="R25" s="43"/>
      <c r="S25" s="43"/>
      <c r="T25" s="43"/>
      <c r="U25" s="43"/>
    </row>
    <row r="26" spans="1:26">
      <c r="A26" s="67" t="str">
        <f>A14</f>
        <v>Game Parlour</v>
      </c>
      <c r="B26" s="84"/>
      <c r="C26" s="84"/>
      <c r="D26" s="43">
        <f>D14*D18</f>
        <v>35.1</v>
      </c>
      <c r="E26" s="43">
        <f t="shared" ref="E26:M26" si="3">E14*E18</f>
        <v>35.1</v>
      </c>
      <c r="F26" s="43">
        <f t="shared" si="3"/>
        <v>39.487500000000004</v>
      </c>
      <c r="G26" s="43">
        <f t="shared" si="3"/>
        <v>43.875</v>
      </c>
      <c r="H26" s="43">
        <f t="shared" si="3"/>
        <v>48.262500000000003</v>
      </c>
      <c r="I26" s="43">
        <f t="shared" si="3"/>
        <v>52.650000000000006</v>
      </c>
      <c r="J26" s="43">
        <f t="shared" si="3"/>
        <v>57.037500000000009</v>
      </c>
      <c r="K26" s="43">
        <f t="shared" si="3"/>
        <v>61.425000000000018</v>
      </c>
      <c r="L26" s="43">
        <f t="shared" si="3"/>
        <v>52.65</v>
      </c>
      <c r="M26" s="43">
        <f t="shared" si="3"/>
        <v>52.65</v>
      </c>
      <c r="N26" s="43"/>
      <c r="O26" s="43"/>
      <c r="P26" s="43"/>
      <c r="Q26" s="43"/>
      <c r="R26" s="43"/>
      <c r="S26" s="43"/>
      <c r="T26" s="43"/>
      <c r="U26" s="43"/>
    </row>
    <row r="27" spans="1:26">
      <c r="A27" s="67" t="s">
        <v>145</v>
      </c>
      <c r="B27" s="84"/>
      <c r="C27" s="84"/>
      <c r="D27" s="43">
        <f>$D$18*D15</f>
        <v>18</v>
      </c>
      <c r="E27" s="43">
        <f>$E$18*E15</f>
        <v>18</v>
      </c>
      <c r="F27" s="43">
        <f>$F$18*F15</f>
        <v>20.25</v>
      </c>
      <c r="G27" s="43">
        <f>$G$18*G15</f>
        <v>22.5</v>
      </c>
      <c r="H27" s="43">
        <f>$H$18*H15</f>
        <v>24.750000000000004</v>
      </c>
      <c r="I27" s="43">
        <f>$I$18*I15</f>
        <v>27.000000000000004</v>
      </c>
      <c r="J27" s="43">
        <f>$J$18*J15</f>
        <v>29.250000000000007</v>
      </c>
      <c r="K27" s="43">
        <f>$K$18*K15</f>
        <v>31.500000000000007</v>
      </c>
      <c r="L27" s="43">
        <f>L15*L18</f>
        <v>27</v>
      </c>
      <c r="M27" s="43">
        <f>M15*M18</f>
        <v>27</v>
      </c>
      <c r="N27" s="43"/>
      <c r="O27" s="43"/>
      <c r="P27" s="43"/>
      <c r="Q27" s="43"/>
      <c r="R27" s="43"/>
      <c r="S27" s="43"/>
      <c r="T27" s="43"/>
      <c r="U27" s="43"/>
    </row>
    <row r="28" spans="1:26">
      <c r="A28" s="83" t="s">
        <v>146</v>
      </c>
      <c r="B28" s="84"/>
      <c r="C28" s="84"/>
      <c r="D28" s="43">
        <f>D18*D16</f>
        <v>50.300878846153843</v>
      </c>
      <c r="E28" s="43">
        <f t="shared" ref="E28:J28" si="4">E18*E16</f>
        <v>50.300878846153843</v>
      </c>
      <c r="F28" s="43">
        <f t="shared" si="4"/>
        <v>56.588488701923076</v>
      </c>
      <c r="G28" s="43">
        <f t="shared" si="4"/>
        <v>62.876098557692302</v>
      </c>
      <c r="H28" s="43">
        <f t="shared" si="4"/>
        <v>69.163708413461535</v>
      </c>
      <c r="I28" s="43">
        <f t="shared" si="4"/>
        <v>75.451318269230768</v>
      </c>
      <c r="J28" s="43">
        <f t="shared" si="4"/>
        <v>81.738928125000015</v>
      </c>
      <c r="K28" s="43">
        <f>K18*K16</f>
        <v>88.026537980769248</v>
      </c>
      <c r="L28" s="43">
        <f>L18*L16</f>
        <v>75.451318269230754</v>
      </c>
      <c r="M28" s="43">
        <f>M18*M16</f>
        <v>75.451318269230754</v>
      </c>
      <c r="N28" s="43"/>
      <c r="O28" s="43"/>
      <c r="P28" s="43"/>
      <c r="Q28" s="43"/>
      <c r="R28" s="43"/>
      <c r="S28" s="43"/>
      <c r="T28" s="43"/>
      <c r="U28" s="43"/>
    </row>
    <row r="29" spans="1:26" ht="13.5" thickBot="1">
      <c r="A29" s="81" t="s">
        <v>150</v>
      </c>
      <c r="B29" s="53"/>
      <c r="C29" s="53"/>
      <c r="D29" s="66">
        <f>SUM(D22:D28)</f>
        <v>2012.0351538461539</v>
      </c>
      <c r="E29" s="66">
        <f>SUM(E22:E28)</f>
        <v>2012.0351538461539</v>
      </c>
      <c r="F29" s="66">
        <f t="shared" ref="F29:K29" si="5">SUM(F22:F28)</f>
        <v>2263.5395480769234</v>
      </c>
      <c r="G29" s="66">
        <f t="shared" si="5"/>
        <v>2515.0439423076923</v>
      </c>
      <c r="H29" s="66">
        <f t="shared" si="5"/>
        <v>2766.5483365384612</v>
      </c>
      <c r="I29" s="66">
        <f t="shared" si="5"/>
        <v>3018.0527307692314</v>
      </c>
      <c r="J29" s="66">
        <f t="shared" si="5"/>
        <v>3269.5571250000003</v>
      </c>
      <c r="K29" s="66">
        <f t="shared" si="5"/>
        <v>3521.06151923077</v>
      </c>
      <c r="L29" s="66">
        <f>SUM(L22:L28)</f>
        <v>3018.0527307692309</v>
      </c>
      <c r="M29" s="66">
        <f>SUM(M22:M28)</f>
        <v>3018.0527307692309</v>
      </c>
      <c r="N29" s="6"/>
      <c r="O29" s="6"/>
      <c r="P29" s="6"/>
      <c r="Q29" s="6"/>
      <c r="R29" s="6"/>
      <c r="S29" s="6"/>
      <c r="T29" s="6"/>
      <c r="U29" s="43"/>
    </row>
    <row r="30" spans="1:26" ht="13.5" thickTop="1">
      <c r="A30" s="83"/>
      <c r="B30" s="84"/>
      <c r="C30" s="84"/>
      <c r="D30" s="84"/>
      <c r="E30" s="84"/>
      <c r="F30" s="84"/>
      <c r="G30" s="84"/>
      <c r="H30" s="84"/>
      <c r="I30" s="84"/>
      <c r="J30" s="84"/>
      <c r="K30" s="84"/>
      <c r="L30" s="84"/>
      <c r="M30" s="84"/>
      <c r="N30" s="84"/>
      <c r="O30" s="84"/>
      <c r="P30" s="84"/>
      <c r="Q30" s="84"/>
      <c r="R30" s="84"/>
      <c r="S30" s="84"/>
      <c r="T30" s="84"/>
      <c r="U30" s="84"/>
    </row>
    <row r="31" spans="1:26">
      <c r="A31" s="77" t="s">
        <v>151</v>
      </c>
      <c r="B31" s="82" t="s">
        <v>152</v>
      </c>
      <c r="C31" s="82" t="s">
        <v>153</v>
      </c>
      <c r="D31" s="43"/>
      <c r="E31" s="43"/>
      <c r="F31" s="43"/>
      <c r="G31" s="43"/>
      <c r="H31" s="43"/>
      <c r="I31" s="43"/>
      <c r="J31" s="84"/>
      <c r="K31" s="84"/>
      <c r="L31" s="84"/>
      <c r="M31" s="84"/>
      <c r="N31" s="84"/>
      <c r="O31" s="84"/>
      <c r="P31" s="84"/>
      <c r="Q31" s="84"/>
      <c r="R31" s="84"/>
      <c r="S31" s="84"/>
      <c r="T31" s="84"/>
      <c r="U31" s="84"/>
      <c r="V31" s="50"/>
    </row>
    <row r="32" spans="1:26">
      <c r="A32" s="77"/>
      <c r="B32" s="82"/>
      <c r="C32" s="82"/>
      <c r="D32" s="84"/>
      <c r="E32" s="84"/>
      <c r="F32" s="84"/>
      <c r="G32" s="84"/>
      <c r="H32" s="84"/>
      <c r="I32" s="84"/>
      <c r="J32" s="84"/>
      <c r="K32" s="84"/>
      <c r="L32" s="84"/>
      <c r="M32" s="84"/>
      <c r="N32" s="84"/>
      <c r="O32" s="84"/>
      <c r="P32" s="84"/>
      <c r="Q32" s="84"/>
      <c r="R32" s="84"/>
      <c r="S32" s="84"/>
      <c r="T32" s="84"/>
      <c r="U32" s="84"/>
    </row>
    <row r="33" spans="1:24">
      <c r="A33" s="83" t="s">
        <v>154</v>
      </c>
      <c r="B33" s="86">
        <v>0.4</v>
      </c>
      <c r="C33" s="85" t="s">
        <v>155</v>
      </c>
      <c r="D33" s="43">
        <f>ROUND(B33*D23,2)</f>
        <v>141.49</v>
      </c>
      <c r="E33" s="43">
        <f>B33*E23</f>
        <v>141.49371000000002</v>
      </c>
      <c r="F33" s="43">
        <f>B33*F23</f>
        <v>159.18042375000002</v>
      </c>
      <c r="G33" s="43">
        <f>B33*G23</f>
        <v>176.86713750000001</v>
      </c>
      <c r="H33" s="43">
        <f>B33*H23</f>
        <v>194.55385125000001</v>
      </c>
      <c r="I33" s="43">
        <f>B33*I23</f>
        <v>212.24056500000003</v>
      </c>
      <c r="J33" s="43">
        <f>$B$33*J23</f>
        <v>229.92727875000006</v>
      </c>
      <c r="K33" s="43">
        <f>$B$33*K23</f>
        <v>247.61399250000005</v>
      </c>
      <c r="L33" s="43">
        <f>$B$33*L23</f>
        <v>212.24056499999998</v>
      </c>
      <c r="M33" s="43">
        <f>$B$33*M23</f>
        <v>212.24056499999998</v>
      </c>
      <c r="N33" s="43"/>
      <c r="O33" s="43"/>
      <c r="P33" s="43" t="e">
        <f>#REF!</f>
        <v>#REF!</v>
      </c>
      <c r="Q33" s="43"/>
      <c r="R33" s="43"/>
      <c r="S33" s="43"/>
      <c r="T33" s="43"/>
      <c r="U33" s="43"/>
      <c r="V33" s="67"/>
      <c r="W33" s="67"/>
      <c r="X33" s="67"/>
    </row>
    <row r="34" spans="1:24">
      <c r="A34" s="83" t="s">
        <v>156</v>
      </c>
      <c r="B34" s="86">
        <v>0.22500000000000001</v>
      </c>
      <c r="C34" s="85" t="s">
        <v>157</v>
      </c>
      <c r="D34" s="43">
        <f>(D24+D27)*$B$34</f>
        <v>21.6</v>
      </c>
      <c r="E34" s="43">
        <f>(E24+E27)*$B$34</f>
        <v>21.6</v>
      </c>
      <c r="F34" s="43">
        <f t="shared" ref="F34:K34" si="6">(F24+F27)*$B$34</f>
        <v>24.3</v>
      </c>
      <c r="G34" s="43">
        <f t="shared" si="6"/>
        <v>27</v>
      </c>
      <c r="H34" s="43">
        <f t="shared" si="6"/>
        <v>29.700000000000006</v>
      </c>
      <c r="I34" s="43">
        <f t="shared" si="6"/>
        <v>32.400000000000006</v>
      </c>
      <c r="J34" s="43">
        <f t="shared" si="6"/>
        <v>35.100000000000009</v>
      </c>
      <c r="K34" s="43">
        <f t="shared" si="6"/>
        <v>37.800000000000004</v>
      </c>
      <c r="L34" s="43">
        <f>(L24+L27)*$B$34</f>
        <v>32.4</v>
      </c>
      <c r="M34" s="43">
        <f>(M24+M27)*$B$34</f>
        <v>32.4</v>
      </c>
      <c r="N34" s="43"/>
      <c r="O34" s="43"/>
      <c r="P34" s="43" t="e">
        <f>#REF!</f>
        <v>#REF!</v>
      </c>
      <c r="Q34" s="43"/>
      <c r="R34" s="43"/>
      <c r="S34" s="43"/>
      <c r="T34" s="43"/>
      <c r="U34" s="43"/>
      <c r="V34" s="67"/>
      <c r="W34" s="67"/>
      <c r="X34" s="67"/>
    </row>
    <row r="35" spans="1:24">
      <c r="A35" s="83" t="s">
        <v>158</v>
      </c>
      <c r="B35" s="1054" t="str">
        <f>Manpower!A3</f>
        <v>APPENDIX 7:</v>
      </c>
      <c r="C35" s="1054"/>
      <c r="D35" s="43">
        <f>Manpower!D18/100000</f>
        <v>121.68</v>
      </c>
      <c r="E35" s="43">
        <f>D35</f>
        <v>121.68</v>
      </c>
      <c r="F35" s="43">
        <f>E35*1.05</f>
        <v>127.76400000000001</v>
      </c>
      <c r="G35" s="43">
        <f>F35*1.05</f>
        <v>134.15220000000002</v>
      </c>
      <c r="H35" s="43">
        <f>G35*1.05</f>
        <v>140.85981000000004</v>
      </c>
      <c r="I35" s="43">
        <f>H35*1.1</f>
        <v>154.94579100000004</v>
      </c>
      <c r="J35" s="43">
        <f>I35*1.1</f>
        <v>170.44037010000005</v>
      </c>
      <c r="K35" s="43">
        <f>J35*1.1</f>
        <v>187.48440711000006</v>
      </c>
      <c r="L35" s="43" t="e">
        <f>$B$35*L29*1.35</f>
        <v>#VALUE!</v>
      </c>
      <c r="M35" s="43" t="e">
        <f>$B$35*M29*1.34</f>
        <v>#VALUE!</v>
      </c>
      <c r="N35" s="43"/>
      <c r="O35" s="43"/>
      <c r="P35" s="43"/>
      <c r="Q35" s="43" t="s">
        <v>160</v>
      </c>
      <c r="R35" s="43"/>
      <c r="S35" s="43"/>
      <c r="T35" s="43"/>
      <c r="U35" s="43"/>
      <c r="V35" s="67"/>
      <c r="W35" s="67"/>
      <c r="X35" s="67"/>
    </row>
    <row r="36" spans="1:24">
      <c r="A36" s="83" t="s">
        <v>161</v>
      </c>
      <c r="B36" s="1054" t="str">
        <f>'power cost'!F4</f>
        <v>APPENDIX - 6</v>
      </c>
      <c r="C36" s="1054"/>
      <c r="D36" s="43">
        <f>'power cost'!E36</f>
        <v>182.98460000000003</v>
      </c>
      <c r="E36" s="43">
        <f>'power cost'!F36</f>
        <v>182.98460000000003</v>
      </c>
      <c r="F36" s="43">
        <f>'power cost'!G36</f>
        <v>205.85550000000001</v>
      </c>
      <c r="G36" s="43">
        <f>'power cost'!H36</f>
        <v>228.72640000000001</v>
      </c>
      <c r="H36" s="43">
        <f>'power cost'!I36</f>
        <v>251.59730000000005</v>
      </c>
      <c r="I36" s="43">
        <f>'power cost'!J36</f>
        <v>274.46820000000008</v>
      </c>
      <c r="J36" s="43">
        <f>'power cost'!K36</f>
        <v>297.33910000000009</v>
      </c>
      <c r="K36" s="43">
        <f>'power cost'!L36</f>
        <v>320.21000000000009</v>
      </c>
      <c r="L36" s="43">
        <f>'power cost'!M36</f>
        <v>0</v>
      </c>
      <c r="M36" s="43">
        <f>'power cost'!N36</f>
        <v>0</v>
      </c>
      <c r="N36" s="43"/>
      <c r="O36" s="43"/>
      <c r="P36" s="43"/>
      <c r="Q36" s="43"/>
      <c r="R36" s="43"/>
      <c r="S36" s="43"/>
      <c r="T36" s="43"/>
      <c r="U36" s="43"/>
      <c r="V36" s="67"/>
      <c r="W36" s="67"/>
      <c r="X36" s="67"/>
    </row>
    <row r="37" spans="1:24">
      <c r="A37" s="83" t="s">
        <v>162</v>
      </c>
      <c r="B37" s="86">
        <v>7.4999999999999997E-3</v>
      </c>
      <c r="C37" s="85" t="s">
        <v>163</v>
      </c>
      <c r="D37" s="43">
        <f>depreciation!D147*0.75%</f>
        <v>28.587526709440031</v>
      </c>
      <c r="E37" s="43">
        <f>depreciation!E147*0.75%</f>
        <v>25.196071261715066</v>
      </c>
      <c r="F37" s="43">
        <f>depreciation!F147*1%</f>
        <v>30.022821085320139</v>
      </c>
      <c r="G37" s="43">
        <f>depreciation!G147*1.25%</f>
        <v>32.001100610441902</v>
      </c>
      <c r="H37" s="43">
        <f>depreciation!H147*2%</f>
        <v>44.55787978277381</v>
      </c>
      <c r="I37" s="43">
        <f>depreciation!I147*2.75%</f>
        <v>51.856748059655779</v>
      </c>
      <c r="J37" s="43">
        <f>depreciation!J147*3%</f>
        <v>46.455176092360993</v>
      </c>
      <c r="K37" s="43">
        <f>depreciation!K147*3.25%</f>
        <v>38.880133826582906</v>
      </c>
      <c r="L37" s="43">
        <f>depreciation!L147*3.25%</f>
        <v>26.946326886441394</v>
      </c>
      <c r="M37" s="43">
        <f>depreciation!M147*3.35%</f>
        <v>16.479443636955267</v>
      </c>
      <c r="N37" s="43"/>
      <c r="O37" s="43"/>
      <c r="P37" s="43"/>
      <c r="Q37" s="43" t="s">
        <v>160</v>
      </c>
      <c r="R37" s="43"/>
      <c r="S37" s="43"/>
      <c r="T37" s="43"/>
      <c r="U37" s="43"/>
      <c r="V37" s="67"/>
      <c r="W37" s="67"/>
      <c r="X37" s="67"/>
    </row>
    <row r="38" spans="1:24">
      <c r="A38" s="83" t="s">
        <v>164</v>
      </c>
      <c r="B38" s="86">
        <v>2.5000000000000001E-2</v>
      </c>
      <c r="C38" s="85" t="s">
        <v>149</v>
      </c>
      <c r="D38" s="43">
        <f>D22*B38</f>
        <v>36.682500000000005</v>
      </c>
      <c r="E38" s="43">
        <f>E22*B38*1.5</f>
        <v>55.023750000000007</v>
      </c>
      <c r="F38" s="43">
        <f>F22*B38*2</f>
        <v>82.53562500000001</v>
      </c>
      <c r="G38" s="43">
        <f>G22*B38*2.15</f>
        <v>98.584218750000005</v>
      </c>
      <c r="H38" s="43">
        <f>H22*B38*2.25</f>
        <v>113.48648437500002</v>
      </c>
      <c r="I38" s="43">
        <f>I22*B38*2.5</f>
        <v>137.55937500000002</v>
      </c>
      <c r="J38" s="43">
        <f>J22*$B$38*2.5</f>
        <v>149.02265625000007</v>
      </c>
      <c r="K38" s="43">
        <f>K22*$B$38*2.5</f>
        <v>160.48593750000006</v>
      </c>
      <c r="L38" s="43">
        <f>L22*$B$38*2.5</f>
        <v>137.55937499999999</v>
      </c>
      <c r="M38" s="43">
        <f>M22*$B$38*2.5</f>
        <v>137.55937499999999</v>
      </c>
      <c r="N38" s="43"/>
      <c r="O38" s="43"/>
      <c r="P38" s="43"/>
      <c r="Q38" s="43" t="s">
        <v>160</v>
      </c>
      <c r="R38" s="43" t="s">
        <v>165</v>
      </c>
      <c r="S38" s="43"/>
      <c r="T38" s="43"/>
      <c r="U38" s="43"/>
      <c r="V38" s="67"/>
      <c r="W38" s="67"/>
      <c r="X38" s="67"/>
    </row>
    <row r="39" spans="1:24">
      <c r="A39" s="83" t="s">
        <v>166</v>
      </c>
      <c r="B39" s="86">
        <v>0.03</v>
      </c>
      <c r="C39" s="85" t="s">
        <v>149</v>
      </c>
      <c r="D39" s="43">
        <f>B39*D22</f>
        <v>44.019000000000005</v>
      </c>
      <c r="E39" s="43">
        <f>B39*E22</f>
        <v>44.019000000000005</v>
      </c>
      <c r="F39" s="43">
        <f>B39*F22*1.15</f>
        <v>56.949581249999994</v>
      </c>
      <c r="G39" s="43">
        <f>B39*G22*1.2</f>
        <v>66.028499999999994</v>
      </c>
      <c r="H39" s="43">
        <f>B39*H22*1.25</f>
        <v>75.657656250000002</v>
      </c>
      <c r="I39" s="43">
        <f>B39*I22*1.25</f>
        <v>82.53562500000001</v>
      </c>
      <c r="J39" s="43">
        <f>B39*J22*1.25</f>
        <v>89.413593750000032</v>
      </c>
      <c r="K39" s="43">
        <f>B39*K22*1.25</f>
        <v>96.291562500000012</v>
      </c>
      <c r="L39" s="43">
        <f>B39*L22*1.25</f>
        <v>82.535624999999996</v>
      </c>
      <c r="M39" s="43">
        <f>B39*M22*1.25</f>
        <v>82.535624999999996</v>
      </c>
      <c r="N39" s="43"/>
      <c r="O39" s="43"/>
      <c r="P39" s="43"/>
      <c r="Q39" s="43" t="s">
        <v>160</v>
      </c>
      <c r="R39" s="43" t="s">
        <v>167</v>
      </c>
      <c r="S39" s="43"/>
      <c r="T39" s="43"/>
      <c r="U39" s="43"/>
      <c r="V39" s="67"/>
      <c r="W39" s="67"/>
      <c r="X39" s="67"/>
    </row>
    <row r="40" spans="1:24">
      <c r="A40" s="83" t="s">
        <v>168</v>
      </c>
      <c r="B40" s="86">
        <v>0.01</v>
      </c>
      <c r="C40" s="85" t="s">
        <v>159</v>
      </c>
      <c r="D40" s="43">
        <f>B40*D29</f>
        <v>20.120351538461538</v>
      </c>
      <c r="E40" s="43">
        <f>B40*E29</f>
        <v>20.120351538461538</v>
      </c>
      <c r="F40" s="43">
        <f>B40*F29*1.1</f>
        <v>24.898935028846157</v>
      </c>
      <c r="G40" s="43">
        <f>B40*G29*1.15</f>
        <v>28.923005336538463</v>
      </c>
      <c r="H40" s="43">
        <f>B40*H29*1.2</f>
        <v>33.198580038461536</v>
      </c>
      <c r="I40" s="43">
        <f>B40*I29*1.2</f>
        <v>36.216632769230777</v>
      </c>
      <c r="J40" s="43">
        <f>B40*J29*1.2</f>
        <v>39.234685499999998</v>
      </c>
      <c r="K40" s="43">
        <f>B40*K29*1.2</f>
        <v>42.252738230769239</v>
      </c>
      <c r="L40" s="43">
        <f>B40*L29*1.2</f>
        <v>36.21663276923077</v>
      </c>
      <c r="M40" s="43">
        <f>B40*M29*1.2</f>
        <v>36.21663276923077</v>
      </c>
      <c r="N40" s="43"/>
      <c r="O40" s="43"/>
      <c r="P40" s="43"/>
      <c r="Q40" s="43" t="s">
        <v>160</v>
      </c>
      <c r="R40" s="43" t="s">
        <v>167</v>
      </c>
      <c r="S40" s="43"/>
      <c r="T40" s="43"/>
      <c r="U40" s="43"/>
      <c r="V40" s="67"/>
      <c r="W40" s="67"/>
      <c r="X40" s="67"/>
    </row>
    <row r="41" spans="1:24">
      <c r="A41" s="83" t="s">
        <v>169</v>
      </c>
      <c r="B41" s="86">
        <v>0.03</v>
      </c>
      <c r="C41" s="85" t="s">
        <v>159</v>
      </c>
      <c r="D41" s="43">
        <f>B41*D29</f>
        <v>60.361054615384617</v>
      </c>
      <c r="E41" s="43">
        <f>B41*E29</f>
        <v>60.361054615384617</v>
      </c>
      <c r="F41" s="43">
        <f>B41*F29*1.1</f>
        <v>74.696805086538475</v>
      </c>
      <c r="G41" s="43">
        <f>B41*G29*1.15</f>
        <v>86.76901600961537</v>
      </c>
      <c r="H41" s="43">
        <f>B41*H29*1.2</f>
        <v>99.595740115384601</v>
      </c>
      <c r="I41" s="43">
        <f>B41*I29*1.2</f>
        <v>108.64989830769231</v>
      </c>
      <c r="J41" s="43">
        <f>B41*J29*1.25</f>
        <v>122.6083921875</v>
      </c>
      <c r="K41" s="43">
        <f>B41*K29*1.25</f>
        <v>132.03980697115387</v>
      </c>
      <c r="L41" s="43">
        <f>B41*L29*1.25</f>
        <v>113.17697740384615</v>
      </c>
      <c r="M41" s="43">
        <f>B41*M29*1.25</f>
        <v>113.17697740384615</v>
      </c>
      <c r="N41" s="43"/>
      <c r="O41" s="43"/>
      <c r="P41" s="43"/>
      <c r="Q41" s="43" t="s">
        <v>160</v>
      </c>
      <c r="R41" s="43"/>
      <c r="S41" s="43"/>
      <c r="T41" s="43"/>
      <c r="U41" s="43"/>
      <c r="V41" s="67"/>
      <c r="W41" s="67"/>
      <c r="X41" s="67"/>
    </row>
    <row r="42" spans="1:24" ht="13.5" thickBot="1">
      <c r="A42" s="83" t="s">
        <v>170</v>
      </c>
      <c r="B42" s="86">
        <v>1.7500000000000002E-2</v>
      </c>
      <c r="C42" s="85" t="s">
        <v>159</v>
      </c>
      <c r="D42" s="43">
        <f>B42*D29</f>
        <v>35.210615192307699</v>
      </c>
      <c r="E42" s="43">
        <f>B42*E29</f>
        <v>35.210615192307699</v>
      </c>
      <c r="F42" s="43">
        <f>B42*F29*1.1</f>
        <v>43.573136300480783</v>
      </c>
      <c r="G42" s="43">
        <f>B42*G29*1.2</f>
        <v>52.815922788461542</v>
      </c>
      <c r="H42" s="43">
        <f>B42*H29*1.2</f>
        <v>58.09751506730769</v>
      </c>
      <c r="I42" s="43">
        <f>B42*I29*1.22</f>
        <v>64.435425801923103</v>
      </c>
      <c r="J42" s="43">
        <f>B42*J29*1.22</f>
        <v>69.805044618750003</v>
      </c>
      <c r="K42" s="43">
        <f>B42*K29*1.23</f>
        <v>75.790849201442327</v>
      </c>
      <c r="L42" s="43">
        <f>B42*L29*1.23</f>
        <v>64.963585029807703</v>
      </c>
      <c r="M42" s="43">
        <f>B42*M29*1.23</f>
        <v>64.963585029807703</v>
      </c>
      <c r="N42" s="43"/>
      <c r="O42" s="43"/>
      <c r="P42" s="43"/>
      <c r="Q42" s="43" t="s">
        <v>160</v>
      </c>
      <c r="R42" s="43" t="s">
        <v>167</v>
      </c>
      <c r="S42" s="43"/>
      <c r="T42" s="43"/>
      <c r="U42" s="43"/>
      <c r="V42" s="66"/>
      <c r="W42" s="66"/>
      <c r="X42" s="66"/>
    </row>
    <row r="43" spans="1:24" ht="13.5" thickTop="1">
      <c r="A43" s="83" t="s">
        <v>171</v>
      </c>
      <c r="B43" s="86">
        <v>0.02</v>
      </c>
      <c r="C43" s="85" t="s">
        <v>159</v>
      </c>
      <c r="D43" s="43">
        <f>B43*D29</f>
        <v>40.240703076923076</v>
      </c>
      <c r="E43" s="43">
        <f>B43*E29</f>
        <v>40.240703076923076</v>
      </c>
      <c r="F43" s="43">
        <f>B43*F29*2</f>
        <v>90.541581923076933</v>
      </c>
      <c r="G43" s="43">
        <f>B43*G29*2.25</f>
        <v>113.17697740384617</v>
      </c>
      <c r="H43" s="43">
        <f>B43*H29*2.3</f>
        <v>127.26122348076922</v>
      </c>
      <c r="I43" s="43">
        <f>B43*I29*2.4</f>
        <v>144.86653107692311</v>
      </c>
      <c r="J43" s="43">
        <f>B43*J29*2.5</f>
        <v>163.47785625</v>
      </c>
      <c r="K43" s="43">
        <f>B43*K29*2.75</f>
        <v>193.65838355769233</v>
      </c>
      <c r="L43" s="43">
        <f>B43*L29*2.85</f>
        <v>172.02900565384616</v>
      </c>
      <c r="M43" s="43">
        <f>B43*M29*2.9</f>
        <v>175.04705838461538</v>
      </c>
      <c r="N43" s="43"/>
      <c r="O43" s="43"/>
      <c r="P43" s="43"/>
      <c r="Q43" s="43" t="s">
        <v>160</v>
      </c>
      <c r="R43" s="43"/>
      <c r="S43" s="43"/>
      <c r="T43" s="43"/>
      <c r="U43" s="43"/>
      <c r="V43" s="6"/>
      <c r="W43" s="6"/>
      <c r="X43" s="6"/>
    </row>
    <row r="44" spans="1:24">
      <c r="A44" s="77" t="s">
        <v>172</v>
      </c>
      <c r="B44" s="86"/>
      <c r="C44" s="85"/>
      <c r="E44" s="43"/>
      <c r="F44" s="43"/>
      <c r="G44" s="43"/>
      <c r="H44" s="43"/>
      <c r="I44" s="43"/>
      <c r="J44" s="43"/>
      <c r="K44" s="43"/>
      <c r="L44" s="43"/>
      <c r="M44" s="43"/>
      <c r="N44" s="43"/>
      <c r="O44" s="43"/>
      <c r="P44" s="43"/>
      <c r="Q44" s="43"/>
      <c r="R44" s="43"/>
      <c r="S44" s="43"/>
      <c r="T44" s="43"/>
      <c r="U44" s="43"/>
      <c r="V44" s="57"/>
      <c r="W44" s="57"/>
      <c r="X44" s="57"/>
    </row>
    <row r="45" spans="1:24">
      <c r="A45" s="83" t="s">
        <v>173</v>
      </c>
      <c r="B45" s="86">
        <v>3.3E-3</v>
      </c>
      <c r="C45" s="86"/>
      <c r="D45" s="43">
        <f>B45*'CAPITAL COST'!C14</f>
        <v>9.5004913271399989</v>
      </c>
      <c r="E45" s="43">
        <f t="shared" ref="E45:M45" si="7">D45</f>
        <v>9.5004913271399989</v>
      </c>
      <c r="F45" s="43">
        <f t="shared" si="7"/>
        <v>9.5004913271399989</v>
      </c>
      <c r="G45" s="43">
        <f t="shared" si="7"/>
        <v>9.5004913271399989</v>
      </c>
      <c r="H45" s="43">
        <f t="shared" si="7"/>
        <v>9.5004913271399989</v>
      </c>
      <c r="I45" s="43">
        <f t="shared" si="7"/>
        <v>9.5004913271399989</v>
      </c>
      <c r="J45" s="43">
        <f t="shared" si="7"/>
        <v>9.5004913271399989</v>
      </c>
      <c r="K45" s="43">
        <f t="shared" si="7"/>
        <v>9.5004913271399989</v>
      </c>
      <c r="L45" s="43">
        <f t="shared" si="7"/>
        <v>9.5004913271399989</v>
      </c>
      <c r="M45" s="43">
        <f t="shared" si="7"/>
        <v>9.5004913271399989</v>
      </c>
      <c r="S45" s="43"/>
      <c r="T45" s="43"/>
      <c r="U45" s="43"/>
      <c r="V45" s="43"/>
      <c r="W45" s="43">
        <f>B45*depreciation!D128</f>
        <v>10.488324916976719</v>
      </c>
      <c r="X45" s="43">
        <f>B45*'CAPITAL COST'!D14</f>
        <v>9.5004913271399989</v>
      </c>
    </row>
    <row r="46" spans="1:24">
      <c r="A46" s="83" t="s">
        <v>174</v>
      </c>
      <c r="B46" s="86">
        <v>5.0000000000000001E-3</v>
      </c>
      <c r="C46" s="86"/>
      <c r="D46" s="43">
        <f>B46*'CAPITAL COST'!D20+(ASSETS!I82-ASSETS!I78+('details of fixed assets  '!F145/100000+'details of fixed assets  '!F146/100000))*B46</f>
        <v>3.6821262079999997</v>
      </c>
      <c r="E46" s="43">
        <f>D46</f>
        <v>3.6821262079999997</v>
      </c>
      <c r="F46" s="43">
        <f t="shared" ref="F46:M47" si="8">E46</f>
        <v>3.6821262079999997</v>
      </c>
      <c r="G46" s="43">
        <f t="shared" si="8"/>
        <v>3.6821262079999997</v>
      </c>
      <c r="H46" s="43">
        <f t="shared" si="8"/>
        <v>3.6821262079999997</v>
      </c>
      <c r="I46" s="43">
        <f t="shared" si="8"/>
        <v>3.6821262079999997</v>
      </c>
      <c r="J46" s="43">
        <f t="shared" si="8"/>
        <v>3.6821262079999997</v>
      </c>
      <c r="K46" s="43">
        <f t="shared" si="8"/>
        <v>3.6821262079999997</v>
      </c>
      <c r="L46" s="43">
        <f t="shared" si="8"/>
        <v>3.6821262079999997</v>
      </c>
      <c r="M46" s="43">
        <f t="shared" si="8"/>
        <v>3.6821262079999997</v>
      </c>
      <c r="S46" s="43"/>
      <c r="T46" s="43"/>
      <c r="U46" s="43"/>
      <c r="V46" s="43"/>
      <c r="W46" s="43"/>
      <c r="X46" s="43">
        <f>B46*('CAPITAL COST'!D20+'CAPITAL COST'!D16)</f>
        <v>4.2141962079999997</v>
      </c>
    </row>
    <row r="47" spans="1:24">
      <c r="A47" s="63" t="s">
        <v>175</v>
      </c>
      <c r="B47" s="86">
        <v>2.5000000000000001E-3</v>
      </c>
      <c r="C47" s="86"/>
      <c r="D47" s="43">
        <f>B47*(SUM('details of fixed assets  '!F138:F144))/100000</f>
        <v>0.38145000000000001</v>
      </c>
      <c r="E47" s="43">
        <f>D47</f>
        <v>0.38145000000000001</v>
      </c>
      <c r="F47" s="43">
        <f t="shared" si="8"/>
        <v>0.38145000000000001</v>
      </c>
      <c r="G47" s="43">
        <f t="shared" si="8"/>
        <v>0.38145000000000001</v>
      </c>
      <c r="H47" s="43">
        <f t="shared" si="8"/>
        <v>0.38145000000000001</v>
      </c>
      <c r="I47" s="43">
        <f t="shared" si="8"/>
        <v>0.38145000000000001</v>
      </c>
      <c r="J47" s="43">
        <f t="shared" si="8"/>
        <v>0.38145000000000001</v>
      </c>
      <c r="K47" s="43">
        <f t="shared" si="8"/>
        <v>0.38145000000000001</v>
      </c>
      <c r="L47" s="43">
        <f t="shared" si="8"/>
        <v>0.38145000000000001</v>
      </c>
      <c r="M47" s="43">
        <f t="shared" si="8"/>
        <v>0.38145000000000001</v>
      </c>
      <c r="S47" s="43"/>
      <c r="T47" s="43"/>
      <c r="U47" s="43"/>
      <c r="V47" s="43"/>
      <c r="W47" s="43"/>
      <c r="X47" s="43"/>
    </row>
    <row r="48" spans="1:24">
      <c r="A48" s="83" t="s">
        <v>176</v>
      </c>
      <c r="B48" s="86">
        <v>2E-3</v>
      </c>
      <c r="C48" s="86"/>
      <c r="D48" s="43">
        <f>+' wORKING CAPITAL'!E15*$B$48</f>
        <v>2.4E-2</v>
      </c>
      <c r="E48" s="43">
        <f>+' wORKING CAPITAL'!F15*$B$48</f>
        <v>2.3922285000000001E-2</v>
      </c>
      <c r="F48" s="43">
        <f>+' wORKING CAPITAL'!G15*$B$48</f>
        <v>2.6530070625000006E-2</v>
      </c>
      <c r="G48" s="43">
        <f>+' wORKING CAPITAL'!H15*$B$48</f>
        <v>2.9477856250000004E-2</v>
      </c>
      <c r="H48" s="43">
        <f>+' wORKING CAPITAL'!I15*$B$48</f>
        <v>3.8910770250000004E-2</v>
      </c>
      <c r="I48" s="43">
        <f>+' wORKING CAPITAL'!J15*$B$48</f>
        <v>4.9522798500000006E-2</v>
      </c>
      <c r="J48" s="43">
        <f>+' wORKING CAPITAL'!K15*$B$48</f>
        <v>6.1313941000000018E-2</v>
      </c>
      <c r="K48" s="43">
        <f>+' wORKING CAPITAL'!L15*$B$48</f>
        <v>7.4284197750000017E-2</v>
      </c>
      <c r="L48" s="43">
        <f>+' wORKING CAPITAL'!M15*$B$48</f>
        <v>7.0746854999999997E-2</v>
      </c>
      <c r="M48" s="43">
        <f>+' wORKING CAPITAL'!N15*$B$48</f>
        <v>7.1454323550000004E-2</v>
      </c>
      <c r="S48" s="43"/>
      <c r="T48" s="43"/>
      <c r="U48" s="43"/>
      <c r="V48" s="43"/>
      <c r="W48" s="43"/>
      <c r="X48" s="43"/>
    </row>
    <row r="49" spans="1:24">
      <c r="A49" s="83" t="s">
        <v>177</v>
      </c>
      <c r="B49" s="86">
        <v>5.0000000000000001E-3</v>
      </c>
      <c r="C49" s="85" t="s">
        <v>159</v>
      </c>
      <c r="D49" s="43">
        <f>B49*D29</f>
        <v>10.060175769230769</v>
      </c>
      <c r="E49" s="43">
        <f>B49*E29</f>
        <v>10.060175769230769</v>
      </c>
      <c r="F49" s="43">
        <f>B49*F29*1.25</f>
        <v>14.147122175480771</v>
      </c>
      <c r="G49" s="43">
        <f>B49*G29*1.35</f>
        <v>16.976546610576925</v>
      </c>
      <c r="H49" s="43">
        <f>B49*H29*1.5</f>
        <v>20.749112524038459</v>
      </c>
      <c r="I49" s="43">
        <f>B49*I29*1.6</f>
        <v>24.144421846153854</v>
      </c>
      <c r="J49" s="43">
        <f>B49*J29*1.8</f>
        <v>29.426014125000002</v>
      </c>
      <c r="K49" s="43">
        <f>B49*K29*2</f>
        <v>35.210615192307699</v>
      </c>
      <c r="L49" s="43">
        <f>B49*L29*3.5</f>
        <v>52.815922788461542</v>
      </c>
      <c r="M49" s="43">
        <f>B49*M29*3.5</f>
        <v>52.815922788461542</v>
      </c>
      <c r="S49" s="43"/>
      <c r="T49" s="43"/>
      <c r="U49" s="43"/>
      <c r="V49" s="43" t="e">
        <f>MIN(2,#REF!,#REF!,#REF!,#REF!,#REF!,#REF!,#REF!,#REF!)</f>
        <v>#REF!</v>
      </c>
      <c r="W49" s="43"/>
      <c r="X49" s="43"/>
    </row>
    <row r="50" spans="1:24">
      <c r="A50" s="83" t="s">
        <v>107</v>
      </c>
      <c r="B50" s="84"/>
      <c r="C50" s="84"/>
      <c r="D50" s="43">
        <f>Interest!I46</f>
        <v>254.71875</v>
      </c>
      <c r="E50" s="43">
        <f>Interest!I58</f>
        <v>240.11249999999998</v>
      </c>
      <c r="F50" s="43">
        <f>Interest!I70</f>
        <v>217.78750000000002</v>
      </c>
      <c r="G50" s="43">
        <f>Interest!I82</f>
        <v>186.67500000000001</v>
      </c>
      <c r="H50" s="43">
        <f>Interest!I94</f>
        <v>147.25000000000003</v>
      </c>
      <c r="I50" s="43">
        <f>Interest!I106</f>
        <v>99.037499999999994</v>
      </c>
      <c r="J50" s="43">
        <f>Interest!I118</f>
        <v>45.125</v>
      </c>
      <c r="K50" s="43">
        <f>Interest!I130</f>
        <v>2.375</v>
      </c>
      <c r="L50" s="43">
        <f>Interest!I142</f>
        <v>0</v>
      </c>
      <c r="M50" s="43">
        <f>Interest!I150</f>
        <v>0</v>
      </c>
      <c r="N50" s="43"/>
      <c r="O50" s="43"/>
      <c r="P50" s="43"/>
      <c r="Q50" s="43"/>
      <c r="R50" s="43"/>
      <c r="S50" s="43"/>
      <c r="T50" s="43"/>
      <c r="U50" s="43"/>
      <c r="V50" s="67"/>
      <c r="W50" s="67"/>
      <c r="X50" s="67"/>
    </row>
    <row r="51" spans="1:24">
      <c r="A51" s="83" t="s">
        <v>178</v>
      </c>
      <c r="B51" s="84"/>
      <c r="C51" s="84"/>
      <c r="D51" s="43">
        <f>' wORKING CAPITAL'!E29</f>
        <v>0</v>
      </c>
      <c r="E51" s="43">
        <f>' wORKING CAPITAL'!F29</f>
        <v>0</v>
      </c>
      <c r="F51" s="43">
        <f>' wORKING CAPITAL'!G29</f>
        <v>0</v>
      </c>
      <c r="G51" s="43">
        <f>' wORKING CAPITAL'!H29</f>
        <v>0</v>
      </c>
      <c r="H51" s="43">
        <f>' wORKING CAPITAL'!I29</f>
        <v>0</v>
      </c>
      <c r="I51" s="43">
        <f>' wORKING CAPITAL'!J29</f>
        <v>0</v>
      </c>
      <c r="J51" s="43">
        <f>' wORKING CAPITAL'!K29</f>
        <v>0</v>
      </c>
      <c r="K51" s="43">
        <f>' wORKING CAPITAL'!L29</f>
        <v>0</v>
      </c>
      <c r="L51" s="43">
        <f>' wORKING CAPITAL'!M29</f>
        <v>0</v>
      </c>
      <c r="M51" s="43">
        <f>' wORKING CAPITAL'!N29</f>
        <v>0</v>
      </c>
      <c r="N51" s="43"/>
      <c r="O51" s="43" t="s">
        <v>395</v>
      </c>
      <c r="P51" s="43"/>
      <c r="Q51" s="43"/>
      <c r="R51" s="43"/>
      <c r="S51" s="43"/>
      <c r="T51" s="43"/>
      <c r="U51" s="43"/>
      <c r="V51" s="67"/>
      <c r="W51" s="67"/>
      <c r="X51" s="67"/>
    </row>
    <row r="52" spans="1:24">
      <c r="A52" s="83"/>
      <c r="B52" s="85"/>
      <c r="C52" s="84"/>
      <c r="D52" s="43"/>
      <c r="E52" s="43"/>
      <c r="F52" s="43"/>
      <c r="G52" s="43"/>
      <c r="H52" s="43"/>
      <c r="I52" s="43"/>
      <c r="J52" s="43"/>
      <c r="K52" s="43"/>
      <c r="L52" s="43"/>
      <c r="M52" s="43"/>
      <c r="N52" s="43"/>
      <c r="O52" s="43"/>
      <c r="P52" s="43"/>
      <c r="Q52" s="43"/>
      <c r="R52" s="43"/>
      <c r="S52" s="43"/>
      <c r="T52" s="43"/>
      <c r="U52" s="43"/>
      <c r="V52" s="67"/>
      <c r="W52" s="67"/>
      <c r="X52" s="67"/>
    </row>
    <row r="53" spans="1:24">
      <c r="A53" s="83" t="s">
        <v>106</v>
      </c>
      <c r="B53" s="84"/>
      <c r="C53" s="84"/>
      <c r="D53" s="43">
        <f>depreciation!D53</f>
        <v>452.19405969666178</v>
      </c>
      <c r="E53" s="43">
        <f>depreciation!E53</f>
        <v>452.19405969666178</v>
      </c>
      <c r="F53" s="43">
        <f>depreciation!F53</f>
        <v>452.19405969666178</v>
      </c>
      <c r="G53" s="43">
        <f>depreciation!G53</f>
        <v>452.19405969666178</v>
      </c>
      <c r="H53" s="43">
        <f>depreciation!H53</f>
        <v>452.19405969666178</v>
      </c>
      <c r="I53" s="43">
        <f>depreciation!I53</f>
        <v>452.19405969666178</v>
      </c>
      <c r="J53" s="43">
        <f>depreciation!J53</f>
        <v>452.19405969666178</v>
      </c>
      <c r="K53" s="43">
        <f>depreciation!K53</f>
        <v>452.19405969666178</v>
      </c>
      <c r="L53" s="43">
        <f>depreciation!L53</f>
        <v>452.19405969666178</v>
      </c>
      <c r="M53" s="43">
        <f>depreciation!M53</f>
        <v>452.19405969666178</v>
      </c>
      <c r="N53" s="43"/>
      <c r="O53" s="43"/>
      <c r="P53" s="43"/>
      <c r="Q53" s="43"/>
      <c r="R53" s="43"/>
      <c r="S53" s="43"/>
      <c r="T53" s="43"/>
      <c r="U53" s="43"/>
      <c r="V53" s="67"/>
      <c r="W53" s="67"/>
      <c r="X53" s="67"/>
    </row>
    <row r="54" spans="1:24">
      <c r="A54" s="83"/>
      <c r="B54" s="84"/>
      <c r="C54" s="84"/>
      <c r="D54" s="43"/>
      <c r="E54" s="43"/>
      <c r="F54" s="43"/>
      <c r="G54" s="43"/>
      <c r="H54" s="43"/>
      <c r="I54" s="43"/>
      <c r="J54" s="43"/>
      <c r="K54" s="43"/>
      <c r="L54" s="43"/>
      <c r="M54" s="43"/>
      <c r="N54" s="43"/>
      <c r="O54" s="43"/>
      <c r="P54" s="43"/>
      <c r="Q54" s="43"/>
      <c r="R54" s="43"/>
      <c r="S54" s="43"/>
      <c r="T54" s="43"/>
      <c r="U54" s="43"/>
      <c r="V54" s="67"/>
      <c r="W54" s="67"/>
      <c r="X54" s="67"/>
    </row>
    <row r="55" spans="1:24" ht="13.5" thickBot="1">
      <c r="A55" s="81" t="s">
        <v>179</v>
      </c>
      <c r="B55" s="53"/>
      <c r="C55" s="53"/>
      <c r="D55" s="66">
        <f>SUM(D33:D54)</f>
        <v>1463.5374041335497</v>
      </c>
      <c r="E55" s="66">
        <f t="shared" ref="E55:J55" si="9">SUM(E33:E54)</f>
        <v>1463.8845809708248</v>
      </c>
      <c r="F55" s="66">
        <f t="shared" si="9"/>
        <v>1618.0376889021697</v>
      </c>
      <c r="G55" s="66">
        <f t="shared" si="9"/>
        <v>1714.4836300975321</v>
      </c>
      <c r="H55" s="66">
        <f t="shared" si="9"/>
        <v>1802.3621908857874</v>
      </c>
      <c r="I55" s="66">
        <f t="shared" si="9"/>
        <v>1889.1643638918808</v>
      </c>
      <c r="J55" s="66">
        <f t="shared" si="9"/>
        <v>1953.1946087964131</v>
      </c>
      <c r="K55" s="66">
        <f>SUM(K33:K54)</f>
        <v>2035.9258380195006</v>
      </c>
      <c r="L55" s="66" t="e">
        <f>SUM(L33:L54)</f>
        <v>#VALUE!</v>
      </c>
      <c r="M55" s="66" t="e">
        <f>SUM(M33:M54)</f>
        <v>#VALUE!</v>
      </c>
      <c r="N55" s="6"/>
      <c r="O55" s="6"/>
      <c r="P55" s="6"/>
      <c r="Q55" s="6"/>
      <c r="R55" s="6"/>
      <c r="S55" s="6"/>
      <c r="T55" s="6"/>
      <c r="U55" s="6"/>
      <c r="V55" s="67"/>
      <c r="W55" s="67"/>
      <c r="X55" s="67"/>
    </row>
    <row r="56" spans="1:24" ht="13.5" thickTop="1">
      <c r="A56" s="83"/>
      <c r="B56" s="84"/>
      <c r="C56" s="84"/>
      <c r="D56" s="43"/>
      <c r="E56" s="43"/>
      <c r="F56" s="43"/>
      <c r="G56" s="43"/>
      <c r="H56" s="43"/>
      <c r="I56" s="43"/>
      <c r="J56" s="43"/>
      <c r="K56" s="43"/>
      <c r="L56" s="43"/>
      <c r="M56" s="43"/>
      <c r="N56" s="43"/>
      <c r="O56" s="43"/>
      <c r="P56" s="43"/>
      <c r="Q56" s="43"/>
      <c r="R56" s="43"/>
      <c r="S56" s="43"/>
      <c r="T56" s="43"/>
      <c r="U56" s="43"/>
      <c r="V56" s="67"/>
      <c r="W56" s="67"/>
      <c r="X56" s="67"/>
    </row>
    <row r="57" spans="1:24">
      <c r="A57" s="83"/>
      <c r="B57" s="84"/>
      <c r="C57" s="84"/>
      <c r="D57" s="43"/>
      <c r="E57" s="43"/>
      <c r="F57" s="43"/>
      <c r="G57" s="43"/>
      <c r="H57" s="43"/>
      <c r="I57" s="43"/>
      <c r="J57" s="43"/>
      <c r="K57" s="43"/>
      <c r="L57" s="43"/>
      <c r="M57" s="43"/>
      <c r="N57" s="43"/>
      <c r="O57" s="43"/>
      <c r="P57" s="43"/>
      <c r="Q57" s="43"/>
      <c r="R57" s="43"/>
      <c r="S57" s="43"/>
      <c r="T57" s="43"/>
      <c r="U57" s="43"/>
      <c r="V57" s="67"/>
      <c r="W57" s="67"/>
      <c r="X57" s="67"/>
    </row>
    <row r="58" spans="1:24">
      <c r="A58" s="83"/>
      <c r="B58" s="84"/>
      <c r="C58" s="84"/>
      <c r="D58" s="43"/>
      <c r="E58" s="43"/>
      <c r="F58" s="43"/>
      <c r="G58" s="43"/>
      <c r="H58" s="43"/>
      <c r="I58" s="43"/>
      <c r="J58" s="43"/>
      <c r="K58" s="43"/>
      <c r="L58" s="43"/>
      <c r="M58" s="43"/>
      <c r="N58" s="43"/>
      <c r="O58" s="43"/>
      <c r="P58" s="43"/>
      <c r="Q58" s="43"/>
      <c r="R58" s="43"/>
      <c r="S58" s="43"/>
      <c r="T58" s="43"/>
      <c r="U58" s="43"/>
      <c r="V58" s="67"/>
      <c r="W58" s="67"/>
      <c r="X58" s="67"/>
    </row>
    <row r="59" spans="1:24">
      <c r="A59" s="77" t="s">
        <v>396</v>
      </c>
      <c r="B59" s="78"/>
      <c r="C59" s="78"/>
      <c r="D59" s="6">
        <f>D29-D55</f>
        <v>548.49774971260422</v>
      </c>
      <c r="E59" s="6">
        <f>E29-E55</f>
        <v>548.15057287532909</v>
      </c>
      <c r="F59" s="6">
        <f t="shared" ref="F59:K59" si="10">F29-F55</f>
        <v>645.50185917475369</v>
      </c>
      <c r="G59" s="6">
        <f t="shared" si="10"/>
        <v>800.56031221016019</v>
      </c>
      <c r="H59" s="6">
        <f t="shared" si="10"/>
        <v>964.18614565267376</v>
      </c>
      <c r="I59" s="6">
        <f t="shared" si="10"/>
        <v>1128.8883668773506</v>
      </c>
      <c r="J59" s="6">
        <f t="shared" si="10"/>
        <v>1316.3625162035871</v>
      </c>
      <c r="K59" s="6">
        <f t="shared" si="10"/>
        <v>1485.1356812112695</v>
      </c>
      <c r="L59" s="6" t="e">
        <f>L29-L55</f>
        <v>#VALUE!</v>
      </c>
      <c r="M59" s="6" t="e">
        <f>M29-M55</f>
        <v>#VALUE!</v>
      </c>
      <c r="N59" s="6"/>
      <c r="O59" s="6"/>
      <c r="P59" s="6"/>
      <c r="Q59" s="6"/>
      <c r="R59" s="6"/>
      <c r="S59" s="6"/>
      <c r="T59" s="6"/>
      <c r="U59" s="6"/>
    </row>
    <row r="60" spans="1:24">
      <c r="A60" s="83"/>
      <c r="B60" s="84"/>
      <c r="C60" s="84"/>
      <c r="D60" s="43" t="e">
        <f>#REF!</f>
        <v>#REF!</v>
      </c>
      <c r="E60" s="43"/>
      <c r="F60" s="43"/>
      <c r="G60" s="43"/>
      <c r="H60" s="43"/>
      <c r="I60" s="43"/>
      <c r="J60" s="43"/>
      <c r="K60" s="43"/>
      <c r="L60" s="43"/>
      <c r="M60" s="43"/>
      <c r="N60" s="43"/>
      <c r="O60" s="43"/>
      <c r="P60" s="43"/>
      <c r="Q60" s="43"/>
      <c r="R60" s="43"/>
      <c r="S60" s="43"/>
      <c r="T60" s="43"/>
      <c r="U60" s="43"/>
    </row>
    <row r="61" spans="1:24">
      <c r="A61" s="77" t="s">
        <v>181</v>
      </c>
      <c r="B61" s="84"/>
      <c r="C61" s="84"/>
      <c r="D61" s="43">
        <f>D59+D51+D50</f>
        <v>803.21649971260422</v>
      </c>
      <c r="E61" s="43">
        <f t="shared" ref="E61:J61" si="11">E59+E51+E50</f>
        <v>788.26307287532904</v>
      </c>
      <c r="F61" s="43">
        <f t="shared" si="11"/>
        <v>863.28935917475371</v>
      </c>
      <c r="G61" s="43">
        <f t="shared" si="11"/>
        <v>987.23531221016015</v>
      </c>
      <c r="H61" s="43">
        <f t="shared" si="11"/>
        <v>1111.4361456526738</v>
      </c>
      <c r="I61" s="43">
        <f t="shared" si="11"/>
        <v>1227.9258668773505</v>
      </c>
      <c r="J61" s="43">
        <f t="shared" si="11"/>
        <v>1361.4875162035871</v>
      </c>
      <c r="K61" s="43">
        <f>K59+K51+K50</f>
        <v>1487.5106812112695</v>
      </c>
      <c r="L61" s="43" t="e">
        <f>L59+L51+L50</f>
        <v>#VALUE!</v>
      </c>
      <c r="M61" s="43" t="e">
        <f>M59+M51+M50</f>
        <v>#VALUE!</v>
      </c>
      <c r="N61" s="43"/>
      <c r="O61" s="43"/>
      <c r="P61" s="43"/>
      <c r="Q61" s="43"/>
      <c r="R61" s="43"/>
      <c r="S61" s="43"/>
      <c r="T61" s="43"/>
      <c r="U61" s="43"/>
    </row>
    <row r="62" spans="1:24">
      <c r="A62" s="83" t="s">
        <v>182</v>
      </c>
      <c r="B62" s="84"/>
      <c r="C62" s="84"/>
      <c r="D62" s="43">
        <f>D59*0.35</f>
        <v>191.97421239941147</v>
      </c>
      <c r="E62" s="43">
        <f t="shared" ref="E62:M62" si="12">E59*0.35</f>
        <v>191.85270050636518</v>
      </c>
      <c r="F62" s="43">
        <f t="shared" si="12"/>
        <v>225.92565071116377</v>
      </c>
      <c r="G62" s="43">
        <f t="shared" si="12"/>
        <v>280.19610927355603</v>
      </c>
      <c r="H62" s="43">
        <f t="shared" si="12"/>
        <v>337.46515097843582</v>
      </c>
      <c r="I62" s="43">
        <f t="shared" si="12"/>
        <v>395.11092840707266</v>
      </c>
      <c r="J62" s="43">
        <f t="shared" si="12"/>
        <v>460.72688067125546</v>
      </c>
      <c r="K62" s="43">
        <f t="shared" si="12"/>
        <v>519.79748842394429</v>
      </c>
      <c r="L62" s="43" t="e">
        <f t="shared" si="12"/>
        <v>#VALUE!</v>
      </c>
      <c r="M62" s="43" t="e">
        <f t="shared" si="12"/>
        <v>#VALUE!</v>
      </c>
      <c r="N62" s="43"/>
      <c r="O62" s="43"/>
      <c r="P62" s="43">
        <f>D62/D59*100</f>
        <v>35</v>
      </c>
      <c r="Q62" s="43">
        <f t="shared" ref="Q62:W62" si="13">E62/E59*100</f>
        <v>35</v>
      </c>
      <c r="R62" s="43">
        <f t="shared" si="13"/>
        <v>35</v>
      </c>
      <c r="S62" s="43">
        <f t="shared" si="13"/>
        <v>35</v>
      </c>
      <c r="T62" s="43">
        <f t="shared" si="13"/>
        <v>35</v>
      </c>
      <c r="U62" s="43">
        <f t="shared" si="13"/>
        <v>35</v>
      </c>
      <c r="V62" s="43">
        <f t="shared" si="13"/>
        <v>35</v>
      </c>
      <c r="W62" s="43">
        <f t="shared" si="13"/>
        <v>35</v>
      </c>
    </row>
    <row r="63" spans="1:24">
      <c r="A63" s="77" t="s">
        <v>105</v>
      </c>
      <c r="B63" s="78"/>
      <c r="C63" s="78"/>
      <c r="D63" s="6">
        <f>D59-D62</f>
        <v>356.52353731319272</v>
      </c>
      <c r="E63" s="6">
        <f t="shared" ref="E63:J63" si="14">E59-E62</f>
        <v>356.29787236896391</v>
      </c>
      <c r="F63" s="6">
        <f t="shared" si="14"/>
        <v>419.57620846358992</v>
      </c>
      <c r="G63" s="6">
        <f t="shared" si="14"/>
        <v>520.36420293660422</v>
      </c>
      <c r="H63" s="6">
        <f t="shared" si="14"/>
        <v>626.720994674238</v>
      </c>
      <c r="I63" s="6">
        <f t="shared" si="14"/>
        <v>733.77743847027796</v>
      </c>
      <c r="J63" s="6">
        <f t="shared" si="14"/>
        <v>855.63563553233166</v>
      </c>
      <c r="K63" s="6">
        <f>K59-K62</f>
        <v>965.33819278732517</v>
      </c>
      <c r="L63" s="6" t="e">
        <f>L59-L62</f>
        <v>#VALUE!</v>
      </c>
      <c r="M63" s="6" t="e">
        <f>M59-M62</f>
        <v>#VALUE!</v>
      </c>
      <c r="N63" s="6"/>
      <c r="O63" s="6"/>
      <c r="P63" s="6"/>
      <c r="Q63" s="6"/>
      <c r="R63" s="6"/>
      <c r="S63" s="6"/>
      <c r="T63" s="6"/>
      <c r="U63" s="6"/>
    </row>
    <row r="64" spans="1:24">
      <c r="A64" s="77" t="s">
        <v>397</v>
      </c>
      <c r="B64" s="78"/>
      <c r="C64" s="78"/>
      <c r="D64" s="6">
        <f t="shared" ref="D64:K64" si="15">D63*10%</f>
        <v>35.652353731319273</v>
      </c>
      <c r="E64" s="6">
        <f t="shared" si="15"/>
        <v>35.629787236896391</v>
      </c>
      <c r="F64" s="6">
        <f t="shared" si="15"/>
        <v>41.957620846358992</v>
      </c>
      <c r="G64" s="6">
        <f t="shared" si="15"/>
        <v>52.036420293660427</v>
      </c>
      <c r="H64" s="6">
        <f t="shared" si="15"/>
        <v>62.672099467423806</v>
      </c>
      <c r="I64" s="6">
        <f t="shared" si="15"/>
        <v>73.377743847027801</v>
      </c>
      <c r="J64" s="6">
        <f t="shared" si="15"/>
        <v>85.563563553233166</v>
      </c>
      <c r="K64" s="6">
        <f t="shared" si="15"/>
        <v>96.533819278732523</v>
      </c>
      <c r="L64" s="6" t="e">
        <f>L63*0.175</f>
        <v>#VALUE!</v>
      </c>
      <c r="M64" s="6" t="e">
        <f>M63*0.175</f>
        <v>#VALUE!</v>
      </c>
      <c r="N64" s="6"/>
      <c r="O64" s="6"/>
      <c r="P64" s="6"/>
      <c r="Q64" s="6"/>
      <c r="R64" s="6"/>
      <c r="S64" s="6"/>
      <c r="T64" s="6"/>
      <c r="U64" s="6"/>
    </row>
    <row r="65" spans="1:21">
      <c r="A65" s="83" t="s">
        <v>398</v>
      </c>
      <c r="B65" s="84"/>
      <c r="C65" s="84"/>
      <c r="D65" s="488">
        <f>D63-D64</f>
        <v>320.87118358187342</v>
      </c>
      <c r="E65" s="488">
        <f t="shared" ref="E65:M65" si="16">D65+E63-E64</f>
        <v>641.53926871394094</v>
      </c>
      <c r="F65" s="488">
        <f t="shared" si="16"/>
        <v>1019.157856331172</v>
      </c>
      <c r="G65" s="488">
        <f t="shared" si="16"/>
        <v>1487.4856389741155</v>
      </c>
      <c r="H65" s="488">
        <f t="shared" si="16"/>
        <v>2051.5345341809298</v>
      </c>
      <c r="I65" s="488">
        <f t="shared" si="16"/>
        <v>2711.9342288041798</v>
      </c>
      <c r="J65" s="488">
        <f t="shared" si="16"/>
        <v>3482.0063007832782</v>
      </c>
      <c r="K65" s="488">
        <f t="shared" si="16"/>
        <v>4350.8106742918708</v>
      </c>
      <c r="L65" s="488" t="e">
        <f t="shared" si="16"/>
        <v>#VALUE!</v>
      </c>
      <c r="M65" s="488" t="e">
        <f t="shared" si="16"/>
        <v>#VALUE!</v>
      </c>
      <c r="N65" s="43"/>
      <c r="O65" s="43"/>
      <c r="P65" s="43"/>
      <c r="Q65" s="43"/>
      <c r="R65" s="43"/>
      <c r="S65" s="43"/>
      <c r="T65" s="43"/>
      <c r="U65" s="43"/>
    </row>
    <row r="66" spans="1:21">
      <c r="A66" s="83" t="s">
        <v>184</v>
      </c>
      <c r="B66" s="84"/>
      <c r="C66" s="84"/>
      <c r="D66" s="488">
        <f>D59+D53-D62</f>
        <v>808.71759700985444</v>
      </c>
      <c r="E66" s="488">
        <f t="shared" ref="E66:K66" si="17">E59+E53-E62</f>
        <v>808.49193206562563</v>
      </c>
      <c r="F66" s="488">
        <f t="shared" si="17"/>
        <v>871.77026816025159</v>
      </c>
      <c r="G66" s="488">
        <f t="shared" si="17"/>
        <v>972.55826263326594</v>
      </c>
      <c r="H66" s="488">
        <f t="shared" si="17"/>
        <v>1078.9150543708997</v>
      </c>
      <c r="I66" s="488">
        <f t="shared" si="17"/>
        <v>1185.9714981669397</v>
      </c>
      <c r="J66" s="488">
        <f t="shared" si="17"/>
        <v>1307.8296952289934</v>
      </c>
      <c r="K66" s="488">
        <f t="shared" si="17"/>
        <v>1417.5322524839869</v>
      </c>
      <c r="L66" s="488" t="e">
        <f>L59+L53</f>
        <v>#VALUE!</v>
      </c>
      <c r="M66" s="488" t="e">
        <f>M59+M53</f>
        <v>#VALUE!</v>
      </c>
      <c r="N66" s="43"/>
      <c r="O66" s="43"/>
      <c r="P66" s="43"/>
      <c r="Q66" s="43"/>
      <c r="R66" s="43"/>
      <c r="S66" s="43"/>
      <c r="T66" s="43"/>
      <c r="U66" s="43"/>
    </row>
    <row r="67" spans="1:21">
      <c r="A67" s="83" t="s">
        <v>185</v>
      </c>
      <c r="B67" s="84"/>
      <c r="C67" s="84"/>
      <c r="D67" s="488">
        <f>D66/D29*100</f>
        <v>40.194009307637145</v>
      </c>
      <c r="E67" s="488">
        <f t="shared" ref="E67:L67" si="18">E66/E29*100</f>
        <v>40.182793552097415</v>
      </c>
      <c r="F67" s="488">
        <f t="shared" si="18"/>
        <v>38.513586780531284</v>
      </c>
      <c r="G67" s="488">
        <f t="shared" si="18"/>
        <v>38.669633014081249</v>
      </c>
      <c r="H67" s="488">
        <f t="shared" si="18"/>
        <v>38.998597643186358</v>
      </c>
      <c r="I67" s="488">
        <f t="shared" si="18"/>
        <v>39.295917068508714</v>
      </c>
      <c r="J67" s="488">
        <f t="shared" si="18"/>
        <v>40.000209362575163</v>
      </c>
      <c r="K67" s="488">
        <f t="shared" si="18"/>
        <v>40.258661904710728</v>
      </c>
      <c r="L67" s="488" t="e">
        <f t="shared" si="18"/>
        <v>#VALUE!</v>
      </c>
      <c r="M67" s="488" t="e">
        <f>M66/M29*100</f>
        <v>#VALUE!</v>
      </c>
      <c r="N67" s="43"/>
      <c r="O67" s="43"/>
      <c r="P67" s="43"/>
      <c r="Q67" s="43"/>
      <c r="R67" s="43"/>
      <c r="S67" s="43"/>
      <c r="T67" s="43"/>
      <c r="U67" s="43"/>
    </row>
    <row r="68" spans="1:21">
      <c r="A68" s="83" t="s">
        <v>186</v>
      </c>
      <c r="B68" s="84"/>
      <c r="C68" s="84"/>
      <c r="D68" s="489">
        <f>D63/D29*100</f>
        <v>17.719548121794574</v>
      </c>
      <c r="E68" s="489">
        <f t="shared" ref="E68:L68" si="19">E63/E29*100</f>
        <v>17.708332366254844</v>
      </c>
      <c r="F68" s="489">
        <f t="shared" si="19"/>
        <v>18.536287948671227</v>
      </c>
      <c r="G68" s="489">
        <f t="shared" si="19"/>
        <v>20.690064065407192</v>
      </c>
      <c r="H68" s="489">
        <f t="shared" si="19"/>
        <v>22.653534962573577</v>
      </c>
      <c r="I68" s="489">
        <f t="shared" si="19"/>
        <v>24.312942944613667</v>
      </c>
      <c r="J68" s="489">
        <f t="shared" si="19"/>
        <v>26.169771709748961</v>
      </c>
      <c r="K68" s="489">
        <f t="shared" si="19"/>
        <v>27.416112655657837</v>
      </c>
      <c r="L68" s="489" t="e">
        <f t="shared" si="19"/>
        <v>#VALUE!</v>
      </c>
      <c r="M68" s="489" t="e">
        <f>M63/M29*100</f>
        <v>#VALUE!</v>
      </c>
      <c r="N68" s="43"/>
      <c r="O68" s="43"/>
      <c r="P68" s="43"/>
      <c r="Q68" s="43"/>
      <c r="R68" s="43"/>
      <c r="S68" s="43"/>
      <c r="T68" s="43"/>
      <c r="U68" s="43"/>
    </row>
    <row r="69" spans="1:21">
      <c r="A69" s="87" t="s">
        <v>187</v>
      </c>
      <c r="B69" s="88"/>
      <c r="C69" s="88"/>
      <c r="D69" s="490">
        <f>D63</f>
        <v>356.52353731319272</v>
      </c>
      <c r="E69" s="490">
        <f t="shared" ref="E69:J69" si="20">E63</f>
        <v>356.29787236896391</v>
      </c>
      <c r="F69" s="490">
        <f t="shared" si="20"/>
        <v>419.57620846358992</v>
      </c>
      <c r="G69" s="490">
        <f t="shared" si="20"/>
        <v>520.36420293660422</v>
      </c>
      <c r="H69" s="490">
        <f t="shared" si="20"/>
        <v>626.720994674238</v>
      </c>
      <c r="I69" s="490">
        <f t="shared" si="20"/>
        <v>733.77743847027796</v>
      </c>
      <c r="J69" s="490">
        <f t="shared" si="20"/>
        <v>855.63563553233166</v>
      </c>
      <c r="K69" s="490">
        <f>K63</f>
        <v>965.33819278732517</v>
      </c>
      <c r="L69" s="490" t="e">
        <f>L63</f>
        <v>#VALUE!</v>
      </c>
      <c r="M69" s="490" t="e">
        <f>M63</f>
        <v>#VALUE!</v>
      </c>
      <c r="N69" s="43"/>
      <c r="O69" s="43"/>
      <c r="P69" s="43"/>
      <c r="Q69" s="43"/>
      <c r="R69" s="43"/>
      <c r="S69" s="43"/>
      <c r="T69" s="43"/>
      <c r="U69" s="43"/>
    </row>
    <row r="70" spans="1:21">
      <c r="D70" s="67"/>
      <c r="E70" s="67"/>
      <c r="F70" s="67"/>
      <c r="G70" s="67"/>
      <c r="H70" s="67"/>
      <c r="I70" s="67"/>
      <c r="J70" s="67"/>
      <c r="K70" s="67"/>
      <c r="L70" s="67"/>
      <c r="M70" s="67"/>
      <c r="N70" s="67"/>
      <c r="O70" s="67"/>
      <c r="P70" s="67"/>
      <c r="Q70" s="67"/>
      <c r="R70" s="67"/>
      <c r="S70" s="67"/>
      <c r="T70" s="67"/>
      <c r="U70" s="43"/>
    </row>
    <row r="71" spans="1:21">
      <c r="D71" s="67"/>
      <c r="E71" s="67"/>
      <c r="F71" s="67"/>
      <c r="G71" s="67"/>
      <c r="H71" s="67"/>
      <c r="I71" s="67"/>
      <c r="J71" s="67"/>
      <c r="K71" s="67"/>
      <c r="L71" s="67"/>
      <c r="M71" s="67"/>
      <c r="N71" s="67"/>
      <c r="O71" s="67"/>
      <c r="P71" s="67"/>
      <c r="Q71" s="67"/>
      <c r="R71" s="67"/>
      <c r="S71" s="67"/>
      <c r="T71" s="67"/>
      <c r="U71" s="43"/>
    </row>
    <row r="72" spans="1:21">
      <c r="D72" s="67"/>
      <c r="E72" s="67"/>
      <c r="F72" s="67"/>
      <c r="G72" s="67"/>
      <c r="H72" s="67"/>
      <c r="I72" s="67"/>
      <c r="J72" s="67"/>
      <c r="K72" s="67"/>
      <c r="L72" s="67"/>
      <c r="M72" s="67"/>
      <c r="N72" s="67"/>
      <c r="O72" s="67"/>
      <c r="P72" s="67"/>
      <c r="Q72" s="67"/>
      <c r="R72" s="67"/>
      <c r="S72" s="67"/>
      <c r="T72" s="67"/>
      <c r="U72" s="43"/>
    </row>
    <row r="73" spans="1:21">
      <c r="D73" s="287">
        <f>D63/D29</f>
        <v>0.17719548121794573</v>
      </c>
      <c r="E73" s="287">
        <f t="shared" ref="E73:L73" si="21">E63/E29</f>
        <v>0.17708332366254845</v>
      </c>
      <c r="F73" s="287">
        <f t="shared" si="21"/>
        <v>0.18536287948671226</v>
      </c>
      <c r="G73" s="287">
        <f t="shared" si="21"/>
        <v>0.2069006406540719</v>
      </c>
      <c r="H73" s="287">
        <f t="shared" si="21"/>
        <v>0.22653534962573577</v>
      </c>
      <c r="I73" s="287">
        <f t="shared" si="21"/>
        <v>0.24312942944613666</v>
      </c>
      <c r="J73" s="287">
        <f t="shared" si="21"/>
        <v>0.26169771709748962</v>
      </c>
      <c r="K73" s="287">
        <f t="shared" si="21"/>
        <v>0.27416112655657837</v>
      </c>
      <c r="L73" s="287" t="e">
        <f t="shared" si="21"/>
        <v>#VALUE!</v>
      </c>
      <c r="M73" s="287" t="e">
        <f>M63/M29</f>
        <v>#VALUE!</v>
      </c>
      <c r="N73" s="287"/>
      <c r="O73" s="67"/>
      <c r="P73" s="67"/>
      <c r="Q73" s="67"/>
      <c r="R73" s="67"/>
      <c r="S73" s="67"/>
      <c r="T73" s="67"/>
      <c r="U73" s="43"/>
    </row>
    <row r="74" spans="1:21">
      <c r="D74" s="67"/>
      <c r="E74" s="67"/>
      <c r="F74" s="67"/>
      <c r="G74" s="67"/>
      <c r="H74" s="67"/>
      <c r="I74" s="67"/>
      <c r="J74" s="67"/>
      <c r="K74" s="67"/>
      <c r="L74" s="67"/>
      <c r="M74" s="67"/>
      <c r="N74" s="67"/>
      <c r="O74" s="67"/>
      <c r="P74" s="67"/>
      <c r="Q74" s="67"/>
      <c r="R74" s="67"/>
      <c r="S74" s="67"/>
      <c r="T74" s="67"/>
      <c r="U74" s="43"/>
    </row>
    <row r="75" spans="1:21">
      <c r="D75" s="67"/>
      <c r="E75" s="67"/>
      <c r="F75" s="67"/>
      <c r="G75" s="67"/>
      <c r="H75" s="67"/>
      <c r="I75" s="67"/>
      <c r="J75" s="67"/>
      <c r="K75" s="67"/>
      <c r="L75" s="67"/>
      <c r="M75" s="67"/>
      <c r="N75" s="67"/>
      <c r="O75" s="67"/>
      <c r="P75" s="67"/>
      <c r="Q75" s="67"/>
      <c r="R75" s="67"/>
      <c r="S75" s="67"/>
      <c r="T75" s="67"/>
      <c r="U75" s="43"/>
    </row>
    <row r="76" spans="1:21">
      <c r="D76" s="67"/>
      <c r="E76" s="67"/>
      <c r="F76" s="67"/>
      <c r="G76" s="67"/>
      <c r="H76" s="67"/>
      <c r="I76" s="67"/>
      <c r="J76" s="67"/>
      <c r="K76" s="67"/>
      <c r="L76" s="67"/>
      <c r="M76" s="67"/>
      <c r="N76" s="67"/>
      <c r="O76" s="67"/>
      <c r="P76" s="67"/>
      <c r="Q76" s="67"/>
      <c r="R76" s="67"/>
      <c r="S76" s="67"/>
      <c r="T76" s="67"/>
      <c r="U76" s="43"/>
    </row>
    <row r="77" spans="1:21">
      <c r="D77" s="67"/>
      <c r="E77" s="67"/>
      <c r="F77" s="67"/>
      <c r="G77" s="67"/>
      <c r="H77" s="67"/>
      <c r="I77" s="67"/>
      <c r="J77" s="67"/>
      <c r="K77" s="67"/>
      <c r="L77" s="67"/>
      <c r="M77" s="67"/>
      <c r="N77" s="67"/>
      <c r="O77" s="67"/>
      <c r="P77" s="67"/>
      <c r="Q77" s="67"/>
      <c r="R77" s="67"/>
      <c r="S77" s="67"/>
      <c r="T77" s="67"/>
      <c r="U77" s="43"/>
    </row>
    <row r="78" spans="1:21">
      <c r="D78" s="67"/>
      <c r="E78" s="67"/>
      <c r="F78" s="67"/>
      <c r="G78" s="67"/>
      <c r="H78" s="67"/>
      <c r="I78" s="67"/>
      <c r="J78" s="67"/>
      <c r="K78" s="67"/>
      <c r="L78" s="67"/>
      <c r="M78" s="67"/>
      <c r="N78" s="67"/>
      <c r="O78" s="67"/>
      <c r="P78" s="67"/>
      <c r="Q78" s="67"/>
      <c r="R78" s="67"/>
      <c r="S78" s="67"/>
      <c r="T78" s="67"/>
      <c r="U78" s="43"/>
    </row>
    <row r="79" spans="1:21">
      <c r="D79" s="67"/>
      <c r="E79" s="67"/>
      <c r="F79" s="67"/>
      <c r="G79" s="67"/>
      <c r="H79" s="67"/>
      <c r="I79" s="67"/>
      <c r="J79" s="67"/>
      <c r="K79" s="67"/>
      <c r="L79" s="67"/>
      <c r="M79" s="67"/>
      <c r="N79" s="67"/>
      <c r="O79" s="67"/>
      <c r="P79" s="67"/>
      <c r="Q79" s="67"/>
      <c r="R79" s="67"/>
      <c r="S79" s="67"/>
      <c r="T79" s="67"/>
      <c r="U79" s="43"/>
    </row>
    <row r="80" spans="1:21">
      <c r="D80" s="67"/>
      <c r="E80" s="67"/>
      <c r="F80" s="67"/>
      <c r="G80" s="67"/>
      <c r="H80" s="67"/>
      <c r="I80" s="67"/>
      <c r="J80" s="67"/>
      <c r="K80" s="67"/>
      <c r="L80" s="67"/>
      <c r="M80" s="67"/>
      <c r="N80" s="67"/>
      <c r="O80" s="67"/>
      <c r="P80" s="67"/>
      <c r="Q80" s="67"/>
      <c r="R80" s="67"/>
      <c r="S80" s="67"/>
      <c r="T80" s="67"/>
      <c r="U80" s="43"/>
    </row>
    <row r="81" spans="4:21">
      <c r="D81" s="67"/>
      <c r="E81" s="67"/>
      <c r="F81" s="67"/>
      <c r="G81" s="67"/>
      <c r="H81" s="67"/>
      <c r="I81" s="67"/>
      <c r="J81" s="67"/>
      <c r="K81" s="67"/>
      <c r="L81" s="67"/>
      <c r="M81" s="67"/>
      <c r="N81" s="67"/>
      <c r="O81" s="67"/>
      <c r="P81" s="67"/>
      <c r="Q81" s="67"/>
      <c r="R81" s="67"/>
      <c r="S81" s="67"/>
      <c r="T81" s="67"/>
      <c r="U81" s="43"/>
    </row>
    <row r="82" spans="4:21">
      <c r="D82" s="67"/>
      <c r="E82" s="67"/>
      <c r="F82" s="67"/>
      <c r="G82" s="67"/>
      <c r="H82" s="67"/>
      <c r="I82" s="67"/>
      <c r="J82" s="67"/>
      <c r="K82" s="67"/>
      <c r="L82" s="67"/>
      <c r="M82" s="67"/>
      <c r="N82" s="67"/>
      <c r="O82" s="67"/>
      <c r="P82" s="67"/>
      <c r="Q82" s="67"/>
      <c r="R82" s="67"/>
      <c r="S82" s="67"/>
      <c r="T82" s="67"/>
      <c r="U82" s="43"/>
    </row>
    <row r="83" spans="4:21">
      <c r="D83" s="67"/>
      <c r="E83" s="67"/>
      <c r="F83" s="67"/>
      <c r="G83" s="67"/>
      <c r="H83" s="67"/>
      <c r="I83" s="67"/>
      <c r="J83" s="67"/>
      <c r="K83" s="67"/>
      <c r="L83" s="67"/>
      <c r="M83" s="67"/>
      <c r="N83" s="67"/>
      <c r="O83" s="67"/>
      <c r="P83" s="67"/>
      <c r="Q83" s="67"/>
      <c r="R83" s="67"/>
      <c r="S83" s="67"/>
      <c r="T83" s="67"/>
      <c r="U83" s="43"/>
    </row>
    <row r="84" spans="4:21">
      <c r="D84" s="67"/>
      <c r="E84" s="67"/>
      <c r="F84" s="67"/>
      <c r="G84" s="67"/>
      <c r="H84" s="67"/>
      <c r="I84" s="67"/>
      <c r="J84" s="67"/>
      <c r="K84" s="67"/>
      <c r="L84" s="67"/>
      <c r="M84" s="67"/>
      <c r="N84" s="67"/>
      <c r="O84" s="67"/>
      <c r="P84" s="67"/>
      <c r="Q84" s="67"/>
      <c r="R84" s="67"/>
      <c r="S84" s="67"/>
      <c r="T84" s="67"/>
      <c r="U84" s="43"/>
    </row>
    <row r="85" spans="4:21">
      <c r="D85" s="67"/>
      <c r="E85" s="67"/>
      <c r="F85" s="67"/>
      <c r="G85" s="67"/>
      <c r="H85" s="67"/>
      <c r="I85" s="67"/>
      <c r="J85" s="67"/>
      <c r="K85" s="67"/>
      <c r="L85" s="67"/>
      <c r="M85" s="67"/>
      <c r="N85" s="67"/>
      <c r="O85" s="67"/>
      <c r="P85" s="67"/>
      <c r="Q85" s="67"/>
      <c r="R85" s="67"/>
      <c r="S85" s="67"/>
      <c r="T85" s="67"/>
      <c r="U85" s="43"/>
    </row>
    <row r="86" spans="4:21">
      <c r="D86" s="67"/>
      <c r="E86" s="67"/>
      <c r="F86" s="67"/>
      <c r="G86" s="67"/>
      <c r="H86" s="67"/>
      <c r="I86" s="67"/>
      <c r="J86" s="67"/>
      <c r="K86" s="67"/>
      <c r="L86" s="67"/>
      <c r="M86" s="67"/>
      <c r="N86" s="67"/>
      <c r="O86" s="67"/>
      <c r="P86" s="67"/>
      <c r="Q86" s="67"/>
      <c r="R86" s="67"/>
      <c r="S86" s="67"/>
      <c r="T86" s="67"/>
      <c r="U86" s="43"/>
    </row>
    <row r="87" spans="4:21">
      <c r="D87" s="67"/>
      <c r="E87" s="67"/>
      <c r="F87" s="67"/>
      <c r="G87" s="67"/>
      <c r="H87" s="67"/>
      <c r="I87" s="67"/>
      <c r="J87" s="67"/>
      <c r="K87" s="67"/>
      <c r="L87" s="67"/>
      <c r="M87" s="67"/>
      <c r="N87" s="67"/>
      <c r="O87" s="67"/>
      <c r="P87" s="67"/>
      <c r="Q87" s="67"/>
      <c r="R87" s="67"/>
      <c r="S87" s="67"/>
      <c r="T87" s="67"/>
      <c r="U87" s="43"/>
    </row>
    <row r="88" spans="4:21">
      <c r="D88" s="67"/>
      <c r="E88" s="67"/>
      <c r="F88" s="67"/>
      <c r="G88" s="67"/>
      <c r="H88" s="67"/>
      <c r="I88" s="67"/>
      <c r="J88" s="67"/>
      <c r="K88" s="67"/>
      <c r="L88" s="67"/>
      <c r="M88" s="67"/>
      <c r="N88" s="67"/>
      <c r="O88" s="67"/>
      <c r="P88" s="67"/>
      <c r="Q88" s="67"/>
      <c r="R88" s="67"/>
      <c r="S88" s="67"/>
      <c r="T88" s="67"/>
      <c r="U88" s="43"/>
    </row>
    <row r="89" spans="4:21">
      <c r="D89" s="67"/>
      <c r="E89" s="67"/>
      <c r="F89" s="67"/>
      <c r="G89" s="67"/>
      <c r="H89" s="67"/>
      <c r="I89" s="67"/>
      <c r="J89" s="67"/>
      <c r="K89" s="67"/>
      <c r="L89" s="67"/>
      <c r="M89" s="67"/>
      <c r="N89" s="67"/>
      <c r="O89" s="67"/>
      <c r="P89" s="67"/>
      <c r="Q89" s="67"/>
      <c r="R89" s="67"/>
      <c r="S89" s="67"/>
      <c r="T89" s="67"/>
      <c r="U89" s="43"/>
    </row>
    <row r="90" spans="4:21">
      <c r="D90" s="67"/>
      <c r="E90" s="67"/>
      <c r="F90" s="67"/>
      <c r="G90" s="67"/>
      <c r="H90" s="67"/>
      <c r="I90" s="67"/>
      <c r="J90" s="67"/>
      <c r="K90" s="67"/>
      <c r="L90" s="67"/>
      <c r="M90" s="67"/>
      <c r="N90" s="67"/>
      <c r="O90" s="67"/>
      <c r="P90" s="67"/>
      <c r="Q90" s="67"/>
      <c r="R90" s="67"/>
      <c r="S90" s="67"/>
      <c r="T90" s="67"/>
      <c r="U90" s="43"/>
    </row>
    <row r="91" spans="4:21">
      <c r="D91" s="67"/>
      <c r="E91" s="67"/>
      <c r="F91" s="67"/>
      <c r="G91" s="67"/>
      <c r="H91" s="67"/>
      <c r="I91" s="67"/>
      <c r="J91" s="67"/>
      <c r="K91" s="67"/>
      <c r="L91" s="67"/>
      <c r="M91" s="67"/>
      <c r="N91" s="67"/>
      <c r="O91" s="67"/>
      <c r="P91" s="67"/>
      <c r="Q91" s="67"/>
      <c r="R91" s="67"/>
      <c r="S91" s="67"/>
      <c r="T91" s="67"/>
      <c r="U91" s="43"/>
    </row>
    <row r="92" spans="4:21">
      <c r="D92" s="67"/>
      <c r="E92" s="67"/>
      <c r="F92" s="67"/>
      <c r="G92" s="67"/>
      <c r="H92" s="67"/>
      <c r="I92" s="67"/>
      <c r="J92" s="67"/>
      <c r="K92" s="67"/>
      <c r="L92" s="67"/>
      <c r="M92" s="67"/>
      <c r="N92" s="67"/>
      <c r="O92" s="67"/>
      <c r="P92" s="67"/>
      <c r="Q92" s="67"/>
      <c r="R92" s="67"/>
      <c r="S92" s="67"/>
      <c r="T92" s="67"/>
      <c r="U92" s="43"/>
    </row>
    <row r="93" spans="4:21">
      <c r="D93" s="67"/>
      <c r="E93" s="67"/>
      <c r="F93" s="67"/>
      <c r="G93" s="67"/>
      <c r="H93" s="67"/>
      <c r="I93" s="67"/>
      <c r="J93" s="67"/>
      <c r="K93" s="67"/>
      <c r="L93" s="67"/>
      <c r="M93" s="67"/>
      <c r="N93" s="67"/>
      <c r="O93" s="67"/>
      <c r="P93" s="67"/>
      <c r="Q93" s="67"/>
      <c r="R93" s="67"/>
      <c r="S93" s="67"/>
      <c r="T93" s="67"/>
      <c r="U93" s="43"/>
    </row>
    <row r="94" spans="4:21">
      <c r="D94" s="67"/>
      <c r="E94" s="67"/>
      <c r="F94" s="67"/>
      <c r="G94" s="67"/>
      <c r="H94" s="67"/>
      <c r="I94" s="67"/>
      <c r="J94" s="67"/>
      <c r="K94" s="67"/>
      <c r="L94" s="67"/>
      <c r="M94" s="67"/>
      <c r="N94" s="67"/>
      <c r="O94" s="67"/>
      <c r="P94" s="67"/>
      <c r="Q94" s="67"/>
      <c r="R94" s="67"/>
      <c r="S94" s="67"/>
      <c r="T94" s="67"/>
      <c r="U94" s="43"/>
    </row>
    <row r="95" spans="4:21">
      <c r="D95" s="67"/>
      <c r="E95" s="67"/>
      <c r="F95" s="67"/>
      <c r="G95" s="67"/>
      <c r="H95" s="67"/>
      <c r="I95" s="67"/>
      <c r="J95" s="67"/>
      <c r="K95" s="67"/>
      <c r="L95" s="67"/>
      <c r="M95" s="67"/>
      <c r="N95" s="67"/>
      <c r="O95" s="67"/>
      <c r="P95" s="67"/>
      <c r="Q95" s="67"/>
      <c r="R95" s="67"/>
      <c r="S95" s="67"/>
      <c r="T95" s="67"/>
      <c r="U95" s="43"/>
    </row>
    <row r="96" spans="4:21">
      <c r="D96" s="67"/>
      <c r="E96" s="67"/>
      <c r="F96" s="67"/>
      <c r="G96" s="67"/>
      <c r="H96" s="67"/>
      <c r="I96" s="67"/>
      <c r="J96" s="67"/>
      <c r="K96" s="67"/>
      <c r="L96" s="67"/>
      <c r="M96" s="67"/>
      <c r="N96" s="67"/>
      <c r="O96" s="67"/>
      <c r="P96" s="67"/>
      <c r="Q96" s="67"/>
      <c r="R96" s="67"/>
      <c r="S96" s="67"/>
      <c r="T96" s="67"/>
      <c r="U96" s="43"/>
    </row>
    <row r="97" spans="1:21">
      <c r="D97" s="67"/>
      <c r="E97" s="67"/>
      <c r="F97" s="67"/>
      <c r="G97" s="67"/>
      <c r="H97" s="67"/>
      <c r="I97" s="67"/>
      <c r="J97" s="67"/>
      <c r="K97" s="67"/>
      <c r="L97" s="67"/>
      <c r="M97" s="67"/>
      <c r="N97" s="67"/>
      <c r="O97" s="67"/>
      <c r="P97" s="67"/>
      <c r="Q97" s="67"/>
      <c r="R97" s="67"/>
      <c r="S97" s="67"/>
      <c r="T97" s="67"/>
      <c r="U97" s="43"/>
    </row>
    <row r="98" spans="1:21">
      <c r="D98" s="67"/>
      <c r="E98" s="67"/>
      <c r="F98" s="67"/>
      <c r="G98" s="67"/>
      <c r="H98" s="67"/>
      <c r="I98" s="67"/>
      <c r="J98" s="67"/>
      <c r="K98" s="67"/>
      <c r="L98" s="67"/>
      <c r="M98" s="67"/>
      <c r="N98" s="67"/>
      <c r="O98" s="67"/>
      <c r="P98" s="67"/>
      <c r="Q98" s="67"/>
      <c r="R98" s="67"/>
      <c r="S98" s="67"/>
      <c r="T98" s="67"/>
      <c r="U98" s="43"/>
    </row>
    <row r="99" spans="1:21">
      <c r="D99" s="67"/>
      <c r="E99" s="67"/>
      <c r="F99" s="67"/>
      <c r="G99" s="67"/>
      <c r="H99" s="67"/>
      <c r="I99" s="67"/>
      <c r="J99" s="67"/>
      <c r="K99" s="67"/>
      <c r="L99" s="67"/>
      <c r="M99" s="67"/>
      <c r="N99" s="67"/>
      <c r="O99" s="67"/>
      <c r="P99" s="67"/>
      <c r="Q99" s="67"/>
      <c r="R99" s="67"/>
      <c r="S99" s="67"/>
      <c r="T99" s="67"/>
      <c r="U99" s="43"/>
    </row>
    <row r="100" spans="1:21">
      <c r="D100" s="67"/>
      <c r="E100" s="67"/>
      <c r="F100" s="67"/>
      <c r="G100" s="67"/>
      <c r="H100" s="67"/>
      <c r="I100" s="67"/>
      <c r="J100" s="67"/>
      <c r="K100" s="67"/>
      <c r="L100" s="67"/>
      <c r="M100" s="67"/>
      <c r="N100" s="67"/>
      <c r="O100" s="67"/>
      <c r="P100" s="67"/>
      <c r="Q100" s="67"/>
      <c r="R100" s="67"/>
      <c r="S100" s="67"/>
      <c r="T100" s="67"/>
      <c r="U100" s="43"/>
    </row>
    <row r="101" spans="1:21">
      <c r="D101" s="67"/>
      <c r="E101" s="67"/>
      <c r="F101" s="67"/>
      <c r="G101" s="67"/>
      <c r="H101" s="67"/>
      <c r="I101" s="67"/>
      <c r="J101" s="67"/>
      <c r="K101" s="67"/>
      <c r="L101" s="67"/>
      <c r="M101" s="67"/>
      <c r="N101" s="67"/>
      <c r="O101" s="67"/>
      <c r="P101" s="67"/>
      <c r="Q101" s="67"/>
      <c r="R101" s="67"/>
      <c r="S101" s="67"/>
      <c r="T101" s="67"/>
      <c r="U101" s="43"/>
    </row>
    <row r="102" spans="1:21">
      <c r="D102" s="67"/>
      <c r="E102" s="67"/>
      <c r="F102" s="67"/>
      <c r="G102" s="67"/>
      <c r="H102" s="67"/>
      <c r="I102" s="67"/>
      <c r="J102" s="67"/>
      <c r="K102" s="67"/>
      <c r="L102" s="67"/>
      <c r="M102" s="67"/>
      <c r="N102" s="67"/>
      <c r="O102" s="67"/>
      <c r="P102" s="67"/>
      <c r="Q102" s="67"/>
      <c r="R102" s="67"/>
      <c r="S102" s="67"/>
      <c r="T102" s="67"/>
      <c r="U102" s="43"/>
    </row>
    <row r="103" spans="1:21">
      <c r="D103" s="67"/>
      <c r="E103" s="67"/>
      <c r="F103" s="67"/>
      <c r="G103" s="67"/>
      <c r="H103" s="67"/>
      <c r="I103" s="67"/>
      <c r="J103" s="67"/>
      <c r="K103" s="67"/>
      <c r="L103" s="67"/>
      <c r="M103" s="67"/>
      <c r="N103" s="67"/>
      <c r="O103" s="67"/>
      <c r="P103" s="67"/>
      <c r="Q103" s="67"/>
      <c r="R103" s="67"/>
      <c r="S103" s="67"/>
      <c r="T103" s="67"/>
      <c r="U103" s="43"/>
    </row>
    <row r="104" spans="1:21">
      <c r="D104" s="67"/>
      <c r="E104" s="67"/>
      <c r="F104" s="67"/>
      <c r="G104" s="67"/>
      <c r="H104" s="67"/>
      <c r="I104" s="67"/>
      <c r="J104" s="67"/>
      <c r="K104" s="67"/>
      <c r="L104" s="67"/>
      <c r="M104" s="67"/>
      <c r="N104" s="67"/>
      <c r="O104" s="67"/>
      <c r="P104" s="67"/>
      <c r="Q104" s="67"/>
      <c r="R104" s="67"/>
      <c r="S104" s="67"/>
      <c r="T104" s="67"/>
      <c r="U104" s="43"/>
    </row>
    <row r="105" spans="1:21">
      <c r="D105" s="67"/>
      <c r="E105" s="67"/>
      <c r="F105" s="67"/>
      <c r="G105" s="67"/>
      <c r="H105" s="67"/>
      <c r="I105" s="67"/>
      <c r="J105" s="67"/>
      <c r="K105" s="67"/>
      <c r="L105" s="67"/>
      <c r="M105" s="67"/>
      <c r="N105" s="67"/>
      <c r="O105" s="67"/>
      <c r="P105" s="67"/>
      <c r="Q105" s="67"/>
      <c r="R105" s="67"/>
      <c r="S105" s="67"/>
      <c r="T105" s="67"/>
      <c r="U105" s="43"/>
    </row>
    <row r="106" spans="1:21">
      <c r="D106" s="67"/>
      <c r="E106" s="67"/>
      <c r="F106" s="67"/>
      <c r="G106" s="67"/>
      <c r="H106" s="67"/>
      <c r="I106" s="67"/>
      <c r="J106" s="67"/>
      <c r="K106" s="67"/>
      <c r="L106" s="67"/>
      <c r="M106" s="67"/>
      <c r="N106" s="67"/>
      <c r="O106" s="67"/>
      <c r="P106" s="67"/>
      <c r="Q106" s="67"/>
      <c r="R106" s="67"/>
      <c r="S106" s="67"/>
      <c r="T106" s="67"/>
      <c r="U106" s="43"/>
    </row>
    <row r="107" spans="1:21">
      <c r="D107" s="67"/>
      <c r="E107" s="67"/>
      <c r="F107" s="67"/>
      <c r="G107" s="67"/>
      <c r="H107" s="67"/>
      <c r="I107" s="67"/>
      <c r="J107" s="67"/>
      <c r="K107" s="67"/>
      <c r="L107" s="67"/>
      <c r="M107" s="67"/>
      <c r="N107" s="67"/>
      <c r="O107" s="67"/>
      <c r="P107" s="67"/>
      <c r="Q107" s="67"/>
      <c r="R107" s="67"/>
      <c r="S107" s="67"/>
      <c r="T107" s="67"/>
      <c r="U107" s="43"/>
    </row>
    <row r="108" spans="1:21">
      <c r="D108" s="67"/>
      <c r="E108" s="67"/>
      <c r="F108" s="67"/>
      <c r="G108" s="67"/>
      <c r="H108" s="67"/>
      <c r="I108" s="67"/>
      <c r="J108" s="67"/>
      <c r="K108" s="67"/>
      <c r="L108" s="67"/>
      <c r="M108" s="67"/>
      <c r="N108" s="67"/>
      <c r="O108" s="67"/>
      <c r="P108" s="67"/>
      <c r="Q108" s="67"/>
      <c r="R108" s="67"/>
      <c r="S108" s="67"/>
      <c r="T108" s="67"/>
      <c r="U108" s="43"/>
    </row>
    <row r="109" spans="1:21">
      <c r="D109" s="67"/>
      <c r="E109" s="67"/>
      <c r="F109" s="67"/>
      <c r="G109" s="67"/>
      <c r="H109" s="67"/>
      <c r="I109" s="67"/>
      <c r="J109" s="67"/>
      <c r="K109" s="67"/>
      <c r="L109" s="67"/>
      <c r="M109" s="67"/>
      <c r="N109" s="67"/>
      <c r="O109" s="67"/>
      <c r="P109" s="67"/>
      <c r="Q109" s="67"/>
      <c r="R109" s="67"/>
      <c r="S109" s="67"/>
      <c r="T109" s="67"/>
      <c r="U109" s="43"/>
    </row>
    <row r="110" spans="1:21">
      <c r="D110" s="67"/>
      <c r="E110" s="67"/>
      <c r="F110" s="67"/>
      <c r="G110" s="67"/>
      <c r="H110" s="67"/>
      <c r="I110" s="67"/>
      <c r="J110" s="67"/>
      <c r="K110" s="67"/>
      <c r="L110" s="67"/>
      <c r="M110" s="67"/>
      <c r="N110" s="67"/>
      <c r="O110" s="67"/>
      <c r="P110" s="67"/>
      <c r="Q110" s="67"/>
      <c r="R110" s="67"/>
      <c r="S110" s="67"/>
      <c r="T110" s="67"/>
      <c r="U110" s="43"/>
    </row>
    <row r="111" spans="1:21">
      <c r="A111" s="84" t="s">
        <v>181</v>
      </c>
      <c r="D111" s="67">
        <f>D61/D29*100</f>
        <v>39.920599706083493</v>
      </c>
      <c r="E111" s="67">
        <f t="shared" ref="E111:K111" si="22">E61/E29*100</f>
        <v>39.1774006218781</v>
      </c>
      <c r="F111" s="67">
        <f t="shared" si="22"/>
        <v>38.138912125842651</v>
      </c>
      <c r="G111" s="67">
        <f t="shared" si="22"/>
        <v>39.253203317963383</v>
      </c>
      <c r="H111" s="67">
        <f t="shared" si="22"/>
        <v>40.174109050388616</v>
      </c>
      <c r="I111" s="67">
        <f t="shared" si="22"/>
        <v>40.686030908558074</v>
      </c>
      <c r="J111" s="67">
        <f t="shared" si="22"/>
        <v>41.641343587278264</v>
      </c>
      <c r="K111" s="67">
        <f t="shared" si="22"/>
        <v>42.246086104631281</v>
      </c>
      <c r="L111" s="67"/>
      <c r="M111" s="67"/>
      <c r="N111" s="67"/>
      <c r="O111" s="67"/>
      <c r="P111" s="67"/>
      <c r="Q111" s="67"/>
      <c r="R111" s="67"/>
      <c r="S111" s="67"/>
      <c r="T111" s="67"/>
      <c r="U111" s="43"/>
    </row>
    <row r="112" spans="1:21">
      <c r="A112" s="84" t="s">
        <v>393</v>
      </c>
      <c r="D112" s="67">
        <f>(D61+D53)/D29*100</f>
        <v>62.395060891926057</v>
      </c>
      <c r="E112" s="67">
        <f t="shared" ref="E112:K112" si="23">(E61+E53)/E29*100</f>
        <v>61.651861807720664</v>
      </c>
      <c r="F112" s="67">
        <f t="shared" si="23"/>
        <v>58.116210957702719</v>
      </c>
      <c r="G112" s="67">
        <f t="shared" si="23"/>
        <v>57.232772266637447</v>
      </c>
      <c r="H112" s="67">
        <f t="shared" si="23"/>
        <v>56.519171731001407</v>
      </c>
      <c r="I112" s="67">
        <f t="shared" si="23"/>
        <v>55.669005032453121</v>
      </c>
      <c r="J112" s="67">
        <f t="shared" si="23"/>
        <v>55.471781240104455</v>
      </c>
      <c r="K112" s="67">
        <f t="shared" si="23"/>
        <v>55.088635353684182</v>
      </c>
      <c r="L112" s="67"/>
      <c r="M112" s="67"/>
      <c r="N112" s="67"/>
      <c r="O112" s="67"/>
      <c r="P112" s="67"/>
      <c r="Q112" s="67"/>
      <c r="R112" s="67"/>
      <c r="S112" s="67"/>
      <c r="T112" s="67"/>
      <c r="U112" s="43"/>
    </row>
    <row r="113" spans="1:21">
      <c r="A113" s="84" t="s">
        <v>394</v>
      </c>
      <c r="D113" s="67">
        <f>D63/D29*100</f>
        <v>17.719548121794574</v>
      </c>
      <c r="E113" s="67">
        <f t="shared" ref="E113:K113" si="24">E63/E29*100</f>
        <v>17.708332366254844</v>
      </c>
      <c r="F113" s="67">
        <f t="shared" si="24"/>
        <v>18.536287948671227</v>
      </c>
      <c r="G113" s="67">
        <f t="shared" si="24"/>
        <v>20.690064065407192</v>
      </c>
      <c r="H113" s="67">
        <f t="shared" si="24"/>
        <v>22.653534962573577</v>
      </c>
      <c r="I113" s="67">
        <f t="shared" si="24"/>
        <v>24.312942944613667</v>
      </c>
      <c r="J113" s="67">
        <f t="shared" si="24"/>
        <v>26.169771709748961</v>
      </c>
      <c r="K113" s="67">
        <f t="shared" si="24"/>
        <v>27.416112655657837</v>
      </c>
      <c r="L113" s="67"/>
      <c r="M113" s="67"/>
      <c r="N113" s="67"/>
      <c r="O113" s="67"/>
      <c r="P113" s="67"/>
      <c r="Q113" s="67"/>
      <c r="R113" s="67"/>
      <c r="S113" s="67"/>
      <c r="T113" s="67"/>
      <c r="U113" s="43"/>
    </row>
    <row r="114" spans="1:21">
      <c r="A114" s="84" t="s">
        <v>184</v>
      </c>
      <c r="D114" s="67">
        <f>(D63+D53)/D29*100</f>
        <v>40.194009307637145</v>
      </c>
      <c r="E114" s="67">
        <f t="shared" ref="E114:K114" si="25">(E63+E53)/E29*100</f>
        <v>40.182793552097415</v>
      </c>
      <c r="F114" s="67">
        <f t="shared" si="25"/>
        <v>38.513586780531291</v>
      </c>
      <c r="G114" s="67">
        <f t="shared" si="25"/>
        <v>38.669633014081249</v>
      </c>
      <c r="H114" s="67">
        <f t="shared" si="25"/>
        <v>38.998597643186358</v>
      </c>
      <c r="I114" s="67">
        <f t="shared" si="25"/>
        <v>39.295917068508714</v>
      </c>
      <c r="J114" s="67">
        <f t="shared" si="25"/>
        <v>40.000209362575163</v>
      </c>
      <c r="K114" s="67">
        <f t="shared" si="25"/>
        <v>40.258661904710728</v>
      </c>
      <c r="L114" s="67"/>
      <c r="M114" s="67"/>
      <c r="N114" s="67"/>
      <c r="O114" s="67"/>
      <c r="P114" s="67"/>
      <c r="Q114" s="67"/>
      <c r="R114" s="67"/>
      <c r="S114" s="67"/>
      <c r="T114" s="67"/>
      <c r="U114" s="43"/>
    </row>
    <row r="115" spans="1:21">
      <c r="D115" s="67"/>
      <c r="E115" s="67"/>
      <c r="F115" s="67"/>
      <c r="G115" s="67"/>
      <c r="H115" s="67"/>
      <c r="I115" s="67"/>
      <c r="J115" s="67"/>
      <c r="K115" s="67"/>
      <c r="L115" s="67"/>
      <c r="M115" s="67"/>
      <c r="N115" s="67"/>
      <c r="O115" s="67"/>
      <c r="P115" s="67"/>
      <c r="Q115" s="67"/>
      <c r="R115" s="67"/>
      <c r="S115" s="67"/>
      <c r="T115" s="67"/>
      <c r="U115" s="43"/>
    </row>
    <row r="116" spans="1:21">
      <c r="D116" s="67"/>
      <c r="E116" s="67"/>
      <c r="F116" s="67"/>
      <c r="G116" s="67"/>
      <c r="H116" s="67"/>
      <c r="I116" s="67"/>
      <c r="J116" s="67"/>
      <c r="K116" s="67"/>
      <c r="L116" s="67"/>
      <c r="M116" s="67"/>
      <c r="N116" s="67"/>
      <c r="O116" s="67"/>
      <c r="P116" s="67"/>
      <c r="Q116" s="67"/>
      <c r="R116" s="67"/>
      <c r="S116" s="67"/>
      <c r="T116" s="67"/>
      <c r="U116" s="43"/>
    </row>
    <row r="117" spans="1:21">
      <c r="D117" s="67"/>
      <c r="E117" s="67"/>
      <c r="F117" s="67"/>
      <c r="G117" s="67"/>
      <c r="H117" s="67"/>
      <c r="I117" s="67"/>
      <c r="J117" s="67"/>
      <c r="K117" s="67"/>
      <c r="L117" s="67"/>
      <c r="M117" s="67"/>
      <c r="N117" s="67"/>
      <c r="O117" s="67"/>
      <c r="P117" s="67"/>
      <c r="Q117" s="67"/>
      <c r="R117" s="67"/>
      <c r="S117" s="67"/>
      <c r="T117" s="67"/>
      <c r="U117" s="43"/>
    </row>
    <row r="118" spans="1:21">
      <c r="D118" s="67"/>
      <c r="E118" s="67"/>
      <c r="F118" s="67"/>
      <c r="G118" s="67"/>
      <c r="H118" s="67"/>
      <c r="I118" s="67"/>
      <c r="J118" s="67"/>
      <c r="K118" s="67"/>
      <c r="L118" s="67"/>
      <c r="M118" s="67"/>
      <c r="N118" s="67"/>
      <c r="O118" s="67"/>
      <c r="P118" s="67"/>
      <c r="Q118" s="67"/>
      <c r="R118" s="67"/>
      <c r="S118" s="67"/>
      <c r="T118" s="67"/>
      <c r="U118" s="43"/>
    </row>
    <row r="119" spans="1:21">
      <c r="D119" s="67"/>
      <c r="E119" s="67"/>
      <c r="F119" s="67"/>
      <c r="G119" s="67"/>
      <c r="H119" s="67"/>
      <c r="I119" s="67"/>
      <c r="J119" s="67"/>
      <c r="K119" s="67"/>
      <c r="L119" s="67"/>
      <c r="M119" s="67"/>
      <c r="N119" s="67"/>
      <c r="O119" s="67"/>
      <c r="P119" s="67"/>
      <c r="Q119" s="67"/>
      <c r="R119" s="67"/>
      <c r="S119" s="67"/>
      <c r="T119" s="67"/>
      <c r="U119" s="43"/>
    </row>
    <row r="120" spans="1:21">
      <c r="D120" s="67"/>
      <c r="E120" s="67"/>
      <c r="F120" s="67"/>
      <c r="G120" s="67"/>
      <c r="H120" s="67"/>
      <c r="I120" s="67"/>
      <c r="J120" s="67"/>
      <c r="K120" s="67"/>
      <c r="L120" s="67"/>
      <c r="M120" s="67"/>
      <c r="N120" s="67"/>
      <c r="O120" s="67"/>
      <c r="P120" s="67"/>
      <c r="Q120" s="67"/>
      <c r="R120" s="67"/>
      <c r="S120" s="67"/>
      <c r="T120" s="67"/>
      <c r="U120" s="43"/>
    </row>
    <row r="121" spans="1:21">
      <c r="D121" s="67"/>
      <c r="E121" s="67"/>
      <c r="F121" s="67"/>
      <c r="G121" s="67"/>
      <c r="H121" s="67"/>
      <c r="I121" s="67"/>
      <c r="J121" s="67"/>
      <c r="K121" s="67"/>
      <c r="L121" s="67"/>
      <c r="M121" s="67"/>
      <c r="N121" s="67"/>
      <c r="O121" s="67"/>
      <c r="P121" s="67"/>
      <c r="Q121" s="67"/>
      <c r="R121" s="67"/>
      <c r="S121" s="67"/>
      <c r="T121" s="67"/>
      <c r="U121" s="43"/>
    </row>
    <row r="122" spans="1:21">
      <c r="D122" s="67"/>
      <c r="E122" s="67"/>
      <c r="F122" s="67"/>
      <c r="G122" s="67"/>
      <c r="H122" s="67"/>
      <c r="I122" s="67"/>
      <c r="J122" s="67"/>
      <c r="K122" s="67"/>
      <c r="L122" s="67"/>
      <c r="M122" s="67"/>
      <c r="N122" s="67"/>
      <c r="O122" s="67"/>
      <c r="P122" s="67"/>
      <c r="Q122" s="67"/>
      <c r="R122" s="67"/>
      <c r="S122" s="67"/>
      <c r="T122" s="67"/>
      <c r="U122" s="43"/>
    </row>
    <row r="123" spans="1:21">
      <c r="D123" s="67"/>
      <c r="E123" s="67"/>
      <c r="F123" s="67"/>
      <c r="G123" s="67"/>
      <c r="H123" s="67"/>
      <c r="I123" s="67"/>
      <c r="J123" s="67"/>
      <c r="K123" s="67"/>
      <c r="L123" s="67"/>
      <c r="M123" s="67"/>
      <c r="N123" s="67"/>
      <c r="O123" s="67"/>
      <c r="P123" s="67"/>
      <c r="Q123" s="67"/>
      <c r="R123" s="67"/>
      <c r="S123" s="67"/>
      <c r="T123" s="67"/>
      <c r="U123" s="43"/>
    </row>
    <row r="124" spans="1:21">
      <c r="D124" s="67"/>
      <c r="E124" s="67"/>
      <c r="F124" s="67"/>
      <c r="G124" s="67"/>
      <c r="H124" s="67"/>
      <c r="I124" s="67"/>
      <c r="J124" s="67"/>
      <c r="K124" s="67"/>
      <c r="L124" s="67"/>
      <c r="M124" s="67"/>
      <c r="N124" s="67"/>
      <c r="O124" s="67"/>
      <c r="P124" s="67"/>
      <c r="Q124" s="67"/>
      <c r="R124" s="67"/>
      <c r="S124" s="67"/>
      <c r="T124" s="67"/>
      <c r="U124" s="43"/>
    </row>
    <row r="125" spans="1:21">
      <c r="D125" s="67"/>
      <c r="E125" s="67"/>
      <c r="F125" s="67"/>
      <c r="G125" s="67"/>
      <c r="H125" s="67"/>
      <c r="I125" s="67"/>
      <c r="J125" s="67"/>
      <c r="K125" s="67"/>
      <c r="L125" s="67"/>
      <c r="M125" s="67"/>
      <c r="N125" s="67"/>
      <c r="O125" s="67"/>
      <c r="P125" s="67"/>
      <c r="Q125" s="67"/>
      <c r="R125" s="67"/>
      <c r="S125" s="67"/>
      <c r="T125" s="67"/>
      <c r="U125" s="43"/>
    </row>
    <row r="126" spans="1:21">
      <c r="D126" s="67"/>
      <c r="E126" s="67"/>
      <c r="F126" s="67"/>
      <c r="G126" s="67"/>
      <c r="H126" s="67"/>
      <c r="I126" s="67"/>
      <c r="J126" s="67"/>
      <c r="K126" s="67"/>
      <c r="L126" s="67"/>
      <c r="M126" s="67"/>
      <c r="N126" s="67"/>
      <c r="O126" s="67"/>
      <c r="P126" s="67"/>
      <c r="Q126" s="67"/>
      <c r="R126" s="67"/>
      <c r="S126" s="67"/>
      <c r="T126" s="67"/>
      <c r="U126" s="43"/>
    </row>
    <row r="127" spans="1:21">
      <c r="D127" s="67"/>
      <c r="E127" s="67"/>
      <c r="F127" s="67"/>
      <c r="G127" s="67"/>
      <c r="H127" s="67"/>
      <c r="I127" s="67"/>
      <c r="J127" s="67"/>
      <c r="K127" s="67"/>
      <c r="L127" s="67"/>
      <c r="M127" s="67"/>
      <c r="N127" s="67"/>
      <c r="O127" s="67"/>
      <c r="P127" s="67"/>
      <c r="Q127" s="67"/>
      <c r="R127" s="67"/>
      <c r="S127" s="67"/>
      <c r="T127" s="67"/>
      <c r="U127" s="43"/>
    </row>
    <row r="128" spans="1:21">
      <c r="D128" s="67"/>
      <c r="E128" s="67"/>
      <c r="F128" s="67"/>
      <c r="G128" s="67"/>
      <c r="H128" s="67"/>
      <c r="I128" s="67"/>
      <c r="J128" s="67"/>
      <c r="K128" s="67"/>
      <c r="L128" s="67"/>
      <c r="M128" s="67"/>
      <c r="N128" s="67"/>
      <c r="O128" s="67"/>
      <c r="P128" s="67"/>
      <c r="Q128" s="67"/>
      <c r="R128" s="67"/>
      <c r="S128" s="67"/>
      <c r="T128" s="67"/>
      <c r="U128" s="43"/>
    </row>
    <row r="129" spans="4:21">
      <c r="D129" s="67"/>
      <c r="E129" s="67"/>
      <c r="F129" s="67"/>
      <c r="G129" s="67"/>
      <c r="H129" s="67"/>
      <c r="I129" s="67"/>
      <c r="J129" s="67"/>
      <c r="K129" s="67"/>
      <c r="L129" s="67"/>
      <c r="M129" s="67"/>
      <c r="N129" s="67"/>
      <c r="O129" s="67"/>
      <c r="P129" s="67"/>
      <c r="Q129" s="67"/>
      <c r="R129" s="67"/>
      <c r="S129" s="67"/>
      <c r="T129" s="67"/>
      <c r="U129" s="43"/>
    </row>
    <row r="130" spans="4:21">
      <c r="D130" s="67"/>
      <c r="E130" s="67"/>
      <c r="F130" s="67"/>
      <c r="G130" s="67"/>
      <c r="H130" s="67"/>
      <c r="I130" s="67"/>
      <c r="J130" s="67"/>
      <c r="K130" s="67"/>
      <c r="L130" s="67"/>
      <c r="M130" s="67"/>
      <c r="N130" s="67"/>
      <c r="O130" s="67"/>
      <c r="P130" s="67"/>
      <c r="Q130" s="67"/>
      <c r="R130" s="67"/>
      <c r="S130" s="67"/>
      <c r="T130" s="67"/>
      <c r="U130" s="43"/>
    </row>
    <row r="131" spans="4:21">
      <c r="D131" s="67"/>
      <c r="E131" s="67"/>
      <c r="F131" s="67"/>
      <c r="G131" s="67"/>
      <c r="H131" s="67"/>
      <c r="I131" s="67"/>
      <c r="J131" s="67"/>
      <c r="K131" s="67"/>
      <c r="L131" s="67"/>
      <c r="M131" s="67"/>
      <c r="N131" s="67"/>
      <c r="O131" s="67"/>
      <c r="P131" s="67"/>
      <c r="Q131" s="67"/>
      <c r="R131" s="67"/>
      <c r="S131" s="67"/>
      <c r="T131" s="67"/>
      <c r="U131" s="43"/>
    </row>
    <row r="132" spans="4:21">
      <c r="D132" s="67"/>
      <c r="E132" s="67"/>
      <c r="F132" s="67"/>
      <c r="G132" s="67"/>
      <c r="H132" s="67"/>
      <c r="I132" s="67"/>
      <c r="J132" s="67"/>
      <c r="K132" s="67"/>
      <c r="L132" s="67"/>
      <c r="M132" s="67"/>
      <c r="N132" s="67"/>
      <c r="O132" s="67"/>
      <c r="P132" s="67"/>
      <c r="Q132" s="67"/>
      <c r="R132" s="67"/>
      <c r="S132" s="67"/>
      <c r="T132" s="67"/>
      <c r="U132" s="43"/>
    </row>
    <row r="133" spans="4:21">
      <c r="D133" s="67"/>
      <c r="E133" s="67"/>
      <c r="F133" s="67"/>
      <c r="G133" s="67"/>
      <c r="H133" s="67"/>
      <c r="I133" s="67"/>
      <c r="J133" s="67"/>
      <c r="K133" s="67"/>
      <c r="L133" s="67"/>
      <c r="M133" s="67"/>
      <c r="N133" s="67"/>
      <c r="O133" s="67"/>
      <c r="P133" s="67"/>
      <c r="Q133" s="67"/>
      <c r="R133" s="67"/>
      <c r="S133" s="67"/>
      <c r="T133" s="67"/>
      <c r="U133" s="43"/>
    </row>
    <row r="134" spans="4:21">
      <c r="D134" s="67"/>
      <c r="E134" s="67"/>
      <c r="F134" s="67"/>
      <c r="G134" s="67"/>
      <c r="H134" s="67"/>
      <c r="I134" s="67"/>
      <c r="J134" s="67"/>
      <c r="K134" s="67"/>
      <c r="L134" s="67"/>
      <c r="M134" s="67"/>
      <c r="N134" s="67"/>
      <c r="O134" s="67"/>
      <c r="P134" s="67"/>
      <c r="Q134" s="67"/>
      <c r="R134" s="67"/>
      <c r="S134" s="67"/>
      <c r="T134" s="67"/>
      <c r="U134" s="43"/>
    </row>
    <row r="135" spans="4:21">
      <c r="D135" s="67"/>
      <c r="E135" s="67"/>
      <c r="F135" s="67"/>
      <c r="G135" s="67"/>
      <c r="H135" s="67"/>
      <c r="I135" s="67"/>
      <c r="J135" s="67"/>
      <c r="K135" s="67"/>
      <c r="L135" s="67"/>
      <c r="M135" s="67"/>
      <c r="N135" s="67"/>
      <c r="O135" s="67"/>
      <c r="P135" s="67"/>
      <c r="Q135" s="67"/>
      <c r="R135" s="67"/>
      <c r="S135" s="67"/>
      <c r="T135" s="67"/>
      <c r="U135" s="43"/>
    </row>
    <row r="136" spans="4:21">
      <c r="D136" s="67"/>
      <c r="E136" s="67"/>
      <c r="F136" s="67"/>
      <c r="G136" s="67"/>
      <c r="H136" s="67"/>
      <c r="I136" s="67"/>
      <c r="J136" s="67"/>
      <c r="K136" s="67"/>
      <c r="L136" s="67"/>
      <c r="M136" s="67"/>
      <c r="N136" s="67"/>
      <c r="O136" s="67"/>
      <c r="P136" s="67"/>
      <c r="Q136" s="67"/>
      <c r="R136" s="67"/>
      <c r="S136" s="67"/>
      <c r="T136" s="67"/>
      <c r="U136" s="43"/>
    </row>
    <row r="137" spans="4:21">
      <c r="D137" s="67"/>
      <c r="E137" s="67"/>
      <c r="F137" s="67"/>
      <c r="G137" s="67"/>
      <c r="H137" s="67"/>
      <c r="I137" s="67"/>
      <c r="J137" s="67"/>
      <c r="K137" s="67"/>
      <c r="L137" s="67"/>
      <c r="M137" s="67"/>
      <c r="N137" s="67"/>
      <c r="O137" s="67"/>
      <c r="P137" s="67"/>
      <c r="Q137" s="67"/>
      <c r="R137" s="67"/>
      <c r="S137" s="67"/>
      <c r="T137" s="67"/>
      <c r="U137" s="43"/>
    </row>
    <row r="138" spans="4:21">
      <c r="D138" s="67"/>
      <c r="E138" s="67"/>
      <c r="F138" s="67"/>
      <c r="G138" s="67"/>
      <c r="H138" s="67"/>
      <c r="I138" s="67"/>
      <c r="J138" s="67"/>
      <c r="K138" s="67"/>
      <c r="L138" s="67"/>
      <c r="M138" s="67"/>
      <c r="N138" s="67"/>
      <c r="O138" s="67"/>
      <c r="P138" s="67"/>
      <c r="Q138" s="67"/>
      <c r="R138" s="67"/>
      <c r="S138" s="67"/>
      <c r="T138" s="67"/>
      <c r="U138" s="43"/>
    </row>
    <row r="139" spans="4:21">
      <c r="D139" s="67"/>
      <c r="E139" s="67"/>
      <c r="F139" s="67"/>
      <c r="G139" s="67"/>
      <c r="H139" s="67"/>
      <c r="I139" s="67"/>
      <c r="J139" s="67"/>
      <c r="K139" s="67"/>
      <c r="L139" s="67"/>
      <c r="M139" s="67"/>
      <c r="N139" s="67"/>
      <c r="O139" s="67"/>
      <c r="P139" s="67"/>
      <c r="Q139" s="67"/>
      <c r="R139" s="67"/>
      <c r="S139" s="67"/>
      <c r="T139" s="67"/>
      <c r="U139" s="43"/>
    </row>
    <row r="140" spans="4:21">
      <c r="D140" s="67"/>
      <c r="E140" s="67"/>
      <c r="F140" s="67"/>
      <c r="G140" s="67"/>
      <c r="H140" s="67"/>
      <c r="I140" s="67"/>
      <c r="J140" s="67"/>
      <c r="K140" s="67"/>
      <c r="L140" s="67"/>
      <c r="M140" s="67"/>
      <c r="N140" s="67"/>
      <c r="O140" s="67"/>
      <c r="P140" s="67"/>
      <c r="Q140" s="67"/>
      <c r="R140" s="67"/>
      <c r="S140" s="67"/>
      <c r="T140" s="67"/>
      <c r="U140" s="43"/>
    </row>
    <row r="141" spans="4:21">
      <c r="D141" s="67"/>
      <c r="E141" s="67"/>
      <c r="F141" s="67"/>
      <c r="G141" s="67"/>
      <c r="H141" s="67"/>
      <c r="I141" s="67"/>
      <c r="J141" s="67"/>
      <c r="K141" s="67"/>
      <c r="L141" s="67"/>
      <c r="M141" s="67"/>
      <c r="N141" s="67"/>
      <c r="O141" s="67"/>
      <c r="P141" s="67"/>
      <c r="Q141" s="67"/>
      <c r="R141" s="67"/>
      <c r="S141" s="67"/>
      <c r="T141" s="67"/>
      <c r="U141" s="43"/>
    </row>
    <row r="142" spans="4:21">
      <c r="D142" s="67"/>
      <c r="E142" s="67"/>
      <c r="F142" s="67"/>
      <c r="G142" s="67"/>
      <c r="H142" s="67"/>
      <c r="I142" s="67"/>
      <c r="J142" s="67"/>
      <c r="K142" s="67"/>
      <c r="L142" s="67"/>
      <c r="M142" s="67"/>
      <c r="N142" s="67"/>
      <c r="O142" s="67"/>
      <c r="P142" s="67"/>
      <c r="Q142" s="67"/>
      <c r="R142" s="67"/>
      <c r="S142" s="67"/>
      <c r="T142" s="67"/>
      <c r="U142" s="43"/>
    </row>
    <row r="143" spans="4:21">
      <c r="D143" s="67"/>
      <c r="E143" s="67"/>
      <c r="F143" s="67"/>
      <c r="G143" s="67"/>
      <c r="H143" s="67"/>
      <c r="I143" s="67"/>
      <c r="J143" s="67"/>
      <c r="K143" s="67"/>
      <c r="L143" s="67"/>
      <c r="M143" s="67"/>
      <c r="N143" s="67"/>
      <c r="O143" s="67"/>
      <c r="P143" s="67"/>
      <c r="Q143" s="67"/>
      <c r="R143" s="67"/>
      <c r="S143" s="67"/>
      <c r="T143" s="67"/>
      <c r="U143" s="43"/>
    </row>
    <row r="144" spans="4:21">
      <c r="D144" s="67"/>
      <c r="E144" s="67"/>
      <c r="F144" s="67"/>
      <c r="G144" s="67"/>
      <c r="H144" s="67"/>
      <c r="I144" s="67"/>
      <c r="J144" s="67"/>
      <c r="K144" s="67"/>
      <c r="L144" s="67"/>
      <c r="M144" s="67"/>
      <c r="N144" s="67"/>
      <c r="O144" s="67"/>
      <c r="P144" s="67"/>
      <c r="Q144" s="67"/>
      <c r="R144" s="67"/>
      <c r="S144" s="67"/>
      <c r="T144" s="67"/>
      <c r="U144" s="43"/>
    </row>
    <row r="145" spans="4:21">
      <c r="D145" s="67"/>
      <c r="E145" s="67"/>
      <c r="F145" s="67"/>
      <c r="G145" s="67"/>
      <c r="H145" s="67"/>
      <c r="I145" s="67"/>
      <c r="J145" s="67"/>
      <c r="K145" s="67"/>
      <c r="L145" s="67"/>
      <c r="M145" s="67"/>
      <c r="N145" s="67"/>
      <c r="O145" s="67"/>
      <c r="P145" s="67"/>
      <c r="Q145" s="67"/>
      <c r="R145" s="67"/>
      <c r="S145" s="67"/>
      <c r="T145" s="67"/>
      <c r="U145" s="43"/>
    </row>
    <row r="146" spans="4:21">
      <c r="D146" s="67"/>
      <c r="E146" s="67"/>
      <c r="F146" s="67"/>
      <c r="G146" s="67"/>
      <c r="H146" s="67"/>
      <c r="I146" s="67"/>
      <c r="J146" s="67"/>
      <c r="K146" s="67"/>
      <c r="L146" s="67"/>
      <c r="M146" s="67"/>
      <c r="N146" s="67"/>
      <c r="O146" s="67"/>
      <c r="P146" s="67"/>
      <c r="Q146" s="67"/>
      <c r="R146" s="67"/>
      <c r="S146" s="67"/>
      <c r="T146" s="67"/>
      <c r="U146" s="43"/>
    </row>
    <row r="147" spans="4:21">
      <c r="D147" s="67"/>
      <c r="E147" s="67"/>
      <c r="F147" s="67"/>
      <c r="G147" s="67"/>
      <c r="H147" s="67"/>
      <c r="I147" s="67"/>
      <c r="J147" s="67"/>
      <c r="K147" s="67"/>
      <c r="L147" s="67"/>
      <c r="M147" s="67"/>
      <c r="N147" s="67"/>
      <c r="O147" s="67"/>
      <c r="P147" s="67"/>
      <c r="Q147" s="67"/>
      <c r="R147" s="67"/>
      <c r="S147" s="67"/>
      <c r="T147" s="67"/>
      <c r="U147" s="43"/>
    </row>
    <row r="148" spans="4:21">
      <c r="D148" s="67"/>
      <c r="E148" s="67"/>
      <c r="F148" s="67"/>
      <c r="G148" s="67"/>
      <c r="H148" s="67"/>
      <c r="I148" s="67"/>
      <c r="J148" s="67"/>
      <c r="K148" s="67"/>
      <c r="L148" s="67"/>
      <c r="M148" s="67"/>
      <c r="N148" s="67"/>
      <c r="O148" s="67"/>
      <c r="P148" s="67"/>
      <c r="Q148" s="67"/>
      <c r="R148" s="67"/>
      <c r="S148" s="67"/>
      <c r="T148" s="67"/>
      <c r="U148" s="43"/>
    </row>
    <row r="149" spans="4:21">
      <c r="D149" s="67"/>
      <c r="E149" s="67"/>
      <c r="F149" s="67"/>
      <c r="G149" s="67"/>
      <c r="H149" s="67"/>
      <c r="I149" s="67"/>
      <c r="J149" s="67"/>
      <c r="K149" s="67"/>
      <c r="L149" s="67"/>
      <c r="M149" s="67"/>
      <c r="N149" s="67"/>
      <c r="O149" s="67"/>
      <c r="P149" s="67"/>
      <c r="Q149" s="67"/>
      <c r="R149" s="67"/>
      <c r="S149" s="67"/>
      <c r="T149" s="67"/>
      <c r="U149" s="43"/>
    </row>
    <row r="150" spans="4:21">
      <c r="D150" s="67"/>
      <c r="E150" s="67"/>
      <c r="F150" s="67"/>
      <c r="G150" s="67"/>
      <c r="H150" s="67"/>
      <c r="I150" s="67"/>
      <c r="J150" s="67"/>
      <c r="K150" s="67"/>
      <c r="L150" s="67"/>
      <c r="M150" s="67"/>
      <c r="N150" s="67"/>
      <c r="O150" s="67"/>
      <c r="P150" s="67"/>
      <c r="Q150" s="67"/>
      <c r="R150" s="67"/>
      <c r="S150" s="67"/>
      <c r="T150" s="67"/>
      <c r="U150" s="67"/>
    </row>
    <row r="151" spans="4:21">
      <c r="D151" s="67"/>
      <c r="E151" s="67"/>
      <c r="F151" s="67"/>
      <c r="G151" s="67"/>
      <c r="H151" s="67"/>
      <c r="I151" s="67"/>
      <c r="J151" s="67"/>
      <c r="K151" s="67"/>
      <c r="L151" s="67"/>
      <c r="M151" s="67"/>
      <c r="N151" s="67"/>
      <c r="O151" s="67"/>
      <c r="P151" s="67"/>
      <c r="Q151" s="67"/>
      <c r="R151" s="67"/>
      <c r="S151" s="67"/>
      <c r="T151" s="67"/>
      <c r="U151" s="67"/>
    </row>
    <row r="152" spans="4:21">
      <c r="D152" s="67"/>
      <c r="E152" s="67"/>
      <c r="F152" s="67"/>
      <c r="G152" s="67"/>
      <c r="H152" s="67"/>
      <c r="I152" s="67"/>
      <c r="J152" s="67"/>
      <c r="K152" s="67"/>
      <c r="L152" s="67"/>
      <c r="M152" s="67"/>
      <c r="N152" s="67"/>
      <c r="O152" s="67"/>
      <c r="P152" s="67"/>
      <c r="Q152" s="67"/>
      <c r="R152" s="67"/>
      <c r="S152" s="67"/>
      <c r="T152" s="67"/>
      <c r="U152" s="67"/>
    </row>
    <row r="153" spans="4:21">
      <c r="D153" s="67"/>
      <c r="E153" s="67"/>
      <c r="F153" s="67"/>
      <c r="G153" s="67"/>
      <c r="H153" s="67"/>
      <c r="I153" s="67"/>
      <c r="J153" s="67"/>
      <c r="K153" s="67"/>
      <c r="L153" s="67"/>
      <c r="M153" s="67"/>
      <c r="N153" s="67"/>
      <c r="O153" s="67"/>
      <c r="P153" s="67"/>
      <c r="Q153" s="67"/>
      <c r="R153" s="67"/>
      <c r="S153" s="67"/>
      <c r="T153" s="67"/>
      <c r="U153" s="67"/>
    </row>
    <row r="162" spans="4:13">
      <c r="D162" s="67">
        <f>D59+D53</f>
        <v>1000.6918094092659</v>
      </c>
      <c r="E162" s="67">
        <f t="shared" ref="E162:K162" si="26">E59+E53</f>
        <v>1000.3446325719908</v>
      </c>
      <c r="F162" s="67">
        <f t="shared" si="26"/>
        <v>1097.6959188714154</v>
      </c>
      <c r="G162" s="67">
        <f t="shared" si="26"/>
        <v>1252.7543719068219</v>
      </c>
      <c r="H162" s="67">
        <f t="shared" si="26"/>
        <v>1416.3802053493355</v>
      </c>
      <c r="I162" s="67">
        <f t="shared" si="26"/>
        <v>1581.0824265740123</v>
      </c>
      <c r="J162" s="67">
        <f t="shared" si="26"/>
        <v>1768.5565759002488</v>
      </c>
      <c r="K162" s="67">
        <f t="shared" si="26"/>
        <v>1937.3297409079312</v>
      </c>
      <c r="L162" s="67" t="e">
        <f>L59+L53</f>
        <v>#VALUE!</v>
      </c>
      <c r="M162" s="67" t="e">
        <f>M59+M53</f>
        <v>#VALUE!</v>
      </c>
    </row>
    <row r="163" spans="4:13">
      <c r="D163" s="67"/>
      <c r="E163" s="67"/>
      <c r="F163" s="67"/>
      <c r="G163" s="67"/>
      <c r="H163" s="67"/>
      <c r="I163" s="67"/>
      <c r="J163" s="67"/>
      <c r="K163" s="67"/>
      <c r="L163" s="67"/>
      <c r="M163" s="67"/>
    </row>
    <row r="164" spans="4:13">
      <c r="D164" s="67">
        <f>D162/D29*100</f>
        <v>49.735304450141918</v>
      </c>
      <c r="E164" s="67">
        <f t="shared" ref="E164:K164" si="27">E162/E29*100</f>
        <v>49.718049441619257</v>
      </c>
      <c r="F164" s="67">
        <f t="shared" si="27"/>
        <v>48.494664906738869</v>
      </c>
      <c r="G164" s="67">
        <f t="shared" si="27"/>
        <v>49.810436741608193</v>
      </c>
      <c r="H164" s="67">
        <f t="shared" si="27"/>
        <v>51.19665493072597</v>
      </c>
      <c r="I164" s="67">
        <f t="shared" si="27"/>
        <v>52.387501730992994</v>
      </c>
      <c r="J164" s="67">
        <f t="shared" si="27"/>
        <v>54.091624898593835</v>
      </c>
      <c r="K164" s="67">
        <f t="shared" si="27"/>
        <v>55.021184103911104</v>
      </c>
      <c r="L164" s="67" t="e">
        <f>L162/L29*100</f>
        <v>#VALUE!</v>
      </c>
      <c r="M164" s="67" t="e">
        <f>M162/M29*100</f>
        <v>#VALUE!</v>
      </c>
    </row>
    <row r="165" spans="4:13">
      <c r="D165" s="67"/>
      <c r="E165" s="67"/>
      <c r="F165" s="67"/>
      <c r="G165" s="67"/>
      <c r="H165" s="67"/>
      <c r="I165" s="67"/>
      <c r="J165" s="67"/>
      <c r="K165" s="67"/>
      <c r="L165" s="67"/>
      <c r="M165" s="67"/>
    </row>
    <row r="166" spans="4:13">
      <c r="D166" s="67">
        <f>D53+D50+D59</f>
        <v>1255.4105594092659</v>
      </c>
      <c r="E166" s="67">
        <f t="shared" ref="E166:K166" si="28">E53+E50+E59</f>
        <v>1240.4571325719908</v>
      </c>
      <c r="F166" s="67">
        <f t="shared" si="28"/>
        <v>1315.4834188714156</v>
      </c>
      <c r="G166" s="67">
        <f t="shared" si="28"/>
        <v>1439.4293719068219</v>
      </c>
      <c r="H166" s="67">
        <f t="shared" si="28"/>
        <v>1563.6302053493355</v>
      </c>
      <c r="I166" s="67">
        <f t="shared" si="28"/>
        <v>1680.1199265740124</v>
      </c>
      <c r="J166" s="67">
        <f t="shared" si="28"/>
        <v>1813.6815759002488</v>
      </c>
      <c r="K166" s="67">
        <f t="shared" si="28"/>
        <v>1939.7047409079312</v>
      </c>
      <c r="L166" s="67" t="e">
        <f>L53+L50+L59</f>
        <v>#VALUE!</v>
      </c>
      <c r="M166" s="67" t="e">
        <f>M53+M50+M59</f>
        <v>#VALUE!</v>
      </c>
    </row>
    <row r="167" spans="4:13">
      <c r="D167" s="67"/>
      <c r="E167" s="67"/>
      <c r="F167" s="67"/>
      <c r="G167" s="67"/>
      <c r="H167" s="67"/>
      <c r="I167" s="67"/>
      <c r="J167" s="67"/>
      <c r="K167" s="67"/>
      <c r="L167" s="67"/>
      <c r="M167" s="67"/>
    </row>
    <row r="168" spans="4:13">
      <c r="D168" s="67">
        <f>D166/D29*100</f>
        <v>62.395060891926057</v>
      </c>
      <c r="E168" s="67">
        <f t="shared" ref="E168:J168" si="29">E166/E29*100</f>
        <v>61.651861807720664</v>
      </c>
      <c r="F168" s="67">
        <f t="shared" si="29"/>
        <v>58.116210957702719</v>
      </c>
      <c r="G168" s="67">
        <f t="shared" si="29"/>
        <v>57.232772266637447</v>
      </c>
      <c r="H168" s="67">
        <f t="shared" si="29"/>
        <v>56.519171731001407</v>
      </c>
      <c r="I168" s="67">
        <f t="shared" si="29"/>
        <v>55.669005032453121</v>
      </c>
      <c r="J168" s="67">
        <f t="shared" si="29"/>
        <v>55.471781240104455</v>
      </c>
      <c r="K168" s="67">
        <f>K166/K29*100</f>
        <v>55.088635353684182</v>
      </c>
      <c r="L168" s="67" t="e">
        <f>L166/L29*100</f>
        <v>#VALUE!</v>
      </c>
      <c r="M168" s="67" t="e">
        <f>M166/M29*100</f>
        <v>#VALUE!</v>
      </c>
    </row>
    <row r="170" spans="4:13">
      <c r="D170" s="67">
        <f>D50+D53</f>
        <v>706.91280969666172</v>
      </c>
      <c r="E170" s="67">
        <f t="shared" ref="E170:K170" si="30">E50+E53</f>
        <v>692.30655969666179</v>
      </c>
      <c r="F170" s="67">
        <f t="shared" si="30"/>
        <v>669.98155969666186</v>
      </c>
      <c r="G170" s="67">
        <f t="shared" si="30"/>
        <v>638.86905969666179</v>
      </c>
      <c r="H170" s="67">
        <f t="shared" si="30"/>
        <v>599.44405969666184</v>
      </c>
      <c r="I170" s="67">
        <f t="shared" si="30"/>
        <v>551.23155969666175</v>
      </c>
      <c r="J170" s="67">
        <f t="shared" si="30"/>
        <v>497.31905969666178</v>
      </c>
      <c r="K170" s="67">
        <f t="shared" si="30"/>
        <v>454.56905969666178</v>
      </c>
      <c r="L170" s="67">
        <f>L50+L53</f>
        <v>452.19405969666178</v>
      </c>
      <c r="M170" s="67">
        <f>M50+M53</f>
        <v>452.19405969666178</v>
      </c>
    </row>
  </sheetData>
  <mergeCells count="3">
    <mergeCell ref="C5:E5"/>
    <mergeCell ref="B35:C35"/>
    <mergeCell ref="B36:C36"/>
  </mergeCells>
  <phoneticPr fontId="2" type="noConversion"/>
  <pageMargins left="0.47244094488188981" right="0.11811023622047245" top="0.59055118110236227" bottom="0.15748031496062992" header="0.23622047244094491" footer="0.19685039370078741"/>
  <pageSetup paperSize="9" scale="83" orientation="landscape" r:id="rId1"/>
  <headerFooter alignWithMargins="0">
    <oddHeader>&amp;RHOTEL CITY WALK INTERNATIONAL
GUWAHATI</oddHeader>
  </headerFooter>
  <rowBreaks count="1" manualBreakCount="1">
    <brk id="43"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CED2-FE75-4E90-9CBD-8D044851C1EC}">
  <dimension ref="B2:AA46"/>
  <sheetViews>
    <sheetView view="pageBreakPreview" zoomScale="90" zoomScaleNormal="100" zoomScaleSheetLayoutView="90" zoomScalePageLayoutView="40" workbookViewId="0">
      <selection activeCell="D11" sqref="D11"/>
    </sheetView>
  </sheetViews>
  <sheetFormatPr defaultRowHeight="12.75"/>
  <cols>
    <col min="1" max="1" width="0.5703125" style="51" customWidth="1"/>
    <col min="2" max="2" width="14.28515625" style="51" customWidth="1"/>
    <col min="3" max="3" width="21.42578125" style="51" customWidth="1"/>
    <col min="4" max="4" width="12.28515625" style="51" customWidth="1"/>
    <col min="5" max="5" width="9.140625" style="51" customWidth="1"/>
    <col min="6" max="6" width="11.85546875" style="51" customWidth="1"/>
    <col min="7" max="7" width="11.28515625" style="51" customWidth="1"/>
    <col min="8" max="8" width="10.5703125" style="51" customWidth="1"/>
    <col min="9" max="9" width="10.7109375" style="51" customWidth="1"/>
    <col min="10" max="10" width="10.42578125" style="51" customWidth="1"/>
    <col min="11" max="12" width="10.28515625" style="51" customWidth="1"/>
    <col min="13" max="14" width="10.28515625" style="51" hidden="1" customWidth="1"/>
    <col min="15" max="15" width="10.28515625" style="51" customWidth="1"/>
    <col min="16" max="16" width="3" style="51" customWidth="1"/>
    <col min="17" max="17" width="14.85546875" style="51" customWidth="1"/>
    <col min="18" max="16384" width="9.140625" style="51"/>
  </cols>
  <sheetData>
    <row r="2" spans="2:27">
      <c r="F2" s="675">
        <f>Pages!D29</f>
        <v>29</v>
      </c>
    </row>
    <row r="4" spans="2:27" ht="18">
      <c r="C4" s="1037" t="s">
        <v>399</v>
      </c>
      <c r="D4" s="1037"/>
      <c r="E4" s="1037"/>
      <c r="F4" s="1037"/>
      <c r="G4" s="1037"/>
      <c r="H4" s="1037"/>
      <c r="I4" s="1037"/>
      <c r="J4" s="1037"/>
    </row>
    <row r="5" spans="2:27" ht="18">
      <c r="C5" s="1037" t="s">
        <v>225</v>
      </c>
      <c r="D5" s="1037"/>
      <c r="E5" s="1037"/>
      <c r="F5" s="1037"/>
      <c r="G5" s="1037"/>
      <c r="H5" s="1037"/>
      <c r="I5" s="1037"/>
      <c r="J5" s="1037"/>
    </row>
    <row r="6" spans="2:27">
      <c r="K6" s="671"/>
      <c r="L6" s="671" t="s">
        <v>92</v>
      </c>
      <c r="M6" s="671"/>
      <c r="N6" s="671"/>
      <c r="O6" s="671"/>
      <c r="P6" s="671"/>
      <c r="Q6" s="671"/>
      <c r="R6" s="671"/>
      <c r="S6" s="671"/>
      <c r="T6" s="671"/>
      <c r="U6" s="671"/>
    </row>
    <row r="7" spans="2:27" ht="13.5" thickBot="1"/>
    <row r="8" spans="2:27" ht="26.25" thickBot="1">
      <c r="B8" s="1039" t="s">
        <v>93</v>
      </c>
      <c r="C8" s="1040"/>
      <c r="D8" s="937" t="s">
        <v>400</v>
      </c>
      <c r="E8" s="469" t="s">
        <v>401</v>
      </c>
      <c r="F8" s="469" t="s">
        <v>402</v>
      </c>
      <c r="G8" s="469" t="s">
        <v>403</v>
      </c>
      <c r="H8" s="469" t="s">
        <v>404</v>
      </c>
      <c r="I8" s="469" t="s">
        <v>405</v>
      </c>
      <c r="J8" s="469" t="s">
        <v>406</v>
      </c>
      <c r="K8" s="469" t="s">
        <v>407</v>
      </c>
      <c r="L8" s="469" t="s">
        <v>408</v>
      </c>
      <c r="M8" s="469" t="s">
        <v>409</v>
      </c>
      <c r="N8" s="469" t="s">
        <v>410</v>
      </c>
      <c r="O8" s="763"/>
    </row>
    <row r="9" spans="2:27">
      <c r="B9" s="167"/>
      <c r="C9" s="168"/>
      <c r="D9" s="83"/>
      <c r="E9" s="83"/>
      <c r="F9" s="296"/>
      <c r="G9" s="83"/>
      <c r="H9" s="296"/>
      <c r="I9" s="84"/>
      <c r="J9" s="296"/>
      <c r="K9" s="303"/>
      <c r="L9" s="296"/>
      <c r="M9" s="311"/>
      <c r="N9" s="311"/>
      <c r="O9" s="84"/>
    </row>
    <row r="10" spans="2:27">
      <c r="B10" s="1055" t="s">
        <v>411</v>
      </c>
      <c r="C10" s="1056"/>
      <c r="D10" s="83"/>
      <c r="E10" s="83"/>
      <c r="F10" s="296"/>
      <c r="G10" s="83"/>
      <c r="H10" s="296"/>
      <c r="I10" s="84"/>
      <c r="J10" s="296"/>
      <c r="K10" s="303"/>
      <c r="L10" s="296"/>
      <c r="M10" s="311"/>
      <c r="N10" s="311"/>
      <c r="O10" s="84"/>
    </row>
    <row r="11" spans="2:27">
      <c r="B11" s="1059" t="s">
        <v>412</v>
      </c>
      <c r="C11" s="1060"/>
      <c r="D11" s="432">
        <f>depreciation!D137</f>
        <v>4263.8642876220001</v>
      </c>
      <c r="E11" s="432">
        <f>D11+SUM('CASH FLOW'!E24:E28)</f>
        <v>4263.8642876220001</v>
      </c>
      <c r="F11" s="299">
        <f>E11+SUM('CASH FLOW'!F24:F28)</f>
        <v>4263.8642876220001</v>
      </c>
      <c r="G11" s="432">
        <f>F11+SUM('CASH FLOW'!G24:G28)</f>
        <v>4358.8642876220001</v>
      </c>
      <c r="H11" s="299">
        <f>G11+SUM('CASH FLOW'!H24:H28)</f>
        <v>4368.8642876220001</v>
      </c>
      <c r="I11" s="43">
        <f>H11+SUM('CASH FLOW'!I24:I28)</f>
        <v>4488.8642876220001</v>
      </c>
      <c r="J11" s="299">
        <f>I11+SUM('CASH FLOW'!J24:J28)</f>
        <v>4598.8642876220001</v>
      </c>
      <c r="K11" s="300">
        <f>J11+SUM('CASH FLOW'!K24:K28)</f>
        <v>4713.8642876220001</v>
      </c>
      <c r="L11" s="299">
        <f>K11+SUM('CASH FLOW'!L24:L28)</f>
        <v>4813.8642876220001</v>
      </c>
      <c r="M11" s="68">
        <f>L11+SUM('CASH FLOW'!M24:M28)</f>
        <v>4898.8642876220001</v>
      </c>
      <c r="N11" s="68">
        <f>M11+SUM('CASH FLOW'!N24:N28)</f>
        <v>5013.8642876220001</v>
      </c>
      <c r="O11" s="43"/>
      <c r="Q11" s="67">
        <f>F11-E11</f>
        <v>0</v>
      </c>
      <c r="R11" s="67">
        <f t="shared" ref="R11:W11" si="0">G11-F11</f>
        <v>95</v>
      </c>
      <c r="S11" s="67">
        <f t="shared" si="0"/>
        <v>10</v>
      </c>
      <c r="T11" s="67">
        <f t="shared" si="0"/>
        <v>120</v>
      </c>
      <c r="U11" s="67">
        <f t="shared" si="0"/>
        <v>110</v>
      </c>
      <c r="V11" s="67">
        <f t="shared" si="0"/>
        <v>115</v>
      </c>
      <c r="W11" s="67">
        <f t="shared" si="0"/>
        <v>100</v>
      </c>
      <c r="X11" s="67"/>
      <c r="Y11" s="67"/>
      <c r="Z11" s="67"/>
      <c r="AA11" s="67"/>
    </row>
    <row r="12" spans="2:27" ht="13.5" thickBot="1">
      <c r="B12" s="1061" t="s">
        <v>413</v>
      </c>
      <c r="C12" s="1062"/>
      <c r="D12" s="466">
        <v>0</v>
      </c>
      <c r="E12" s="468">
        <f>depreciation!D139</f>
        <v>452.19405969666178</v>
      </c>
      <c r="F12" s="470">
        <f>E12+depreciation!E139</f>
        <v>904.38811939332356</v>
      </c>
      <c r="G12" s="468">
        <f>F12+depreciation!F139</f>
        <v>1356.5821790899854</v>
      </c>
      <c r="H12" s="470">
        <f>G12+depreciation!G139</f>
        <v>1808.7762387866471</v>
      </c>
      <c r="I12" s="170">
        <f>H12+depreciation!H139</f>
        <v>2260.9702984833089</v>
      </c>
      <c r="J12" s="470">
        <f>I12+depreciation!I139</f>
        <v>2713.1643581799708</v>
      </c>
      <c r="K12" s="463">
        <f>J12+depreciation!J139</f>
        <v>3165.3584178766328</v>
      </c>
      <c r="L12" s="470">
        <f>K12+depreciation!K139</f>
        <v>3617.5524775732947</v>
      </c>
      <c r="M12" s="609">
        <f>L12+depreciation!L139</f>
        <v>4069.7465372699567</v>
      </c>
      <c r="N12" s="609">
        <f>M12+depreciation!M139</f>
        <v>4521.9405969666186</v>
      </c>
      <c r="O12" s="43"/>
      <c r="Q12" s="67">
        <f>Q11-SUM('CASH FLOW'!F24:F28)</f>
        <v>0</v>
      </c>
      <c r="R12" s="67">
        <f>R11-SUM('CASH FLOW'!G24:G28)</f>
        <v>0</v>
      </c>
      <c r="S12" s="67">
        <f>S11-SUM('CASH FLOW'!H24:H28)</f>
        <v>0</v>
      </c>
      <c r="T12" s="67">
        <f>T11-SUM('CASH FLOW'!I24:I28)</f>
        <v>0</v>
      </c>
      <c r="U12" s="67">
        <f>U11-SUM('CASH FLOW'!J24:J28)</f>
        <v>0</v>
      </c>
      <c r="V12" s="67">
        <f>V11-SUM('CASH FLOW'!K24:K28)</f>
        <v>0</v>
      </c>
      <c r="W12" s="67">
        <f>W11-SUM('CASH FLOW'!L24:L28)</f>
        <v>0</v>
      </c>
    </row>
    <row r="13" spans="2:27">
      <c r="B13" s="1059" t="s">
        <v>414</v>
      </c>
      <c r="C13" s="1060"/>
      <c r="D13" s="432">
        <f>D11-D12</f>
        <v>4263.8642876220001</v>
      </c>
      <c r="E13" s="432">
        <f>E11-E12</f>
        <v>3811.6702279253382</v>
      </c>
      <c r="F13" s="299">
        <f t="shared" ref="F13:K13" si="1">F11-F12</f>
        <v>3359.4761682286767</v>
      </c>
      <c r="G13" s="432">
        <f t="shared" si="1"/>
        <v>3002.2821085320147</v>
      </c>
      <c r="H13" s="299">
        <f t="shared" si="1"/>
        <v>2560.0880488353532</v>
      </c>
      <c r="I13" s="43">
        <f t="shared" si="1"/>
        <v>2227.8939891386913</v>
      </c>
      <c r="J13" s="299">
        <f t="shared" si="1"/>
        <v>1885.6999294420293</v>
      </c>
      <c r="K13" s="300">
        <f t="shared" si="1"/>
        <v>1548.5058697453674</v>
      </c>
      <c r="L13" s="299">
        <f>L11-L12</f>
        <v>1196.3118100487054</v>
      </c>
      <c r="M13" s="68">
        <f>M11-M12</f>
        <v>829.11775035204346</v>
      </c>
      <c r="N13" s="68">
        <f>N11-N12</f>
        <v>491.92369065538151</v>
      </c>
      <c r="O13" s="43"/>
      <c r="Q13" s="67">
        <f>M13-depreciation!L116</f>
        <v>-1257.8325830458512</v>
      </c>
    </row>
    <row r="14" spans="2:27">
      <c r="B14" s="1063"/>
      <c r="C14" s="1064"/>
      <c r="D14" s="83"/>
      <c r="E14" s="83"/>
      <c r="F14" s="296"/>
      <c r="G14" s="83"/>
      <c r="H14" s="296"/>
      <c r="I14" s="84"/>
      <c r="J14" s="296"/>
      <c r="K14" s="303"/>
      <c r="L14" s="296"/>
      <c r="M14" s="311"/>
      <c r="N14" s="311"/>
      <c r="O14" s="84"/>
    </row>
    <row r="15" spans="2:27">
      <c r="B15" s="164" t="s">
        <v>415</v>
      </c>
      <c r="C15" s="84"/>
      <c r="D15" s="83"/>
      <c r="E15" s="83"/>
      <c r="F15" s="296"/>
      <c r="G15" s="83"/>
      <c r="H15" s="296"/>
      <c r="I15" s="84"/>
      <c r="J15" s="296"/>
      <c r="K15" s="303"/>
      <c r="L15" s="296"/>
      <c r="M15" s="311"/>
      <c r="N15" s="311"/>
      <c r="O15" s="84"/>
    </row>
    <row r="16" spans="2:27">
      <c r="B16" s="165" t="s">
        <v>416</v>
      </c>
      <c r="C16" s="84"/>
      <c r="D16" s="432">
        <f>'CASH FLOW'!D45</f>
        <v>115.86828022200007</v>
      </c>
      <c r="E16" s="432">
        <f>'CASH FLOW'!E45</f>
        <v>630.93352350053522</v>
      </c>
      <c r="F16" s="299">
        <f>'CASH FLOW'!F45</f>
        <v>1022.4849993371206</v>
      </c>
      <c r="G16" s="432">
        <f>'CASH FLOW'!G45</f>
        <v>1155.8786878414492</v>
      </c>
      <c r="H16" s="299">
        <f>'CASH FLOW'!H45</f>
        <v>1304.4236196726636</v>
      </c>
      <c r="I16" s="43">
        <f>'CASH FLOW'!I45</f>
        <v>1430.8906260733204</v>
      </c>
      <c r="J16" s="299">
        <f>'CASH FLOW'!J45</f>
        <v>1515.07882997043</v>
      </c>
      <c r="K16" s="300">
        <f>'CASH FLOW'!K45</f>
        <v>1654.8794261904779</v>
      </c>
      <c r="L16" s="299">
        <f>'CASH FLOW'!L45</f>
        <v>2267.020660130197</v>
      </c>
      <c r="M16" s="68" t="e">
        <f>'CASH FLOW'!M45</f>
        <v>#VALUE!</v>
      </c>
      <c r="N16" s="68" t="e">
        <f>'CASH FLOW'!N45</f>
        <v>#VALUE!</v>
      </c>
      <c r="O16" s="43"/>
      <c r="Q16" s="51" t="s">
        <v>415</v>
      </c>
      <c r="R16" s="67">
        <f>SUM(E16:E18)</f>
        <v>777.93352350053522</v>
      </c>
      <c r="S16" s="67">
        <f t="shared" ref="S16:Y16" si="2">SUM(F16:F18)</f>
        <v>1272.1116252025051</v>
      </c>
      <c r="T16" s="67">
        <f t="shared" si="2"/>
        <v>1560.267391940007</v>
      </c>
      <c r="U16" s="67">
        <f t="shared" si="2"/>
        <v>1913.7444020043943</v>
      </c>
      <c r="V16" s="67">
        <f t="shared" si="2"/>
        <v>2151.8442362463975</v>
      </c>
      <c r="W16" s="67">
        <f t="shared" si="2"/>
        <v>2352.6561520088917</v>
      </c>
      <c r="X16" s="67">
        <f t="shared" si="2"/>
        <v>2610.927539190478</v>
      </c>
      <c r="Y16" s="67">
        <f t="shared" si="2"/>
        <v>3443.3866431878896</v>
      </c>
    </row>
    <row r="17" spans="2:25">
      <c r="B17" s="165" t="s">
        <v>417</v>
      </c>
      <c r="C17" s="84"/>
      <c r="D17" s="432">
        <v>0</v>
      </c>
      <c r="E17" s="432">
        <f>' wORKING CAPITAL'!E19</f>
        <v>37</v>
      </c>
      <c r="F17" s="299">
        <f>' wORKING CAPITAL'!F19</f>
        <v>39.626625865384618</v>
      </c>
      <c r="G17" s="432">
        <f>' wORKING CAPITAL'!G19</f>
        <v>44.388704098557703</v>
      </c>
      <c r="H17" s="299">
        <f>' wORKING CAPITAL'!H19</f>
        <v>49.320782331730769</v>
      </c>
      <c r="I17" s="43">
        <f>' wORKING CAPITAL'!I19</f>
        <v>60.95361017307691</v>
      </c>
      <c r="J17" s="299">
        <f>' wORKING CAPITAL'!J19</f>
        <v>77.577322038461546</v>
      </c>
      <c r="K17" s="300">
        <f>' wORKING CAPITAL'!K19</f>
        <v>96.048113000000029</v>
      </c>
      <c r="L17" s="299">
        <f>' wORKING CAPITAL'!L19</f>
        <v>116.36598305769235</v>
      </c>
      <c r="M17" s="68">
        <f>' wORKING CAPITAL'!M19</f>
        <v>110.82474576923076</v>
      </c>
      <c r="N17" s="68">
        <f>' wORKING CAPITAL'!N19</f>
        <v>111.93299322692307</v>
      </c>
      <c r="O17" s="43"/>
      <c r="Q17" s="51" t="s">
        <v>418</v>
      </c>
      <c r="R17" s="67">
        <f>SUM(E31:E33)</f>
        <v>197</v>
      </c>
      <c r="S17" s="67">
        <f t="shared" ref="S17:Y17" si="3">SUM(F31:F33)</f>
        <v>318.31595687324085</v>
      </c>
      <c r="T17" s="67">
        <f t="shared" si="3"/>
        <v>381.65907629684961</v>
      </c>
      <c r="U17" s="67">
        <f t="shared" si="3"/>
        <v>504.61424402163181</v>
      </c>
      <c r="V17" s="67">
        <f t="shared" si="3"/>
        <v>566.47112336015891</v>
      </c>
      <c r="W17" s="67">
        <f t="shared" si="3"/>
        <v>628.68928480274121</v>
      </c>
      <c r="X17" s="67">
        <f t="shared" si="3"/>
        <v>30.894540308567713</v>
      </c>
      <c r="Y17" s="67">
        <f t="shared" si="3"/>
        <v>33.315211100725001</v>
      </c>
    </row>
    <row r="18" spans="2:25">
      <c r="B18" s="165" t="s">
        <v>419</v>
      </c>
      <c r="C18" s="84"/>
      <c r="D18" s="432">
        <v>0</v>
      </c>
      <c r="E18" s="432">
        <v>110</v>
      </c>
      <c r="F18" s="299">
        <f>E18+100</f>
        <v>210</v>
      </c>
      <c r="G18" s="299">
        <f>F18+150</f>
        <v>360</v>
      </c>
      <c r="H18" s="299">
        <f>G18+200</f>
        <v>560</v>
      </c>
      <c r="I18" s="299">
        <f>H18+100</f>
        <v>660</v>
      </c>
      <c r="J18" s="299">
        <f>I18+100</f>
        <v>760</v>
      </c>
      <c r="K18" s="299">
        <f>J18+100</f>
        <v>860</v>
      </c>
      <c r="L18" s="299">
        <f>K18+200</f>
        <v>1060</v>
      </c>
      <c r="M18" s="299">
        <f>L18+5</f>
        <v>1065</v>
      </c>
      <c r="N18" s="299">
        <f>M18+5</f>
        <v>1070</v>
      </c>
      <c r="O18" s="43"/>
      <c r="R18" s="51">
        <f>R16/R17</f>
        <v>3.9489011345204834</v>
      </c>
      <c r="S18" s="51">
        <f t="shared" ref="S18:Y18" si="4">S16/S17</f>
        <v>3.9963803187820801</v>
      </c>
      <c r="T18" s="51">
        <f t="shared" si="4"/>
        <v>4.0881181369480935</v>
      </c>
      <c r="U18" s="51">
        <f t="shared" si="4"/>
        <v>3.7924898567119238</v>
      </c>
      <c r="V18" s="51">
        <f t="shared" si="4"/>
        <v>3.7986830175600459</v>
      </c>
      <c r="W18" s="51">
        <f t="shared" si="4"/>
        <v>3.7421604103640256</v>
      </c>
      <c r="X18" s="51">
        <f t="shared" si="4"/>
        <v>84.510969029256358</v>
      </c>
      <c r="Y18" s="51">
        <f t="shared" si="4"/>
        <v>103.35779151382761</v>
      </c>
    </row>
    <row r="19" spans="2:25">
      <c r="B19" s="165" t="s">
        <v>420</v>
      </c>
      <c r="C19" s="84"/>
      <c r="D19" s="432">
        <v>0</v>
      </c>
      <c r="E19" s="432">
        <v>60</v>
      </c>
      <c r="F19" s="299">
        <f>E19+100</f>
        <v>160</v>
      </c>
      <c r="G19" s="299">
        <f>F19+150</f>
        <v>310</v>
      </c>
      <c r="H19" s="299">
        <f>G19+200</f>
        <v>510</v>
      </c>
      <c r="I19" s="299">
        <f>H19+100</f>
        <v>610</v>
      </c>
      <c r="J19" s="299">
        <f>I19+200</f>
        <v>810</v>
      </c>
      <c r="K19" s="299">
        <f>J19+200</f>
        <v>1010</v>
      </c>
      <c r="L19" s="299">
        <f>K19+200</f>
        <v>1210</v>
      </c>
      <c r="M19" s="432">
        <v>375</v>
      </c>
      <c r="N19" s="432">
        <v>375</v>
      </c>
      <c r="O19" s="43"/>
    </row>
    <row r="20" spans="2:25">
      <c r="B20" s="165"/>
      <c r="C20" s="84"/>
      <c r="D20" s="432"/>
      <c r="E20" s="432"/>
      <c r="F20" s="432"/>
      <c r="G20" s="432"/>
      <c r="H20" s="432"/>
      <c r="I20" s="432"/>
      <c r="J20" s="432"/>
      <c r="K20" s="432"/>
      <c r="L20" s="299"/>
      <c r="M20" s="68"/>
      <c r="N20" s="68"/>
      <c r="O20" s="43"/>
    </row>
    <row r="21" spans="2:25">
      <c r="B21" s="165"/>
      <c r="C21" s="84"/>
      <c r="D21" s="83"/>
      <c r="E21" s="83"/>
      <c r="F21" s="296"/>
      <c r="G21" s="83"/>
      <c r="H21" s="296"/>
      <c r="I21" s="84"/>
      <c r="J21" s="296"/>
      <c r="K21" s="303"/>
      <c r="L21" s="296"/>
      <c r="M21" s="311"/>
      <c r="N21" s="311"/>
      <c r="O21" s="84"/>
    </row>
    <row r="22" spans="2:25" ht="13.5" thickBot="1">
      <c r="B22" s="1057" t="s">
        <v>421</v>
      </c>
      <c r="C22" s="1058"/>
      <c r="D22" s="159">
        <f t="shared" ref="D22:I22" si="5">SUM(D13:D21)</f>
        <v>4379.7325678440002</v>
      </c>
      <c r="E22" s="159">
        <f t="shared" si="5"/>
        <v>4649.6037514258733</v>
      </c>
      <c r="F22" s="158">
        <f t="shared" si="5"/>
        <v>4791.587793431182</v>
      </c>
      <c r="G22" s="159">
        <f t="shared" si="5"/>
        <v>4872.5495004720215</v>
      </c>
      <c r="H22" s="158">
        <f t="shared" si="5"/>
        <v>4983.8324508397473</v>
      </c>
      <c r="I22" s="66">
        <f t="shared" si="5"/>
        <v>4989.7382253850883</v>
      </c>
      <c r="J22" s="158">
        <f>SUM(J13:J21)</f>
        <v>5048.356081450921</v>
      </c>
      <c r="K22" s="464">
        <f>SUM(K13:K21)</f>
        <v>5169.4334089358454</v>
      </c>
      <c r="L22" s="158">
        <f>SUM(L13:L21)</f>
        <v>5849.698453236595</v>
      </c>
      <c r="M22" s="610" t="e">
        <f>SUM(M13:M21)</f>
        <v>#VALUE!</v>
      </c>
      <c r="N22" s="610" t="e">
        <f>SUM(N13:N21)</f>
        <v>#VALUE!</v>
      </c>
      <c r="O22" s="6"/>
    </row>
    <row r="23" spans="2:25" ht="13.5" thickTop="1">
      <c r="B23" s="166"/>
      <c r="C23" s="84"/>
      <c r="D23" s="83"/>
      <c r="E23" s="83"/>
      <c r="F23" s="296"/>
      <c r="G23" s="83"/>
      <c r="H23" s="296"/>
      <c r="I23" s="84"/>
      <c r="J23" s="296"/>
      <c r="K23" s="303"/>
      <c r="L23" s="296"/>
      <c r="M23" s="311"/>
      <c r="N23" s="311"/>
      <c r="O23" s="84"/>
    </row>
    <row r="24" spans="2:25">
      <c r="B24" s="1055" t="s">
        <v>422</v>
      </c>
      <c r="C24" s="1056"/>
      <c r="D24" s="83"/>
      <c r="E24" s="83"/>
      <c r="F24" s="296"/>
      <c r="G24" s="83"/>
      <c r="H24" s="296"/>
      <c r="I24" s="84"/>
      <c r="J24" s="296"/>
      <c r="K24" s="303"/>
      <c r="L24" s="296"/>
      <c r="M24" s="311"/>
      <c r="N24" s="311"/>
      <c r="O24" s="84"/>
    </row>
    <row r="25" spans="2:25">
      <c r="B25" s="165"/>
      <c r="C25" s="84"/>
      <c r="D25" s="83"/>
      <c r="E25" s="83"/>
      <c r="F25" s="296"/>
      <c r="G25" s="83"/>
      <c r="H25" s="296"/>
      <c r="I25" s="84"/>
      <c r="J25" s="296"/>
      <c r="K25" s="303"/>
      <c r="L25" s="296"/>
      <c r="M25" s="311"/>
      <c r="N25" s="311"/>
      <c r="O25" s="84"/>
    </row>
    <row r="26" spans="2:25">
      <c r="B26" s="165" t="s">
        <v>276</v>
      </c>
      <c r="C26" s="84"/>
      <c r="D26" s="432">
        <f>'CAPITAL COST'!D46-'CAPITAL COST'!D38</f>
        <v>1163.8642876220001</v>
      </c>
      <c r="E26" s="432">
        <f>D26+'CAPITAL COST'!D38</f>
        <v>1185.8642876220001</v>
      </c>
      <c r="F26" s="299">
        <f t="shared" ref="F26:N26" si="6">E26</f>
        <v>1185.8642876220001</v>
      </c>
      <c r="G26" s="432">
        <f t="shared" si="6"/>
        <v>1185.8642876220001</v>
      </c>
      <c r="H26" s="299">
        <f t="shared" si="6"/>
        <v>1185.8642876220001</v>
      </c>
      <c r="I26" s="43">
        <f t="shared" si="6"/>
        <v>1185.8642876220001</v>
      </c>
      <c r="J26" s="299">
        <f t="shared" si="6"/>
        <v>1185.8642876220001</v>
      </c>
      <c r="K26" s="300">
        <f t="shared" si="6"/>
        <v>1185.8642876220001</v>
      </c>
      <c r="L26" s="299">
        <f t="shared" si="6"/>
        <v>1185.8642876220001</v>
      </c>
      <c r="M26" s="68">
        <f t="shared" si="6"/>
        <v>1185.8642876220001</v>
      </c>
      <c r="N26" s="68">
        <f t="shared" si="6"/>
        <v>1185.8642876220001</v>
      </c>
      <c r="O26" s="43"/>
    </row>
    <row r="27" spans="2:25">
      <c r="B27" s="165" t="s">
        <v>423</v>
      </c>
      <c r="C27" s="84"/>
      <c r="D27" s="432">
        <v>0</v>
      </c>
      <c r="E27" s="432">
        <f>'P  L '!D65</f>
        <v>320.87118358187342</v>
      </c>
      <c r="F27" s="299">
        <f>'P  L '!E65</f>
        <v>641.53926871394094</v>
      </c>
      <c r="G27" s="432">
        <f>'P  L '!F65</f>
        <v>1019.157856331172</v>
      </c>
      <c r="H27" s="299">
        <f>'P  L '!G65</f>
        <v>1487.4856389741155</v>
      </c>
      <c r="I27" s="43">
        <f>'P  L '!H65</f>
        <v>2051.5345341809298</v>
      </c>
      <c r="J27" s="299">
        <f>'P  L '!I65</f>
        <v>2711.9342288041798</v>
      </c>
      <c r="K27" s="300">
        <f>'P  L '!J65</f>
        <v>3482.0063007832782</v>
      </c>
      <c r="L27" s="299">
        <f>'P  L '!K65</f>
        <v>4350.8106742918708</v>
      </c>
      <c r="M27" s="68" t="e">
        <f>'P  L '!L65</f>
        <v>#VALUE!</v>
      </c>
      <c r="N27" s="68" t="e">
        <f>'P  L '!M65</f>
        <v>#VALUE!</v>
      </c>
      <c r="O27" s="43"/>
    </row>
    <row r="28" spans="2:25">
      <c r="B28" s="165" t="s">
        <v>424</v>
      </c>
      <c r="C28" s="84"/>
      <c r="D28" s="432">
        <f>Interest!C47</f>
        <v>2700</v>
      </c>
      <c r="E28" s="432">
        <f>Interest!G53-E31</f>
        <v>2430</v>
      </c>
      <c r="F28" s="299">
        <f>Interest!G65-F31</f>
        <v>2130</v>
      </c>
      <c r="G28" s="432">
        <f>Interest!G77-G31</f>
        <v>1770</v>
      </c>
      <c r="H28" s="299">
        <f>Interest!G89-H31</f>
        <v>1290</v>
      </c>
      <c r="I28" s="43">
        <f>Interest!G101-I31</f>
        <v>750</v>
      </c>
      <c r="J28" s="299">
        <f>Interest!G113-J31</f>
        <v>150</v>
      </c>
      <c r="K28" s="300">
        <f>Interest!G125-K31</f>
        <v>150</v>
      </c>
      <c r="L28" s="299">
        <f>Interest!G137-L31</f>
        <v>0</v>
      </c>
      <c r="M28" s="299">
        <v>0</v>
      </c>
      <c r="N28" s="299">
        <v>0</v>
      </c>
      <c r="O28" s="43"/>
    </row>
    <row r="29" spans="2:25">
      <c r="B29" s="165" t="s">
        <v>277</v>
      </c>
      <c r="C29" s="84"/>
      <c r="D29" s="432">
        <f>'CAPITAL COST'!D48</f>
        <v>400</v>
      </c>
      <c r="E29" s="432">
        <f>D29</f>
        <v>400</v>
      </c>
      <c r="F29" s="432">
        <f>E29</f>
        <v>400</v>
      </c>
      <c r="G29" s="432">
        <f>F29</f>
        <v>400</v>
      </c>
      <c r="H29" s="432">
        <f>G29</f>
        <v>400</v>
      </c>
      <c r="I29" s="432">
        <f t="shared" ref="I29:N29" si="7">H29*0.8</f>
        <v>320</v>
      </c>
      <c r="J29" s="432">
        <f t="shared" si="7"/>
        <v>256</v>
      </c>
      <c r="K29" s="432">
        <f t="shared" si="7"/>
        <v>204.8</v>
      </c>
      <c r="L29" s="432">
        <f t="shared" si="7"/>
        <v>163.84000000000003</v>
      </c>
      <c r="M29" s="432">
        <f t="shared" si="7"/>
        <v>131.07200000000003</v>
      </c>
      <c r="N29" s="432">
        <f t="shared" si="7"/>
        <v>104.85760000000003</v>
      </c>
      <c r="O29" s="43"/>
    </row>
    <row r="30" spans="2:25" hidden="1">
      <c r="B30" s="165" t="s">
        <v>425</v>
      </c>
      <c r="C30" s="84"/>
      <c r="D30" s="432">
        <v>0</v>
      </c>
      <c r="E30" s="432">
        <f>' wORKING CAPITAL'!E27</f>
        <v>0</v>
      </c>
      <c r="F30" s="299">
        <f>' wORKING CAPITAL'!F27</f>
        <v>0</v>
      </c>
      <c r="G30" s="432">
        <f>' wORKING CAPITAL'!G27</f>
        <v>0</v>
      </c>
      <c r="H30" s="299">
        <f>' wORKING CAPITAL'!H27</f>
        <v>0</v>
      </c>
      <c r="I30" s="43">
        <f>' wORKING CAPITAL'!I27</f>
        <v>0</v>
      </c>
      <c r="J30" s="299">
        <f>' wORKING CAPITAL'!J27</f>
        <v>0</v>
      </c>
      <c r="K30" s="300">
        <f>' wORKING CAPITAL'!K27</f>
        <v>0</v>
      </c>
      <c r="L30" s="299">
        <f>' wORKING CAPITAL'!L27</f>
        <v>0</v>
      </c>
      <c r="M30" s="68">
        <f>' wORKING CAPITAL'!M27</f>
        <v>0</v>
      </c>
      <c r="N30" s="68">
        <f>' wORKING CAPITAL'!N27</f>
        <v>0</v>
      </c>
      <c r="O30" s="43"/>
    </row>
    <row r="31" spans="2:25">
      <c r="B31" s="165" t="s">
        <v>426</v>
      </c>
      <c r="C31" s="84"/>
      <c r="D31" s="432">
        <v>0</v>
      </c>
      <c r="E31" s="432">
        <f>'CASH FLOW'!F34</f>
        <v>180</v>
      </c>
      <c r="F31" s="432">
        <f>'CASH FLOW'!G34</f>
        <v>300</v>
      </c>
      <c r="G31" s="432">
        <f>'CASH FLOW'!H34</f>
        <v>360</v>
      </c>
      <c r="H31" s="432">
        <f>'CASH FLOW'!I34</f>
        <v>480</v>
      </c>
      <c r="I31" s="432">
        <f>'CASH FLOW'!J34</f>
        <v>540</v>
      </c>
      <c r="J31" s="432">
        <f>'CASH FLOW'!K34</f>
        <v>600</v>
      </c>
      <c r="K31" s="432">
        <v>0</v>
      </c>
      <c r="L31" s="432">
        <f>'CASH FLOW'!M34</f>
        <v>0</v>
      </c>
      <c r="M31" s="432">
        <f>'CASH FLOW'!N34</f>
        <v>0</v>
      </c>
      <c r="N31" s="432">
        <f>'CASH FLOW'!O34</f>
        <v>0</v>
      </c>
      <c r="O31" s="43"/>
    </row>
    <row r="32" spans="2:25">
      <c r="B32" s="165" t="s">
        <v>427</v>
      </c>
      <c r="C32" s="84"/>
      <c r="D32" s="432">
        <v>0</v>
      </c>
      <c r="E32" s="432">
        <f>' wORKING CAPITAL'!E22</f>
        <v>15</v>
      </c>
      <c r="F32" s="299">
        <f>' wORKING CAPITAL'!F22</f>
        <v>15.565956873240863</v>
      </c>
      <c r="G32" s="432">
        <f>' wORKING CAPITAL'!G22</f>
        <v>18.159076296849619</v>
      </c>
      <c r="H32" s="299">
        <f>' wORKING CAPITAL'!H22</f>
        <v>20.364244021631801</v>
      </c>
      <c r="I32" s="43">
        <f>' wORKING CAPITAL'!I22</f>
        <v>21.47112336015887</v>
      </c>
      <c r="J32" s="299">
        <f>' wORKING CAPITAL'!J22</f>
        <v>22.93928480274117</v>
      </c>
      <c r="K32" s="300">
        <f>' wORKING CAPITAL'!K22</f>
        <v>24.394540308567713</v>
      </c>
      <c r="L32" s="299">
        <f>' wORKING CAPITAL'!L22</f>
        <v>26.065211100725001</v>
      </c>
      <c r="M32" s="68" t="e">
        <f>' wORKING CAPITAL'!M22</f>
        <v>#VALUE!</v>
      </c>
      <c r="N32" s="68" t="e">
        <f>' wORKING CAPITAL'!N22</f>
        <v>#VALUE!</v>
      </c>
      <c r="O32" s="43"/>
    </row>
    <row r="33" spans="2:24">
      <c r="B33" s="165" t="s">
        <v>428</v>
      </c>
      <c r="C33" s="84"/>
      <c r="D33" s="432">
        <v>0</v>
      </c>
      <c r="E33" s="432">
        <v>2</v>
      </c>
      <c r="F33" s="299">
        <f>E33+0.75</f>
        <v>2.75</v>
      </c>
      <c r="G33" s="299">
        <f t="shared" ref="G33:N33" si="8">F33+0.75</f>
        <v>3.5</v>
      </c>
      <c r="H33" s="299">
        <f t="shared" si="8"/>
        <v>4.25</v>
      </c>
      <c r="I33" s="299">
        <f t="shared" si="8"/>
        <v>5</v>
      </c>
      <c r="J33" s="299">
        <f t="shared" si="8"/>
        <v>5.75</v>
      </c>
      <c r="K33" s="299">
        <f t="shared" si="8"/>
        <v>6.5</v>
      </c>
      <c r="L33" s="299">
        <f t="shared" si="8"/>
        <v>7.25</v>
      </c>
      <c r="M33" s="68">
        <f t="shared" si="8"/>
        <v>8</v>
      </c>
      <c r="N33" s="68">
        <f t="shared" si="8"/>
        <v>8.75</v>
      </c>
      <c r="O33" s="43"/>
    </row>
    <row r="34" spans="2:24">
      <c r="B34" s="165"/>
      <c r="C34" s="84"/>
      <c r="D34" s="83"/>
      <c r="E34" s="83"/>
      <c r="F34" s="296"/>
      <c r="G34" s="83"/>
      <c r="H34" s="296"/>
      <c r="I34" s="84"/>
      <c r="J34" s="296"/>
      <c r="K34" s="303"/>
      <c r="L34" s="296"/>
      <c r="M34" s="311"/>
      <c r="N34" s="311"/>
      <c r="O34" s="84"/>
    </row>
    <row r="35" spans="2:24" ht="13.5" thickBot="1">
      <c r="B35" s="64" t="s">
        <v>429</v>
      </c>
      <c r="C35" s="171"/>
      <c r="D35" s="467">
        <f t="shared" ref="D35:N35" si="9">SUM(D24:D34)</f>
        <v>4263.8642876220001</v>
      </c>
      <c r="E35" s="467">
        <f t="shared" si="9"/>
        <v>4533.7354712038741</v>
      </c>
      <c r="F35" s="471">
        <f t="shared" si="9"/>
        <v>4675.719513209182</v>
      </c>
      <c r="G35" s="467">
        <f t="shared" si="9"/>
        <v>4756.6812202500223</v>
      </c>
      <c r="H35" s="471">
        <f t="shared" si="9"/>
        <v>4867.9641706177472</v>
      </c>
      <c r="I35" s="65">
        <f t="shared" si="9"/>
        <v>4873.8699451630891</v>
      </c>
      <c r="J35" s="471">
        <f t="shared" si="9"/>
        <v>4932.4878012289209</v>
      </c>
      <c r="K35" s="465">
        <f t="shared" si="9"/>
        <v>5053.5651287138462</v>
      </c>
      <c r="L35" s="471">
        <f t="shared" si="9"/>
        <v>5733.8301730145959</v>
      </c>
      <c r="M35" s="611" t="e">
        <f t="shared" si="9"/>
        <v>#VALUE!</v>
      </c>
      <c r="N35" s="611" t="e">
        <f t="shared" si="9"/>
        <v>#VALUE!</v>
      </c>
      <c r="O35" s="6"/>
      <c r="Q35" s="67">
        <f>D22-D35</f>
        <v>115.86828022200007</v>
      </c>
      <c r="R35" s="67">
        <f t="shared" ref="R35:X35" si="10">E22-E35</f>
        <v>115.86828022199916</v>
      </c>
      <c r="S35" s="67">
        <f t="shared" si="10"/>
        <v>115.86828022200007</v>
      </c>
      <c r="T35" s="67">
        <f t="shared" si="10"/>
        <v>115.86828022199916</v>
      </c>
      <c r="U35" s="67">
        <f t="shared" si="10"/>
        <v>115.86828022200007</v>
      </c>
      <c r="V35" s="67">
        <f t="shared" si="10"/>
        <v>115.86828022199916</v>
      </c>
      <c r="W35" s="67">
        <f t="shared" si="10"/>
        <v>115.86828022200007</v>
      </c>
      <c r="X35" s="67">
        <f t="shared" si="10"/>
        <v>115.86828022199916</v>
      </c>
    </row>
    <row r="37" spans="2:24">
      <c r="D37" s="492">
        <f>'CASH FLOW'!D44</f>
        <v>115.86828022200007</v>
      </c>
      <c r="E37" s="492">
        <f>'CASH FLOW'!E44</f>
        <v>515.06524327853515</v>
      </c>
      <c r="F37" s="492">
        <f>'CASH FLOW'!F44</f>
        <v>391.55147583658538</v>
      </c>
      <c r="G37" s="492">
        <f>'CASH FLOW'!G44</f>
        <v>133.39368850432857</v>
      </c>
      <c r="H37" s="492">
        <f>'CASH FLOW'!H44</f>
        <v>148.5449318312144</v>
      </c>
      <c r="I37" s="492">
        <f>'CASH FLOW'!I44</f>
        <v>126.46700640065683</v>
      </c>
      <c r="J37" s="492">
        <f>'CASH FLOW'!J44</f>
        <v>84.188203897109588</v>
      </c>
      <c r="K37" s="492">
        <f>'CASH FLOW'!K44</f>
        <v>139.80059622004796</v>
      </c>
      <c r="L37" s="492">
        <f>'CASH FLOW'!L44</f>
        <v>612.14123393971931</v>
      </c>
      <c r="M37" s="492" t="e">
        <f>'CASH FLOW'!M44</f>
        <v>#VALUE!</v>
      </c>
      <c r="N37" s="492" t="e">
        <f>'CASH FLOW'!N44</f>
        <v>#VALUE!</v>
      </c>
      <c r="O37" s="492"/>
    </row>
    <row r="38" spans="2:24">
      <c r="D38" s="493"/>
      <c r="E38" s="492">
        <f t="shared" ref="E38:K38" si="11">E26+E27</f>
        <v>1506.7354712038737</v>
      </c>
      <c r="F38" s="492">
        <f t="shared" si="11"/>
        <v>1827.4035563359412</v>
      </c>
      <c r="G38" s="492">
        <f t="shared" si="11"/>
        <v>2205.022143953172</v>
      </c>
      <c r="H38" s="492">
        <f t="shared" si="11"/>
        <v>2673.3499265961154</v>
      </c>
      <c r="I38" s="492">
        <f t="shared" si="11"/>
        <v>3237.3988218029299</v>
      </c>
      <c r="J38" s="492">
        <f t="shared" si="11"/>
        <v>3897.79851642618</v>
      </c>
      <c r="K38" s="492">
        <f t="shared" si="11"/>
        <v>4667.8705884052779</v>
      </c>
      <c r="L38" s="492">
        <f>L26+L27</f>
        <v>5536.6749619138709</v>
      </c>
      <c r="M38" s="492" t="e">
        <f>M26+M27</f>
        <v>#VALUE!</v>
      </c>
      <c r="N38" s="492" t="e">
        <f>N26+N27</f>
        <v>#VALUE!</v>
      </c>
      <c r="O38" s="492"/>
    </row>
    <row r="40" spans="2:24">
      <c r="D40" s="67" t="e">
        <f>BS_ANLYSIS!J172</f>
        <v>#REF!</v>
      </c>
      <c r="E40" s="67" t="e">
        <f>BS_ANLYSIS!K172</f>
        <v>#REF!</v>
      </c>
      <c r="F40" s="67" t="e">
        <f>BS_ANLYSIS!L172</f>
        <v>#REF!</v>
      </c>
      <c r="G40" s="67" t="e">
        <f>BS_ANLYSIS!M172</f>
        <v>#REF!</v>
      </c>
      <c r="H40" s="67" t="e">
        <f>BS_ANLYSIS!N172</f>
        <v>#REF!</v>
      </c>
      <c r="I40" s="67" t="e">
        <f>BS_ANLYSIS!O172</f>
        <v>#REF!</v>
      </c>
      <c r="J40" s="67" t="e">
        <f>BS_ANLYSIS!P172</f>
        <v>#REF!</v>
      </c>
      <c r="K40" s="67" t="e">
        <f>BS_ANLYSIS!Q172</f>
        <v>#REF!</v>
      </c>
      <c r="L40" s="67" t="e">
        <f>BS_ANLYSIS!R172</f>
        <v>#REF!</v>
      </c>
      <c r="M40" s="67">
        <f>BS_ANLYSIS!S172</f>
        <v>0</v>
      </c>
      <c r="N40" s="67">
        <f>BS_ANLYSIS!T172</f>
        <v>0</v>
      </c>
    </row>
    <row r="41" spans="2:24">
      <c r="M41" s="492" t="e">
        <f>M26+M27</f>
        <v>#VALUE!</v>
      </c>
      <c r="N41" s="492" t="e">
        <f>N26+N27</f>
        <v>#VALUE!</v>
      </c>
      <c r="O41" s="492"/>
    </row>
    <row r="42" spans="2:24">
      <c r="D42" s="67">
        <f t="shared" ref="D42:K42" si="12">D22-D35</f>
        <v>115.86828022200007</v>
      </c>
      <c r="E42" s="67">
        <f t="shared" si="12"/>
        <v>115.86828022199916</v>
      </c>
      <c r="F42" s="67">
        <f t="shared" si="12"/>
        <v>115.86828022200007</v>
      </c>
      <c r="G42" s="67">
        <f t="shared" si="12"/>
        <v>115.86828022199916</v>
      </c>
      <c r="H42" s="67">
        <f t="shared" si="12"/>
        <v>115.86828022200007</v>
      </c>
      <c r="I42" s="67">
        <f t="shared" si="12"/>
        <v>115.86828022199916</v>
      </c>
      <c r="J42" s="67">
        <f t="shared" si="12"/>
        <v>115.86828022200007</v>
      </c>
      <c r="K42" s="67">
        <f t="shared" si="12"/>
        <v>115.86828022199916</v>
      </c>
      <c r="L42" s="67">
        <f>L22-L35</f>
        <v>115.86828022199916</v>
      </c>
      <c r="M42" s="67" t="e">
        <f>M22-M35</f>
        <v>#VALUE!</v>
      </c>
      <c r="N42" s="67" t="e">
        <f>N22-N35</f>
        <v>#VALUE!</v>
      </c>
      <c r="O42" s="67"/>
    </row>
    <row r="44" spans="2:24" ht="13.5" thickBot="1"/>
    <row r="45" spans="2:24" ht="24" thickBot="1">
      <c r="B45" s="480" t="s">
        <v>430</v>
      </c>
      <c r="C45" s="481"/>
      <c r="D45" s="482">
        <f t="shared" ref="D45:L45" si="13">D22-D35</f>
        <v>115.86828022200007</v>
      </c>
      <c r="E45" s="481">
        <f t="shared" si="13"/>
        <v>115.86828022199916</v>
      </c>
      <c r="F45" s="481">
        <f t="shared" si="13"/>
        <v>115.86828022200007</v>
      </c>
      <c r="G45" s="481">
        <f t="shared" si="13"/>
        <v>115.86828022199916</v>
      </c>
      <c r="H45" s="481">
        <f t="shared" si="13"/>
        <v>115.86828022200007</v>
      </c>
      <c r="I45" s="481">
        <f t="shared" si="13"/>
        <v>115.86828022199916</v>
      </c>
      <c r="J45" s="481">
        <f t="shared" si="13"/>
        <v>115.86828022200007</v>
      </c>
      <c r="K45" s="481">
        <f t="shared" si="13"/>
        <v>115.86828022199916</v>
      </c>
      <c r="L45" s="481">
        <f t="shared" si="13"/>
        <v>115.86828022199916</v>
      </c>
      <c r="M45" s="481" t="e">
        <f>M22-M35</f>
        <v>#VALUE!</v>
      </c>
      <c r="N45" s="481" t="e">
        <f>N22-N35</f>
        <v>#VALUE!</v>
      </c>
      <c r="O45" s="764"/>
    </row>
    <row r="46" spans="2:24">
      <c r="G46" s="51">
        <f t="shared" ref="G46:L46" si="14">G45-F45</f>
        <v>-9.0949470177292824E-13</v>
      </c>
      <c r="H46" s="51">
        <f t="shared" si="14"/>
        <v>9.0949470177292824E-13</v>
      </c>
      <c r="I46" s="51">
        <f t="shared" si="14"/>
        <v>-9.0949470177292824E-13</v>
      </c>
      <c r="J46" s="51">
        <f t="shared" si="14"/>
        <v>9.0949470177292824E-13</v>
      </c>
      <c r="K46" s="51">
        <f t="shared" si="14"/>
        <v>-9.0949470177292824E-13</v>
      </c>
      <c r="L46" s="51">
        <f t="shared" si="14"/>
        <v>0</v>
      </c>
    </row>
  </sheetData>
  <mergeCells count="10">
    <mergeCell ref="B8:C8"/>
    <mergeCell ref="C4:J4"/>
    <mergeCell ref="C5:J5"/>
    <mergeCell ref="B24:C24"/>
    <mergeCell ref="B22:C22"/>
    <mergeCell ref="B10:C10"/>
    <mergeCell ref="B11:C11"/>
    <mergeCell ref="B12:C12"/>
    <mergeCell ref="B13:C13"/>
    <mergeCell ref="B14:C14"/>
  </mergeCells>
  <phoneticPr fontId="2" type="noConversion"/>
  <pageMargins left="0.47244094488188981" right="0.11811023622047245" top="0.59055118110236227" bottom="0.15748031496062992" header="0.23622047244094491" footer="0.19685039370078741"/>
  <pageSetup paperSize="9" scale="93" orientation="landscape" r:id="rId1"/>
  <headerFooter alignWithMargins="0">
    <oddHeader>&amp;RHOTEL CITY WALK INTERNATIONAL
GUWAHATI</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967F9-0719-4701-8B8B-BC7F5416DF1A}">
  <dimension ref="A3:I22"/>
  <sheetViews>
    <sheetView workbookViewId="0">
      <selection activeCell="N15" sqref="N15"/>
    </sheetView>
  </sheetViews>
  <sheetFormatPr defaultRowHeight="12.75"/>
  <cols>
    <col min="1" max="1" width="13.7109375" customWidth="1"/>
    <col min="2" max="3" width="11.85546875" bestFit="1" customWidth="1"/>
    <col min="4" max="9" width="12" bestFit="1" customWidth="1"/>
  </cols>
  <sheetData>
    <row r="3" spans="1:9" ht="13.5" thickBot="1"/>
    <row r="4" spans="1:9" ht="15" customHeight="1">
      <c r="A4" s="1065" t="s">
        <v>291</v>
      </c>
      <c r="B4" s="1003" t="s">
        <v>431</v>
      </c>
      <c r="C4" s="756" t="s">
        <v>432</v>
      </c>
      <c r="D4" s="756" t="s">
        <v>433</v>
      </c>
      <c r="E4" s="756" t="s">
        <v>434</v>
      </c>
      <c r="F4" s="756" t="s">
        <v>435</v>
      </c>
      <c r="G4" s="756" t="s">
        <v>436</v>
      </c>
      <c r="H4" s="756" t="s">
        <v>437</v>
      </c>
      <c r="I4" s="756" t="s">
        <v>438</v>
      </c>
    </row>
    <row r="5" spans="1:9" ht="15.75" thickBot="1">
      <c r="A5" s="1066"/>
      <c r="B5" s="762"/>
      <c r="C5" s="757"/>
      <c r="D5" s="757"/>
      <c r="E5" s="757"/>
      <c r="F5" s="757"/>
      <c r="G5" s="757"/>
      <c r="H5" s="757"/>
      <c r="I5" s="757"/>
    </row>
    <row r="6" spans="1:9" ht="15" thickBot="1">
      <c r="A6" s="758" t="s">
        <v>439</v>
      </c>
      <c r="B6" s="761">
        <f>'P  L '!D29</f>
        <v>2012.0351538461539</v>
      </c>
      <c r="C6" s="761">
        <f>'P  L '!E29</f>
        <v>2012.0351538461539</v>
      </c>
      <c r="D6" s="761">
        <f>'P  L '!F29</f>
        <v>2263.5395480769234</v>
      </c>
      <c r="E6" s="761">
        <f>'P  L '!G29</f>
        <v>2515.0439423076923</v>
      </c>
      <c r="F6" s="761">
        <f>'P  L '!H29</f>
        <v>2766.5483365384612</v>
      </c>
      <c r="G6" s="761">
        <f>'P  L '!I29</f>
        <v>3018.0527307692314</v>
      </c>
      <c r="H6" s="761">
        <f>'P  L '!J29</f>
        <v>3269.5571250000003</v>
      </c>
      <c r="I6" s="761">
        <f>'P  L '!K29</f>
        <v>3521.06151923077</v>
      </c>
    </row>
    <row r="7" spans="1:9" ht="29.25" thickBot="1">
      <c r="A7" s="758" t="s">
        <v>146</v>
      </c>
      <c r="B7" s="759"/>
      <c r="C7" s="759"/>
      <c r="D7" s="759"/>
      <c r="E7" s="759"/>
      <c r="F7" s="759"/>
      <c r="G7" s="759"/>
      <c r="H7" s="759"/>
      <c r="I7" s="759"/>
    </row>
    <row r="8" spans="1:9" ht="15" thickBot="1">
      <c r="A8" s="760" t="s">
        <v>393</v>
      </c>
      <c r="B8" s="761">
        <f>'P  L '!D61+'P  L '!D53</f>
        <v>1255.4105594092659</v>
      </c>
      <c r="C8" s="761">
        <f>'P  L '!E61+'P  L '!E53</f>
        <v>1240.4571325719908</v>
      </c>
      <c r="D8" s="761">
        <f>'P  L '!F61+'P  L '!F53</f>
        <v>1315.4834188714156</v>
      </c>
      <c r="E8" s="761">
        <f>'P  L '!G61+'P  L '!G53</f>
        <v>1439.4293719068219</v>
      </c>
      <c r="F8" s="761">
        <f>'P  L '!H61+'P  L '!H53</f>
        <v>1563.6302053493355</v>
      </c>
      <c r="G8" s="761">
        <f>'P  L '!I61+'P  L '!I53</f>
        <v>1680.1199265740122</v>
      </c>
      <c r="H8" s="761">
        <f>'P  L '!J61+'P  L '!J53</f>
        <v>1813.6815759002488</v>
      </c>
      <c r="I8" s="761">
        <f>'P  L '!K61+'P  L '!K53</f>
        <v>1939.7047409079312</v>
      </c>
    </row>
    <row r="9" spans="1:9" ht="15" thickBot="1">
      <c r="A9" s="758" t="s">
        <v>440</v>
      </c>
      <c r="B9" s="761">
        <f>'P  L '!D59</f>
        <v>548.49774971260422</v>
      </c>
      <c r="C9" s="761">
        <f>'P  L '!E59</f>
        <v>548.15057287532909</v>
      </c>
      <c r="D9" s="761">
        <f>'P  L '!F59</f>
        <v>645.50185917475369</v>
      </c>
      <c r="E9" s="761">
        <f>'P  L '!G59</f>
        <v>800.56031221016019</v>
      </c>
      <c r="F9" s="761">
        <f>'P  L '!H59</f>
        <v>964.18614565267376</v>
      </c>
      <c r="G9" s="761">
        <f>'P  L '!I59</f>
        <v>1128.8883668773506</v>
      </c>
      <c r="H9" s="761">
        <f>'P  L '!J59</f>
        <v>1316.3625162035871</v>
      </c>
      <c r="I9" s="761">
        <f>'P  L '!K59</f>
        <v>1485.1356812112695</v>
      </c>
    </row>
    <row r="10" spans="1:9" ht="15" thickBot="1">
      <c r="A10" s="758" t="s">
        <v>394</v>
      </c>
      <c r="B10" s="761">
        <f>'P  L '!D63</f>
        <v>356.52353731319272</v>
      </c>
      <c r="C10" s="761">
        <f>'P  L '!E63</f>
        <v>356.29787236896391</v>
      </c>
      <c r="D10" s="761">
        <f>'P  L '!F63</f>
        <v>419.57620846358992</v>
      </c>
      <c r="E10" s="761">
        <f>'P  L '!G63</f>
        <v>520.36420293660422</v>
      </c>
      <c r="F10" s="761">
        <f>'P  L '!H63</f>
        <v>626.720994674238</v>
      </c>
      <c r="G10" s="761">
        <f>'P  L '!I63</f>
        <v>733.77743847027796</v>
      </c>
      <c r="H10" s="761">
        <f>'P  L '!J63</f>
        <v>855.63563553233166</v>
      </c>
      <c r="I10" s="761">
        <f>'P  L '!K63</f>
        <v>965.33819278732517</v>
      </c>
    </row>
    <row r="11" spans="1:9" ht="29.25" thickBot="1">
      <c r="A11" s="758" t="s">
        <v>441</v>
      </c>
      <c r="B11" s="761">
        <f>'B  S '!D26</f>
        <v>1163.8642876220001</v>
      </c>
      <c r="C11" s="761">
        <f>'B  S '!E26</f>
        <v>1185.8642876220001</v>
      </c>
      <c r="D11" s="761">
        <f>'B  S '!F26</f>
        <v>1185.8642876220001</v>
      </c>
      <c r="E11" s="761">
        <f>'B  S '!G26</f>
        <v>1185.8642876220001</v>
      </c>
      <c r="F11" s="761">
        <f>'B  S '!H26</f>
        <v>1185.8642876220001</v>
      </c>
      <c r="G11" s="761">
        <f>'B  S '!I26</f>
        <v>1185.8642876220001</v>
      </c>
      <c r="H11" s="761">
        <f>'B  S '!J26</f>
        <v>1185.8642876220001</v>
      </c>
      <c r="I11" s="761">
        <f>'B  S '!K26</f>
        <v>1185.8642876220001</v>
      </c>
    </row>
    <row r="12" spans="1:9" ht="15" thickBot="1">
      <c r="A12" s="758" t="s">
        <v>392</v>
      </c>
      <c r="B12" s="761">
        <f>'B  S '!D26+'B  S '!D27</f>
        <v>1163.8642876220001</v>
      </c>
      <c r="C12" s="761">
        <f>'B  S '!E26+'B  S '!E27</f>
        <v>1506.7354712038737</v>
      </c>
      <c r="D12" s="761">
        <f>'B  S '!F26+'B  S '!F27</f>
        <v>1827.4035563359412</v>
      </c>
      <c r="E12" s="761">
        <f>'B  S '!G26+'B  S '!G27</f>
        <v>2205.022143953172</v>
      </c>
      <c r="F12" s="761">
        <f>'B  S '!H26+'B  S '!H27</f>
        <v>2673.3499265961154</v>
      </c>
      <c r="G12" s="761">
        <f>'B  S '!I26+'B  S '!I27</f>
        <v>3237.3988218029299</v>
      </c>
      <c r="H12" s="761">
        <f>'B  S '!J26+'B  S '!J27</f>
        <v>3897.79851642618</v>
      </c>
      <c r="I12" s="761">
        <f>'B  S '!K26+'B  S '!K27</f>
        <v>4667.8705884052779</v>
      </c>
    </row>
    <row r="13" spans="1:9" ht="43.5" thickBot="1">
      <c r="A13" s="758" t="s">
        <v>442</v>
      </c>
      <c r="B13" s="759" t="s">
        <v>443</v>
      </c>
      <c r="C13" s="759" t="s">
        <v>443</v>
      </c>
      <c r="D13" s="759" t="s">
        <v>443</v>
      </c>
      <c r="E13" s="759" t="s">
        <v>443</v>
      </c>
      <c r="F13" s="759" t="s">
        <v>443</v>
      </c>
      <c r="G13" s="759" t="s">
        <v>443</v>
      </c>
      <c r="H13" s="759" t="s">
        <v>443</v>
      </c>
      <c r="I13" s="759" t="s">
        <v>443</v>
      </c>
    </row>
    <row r="14" spans="1:9" ht="29.25" thickBot="1">
      <c r="A14" s="758" t="s">
        <v>444</v>
      </c>
      <c r="B14" s="761">
        <f t="shared" ref="B14:I14" si="0">B12</f>
        <v>1163.8642876220001</v>
      </c>
      <c r="C14" s="761">
        <f t="shared" si="0"/>
        <v>1506.7354712038737</v>
      </c>
      <c r="D14" s="761">
        <f t="shared" si="0"/>
        <v>1827.4035563359412</v>
      </c>
      <c r="E14" s="761">
        <f t="shared" si="0"/>
        <v>2205.022143953172</v>
      </c>
      <c r="F14" s="761">
        <f t="shared" si="0"/>
        <v>2673.3499265961154</v>
      </c>
      <c r="G14" s="761">
        <f t="shared" si="0"/>
        <v>3237.3988218029299</v>
      </c>
      <c r="H14" s="761">
        <f t="shared" si="0"/>
        <v>3897.79851642618</v>
      </c>
      <c r="I14" s="761">
        <f t="shared" si="0"/>
        <v>4667.8705884052779</v>
      </c>
    </row>
    <row r="15" spans="1:9" ht="29.25" thickBot="1">
      <c r="A15" s="758" t="s">
        <v>445</v>
      </c>
      <c r="B15" s="761">
        <f>'B  S '!E28+'B  S '!E29</f>
        <v>2830</v>
      </c>
      <c r="C15" s="761">
        <f>'B  S '!F28+'B  S '!F29</f>
        <v>2530</v>
      </c>
      <c r="D15" s="761">
        <f>'B  S '!G28+'B  S '!G29</f>
        <v>2170</v>
      </c>
      <c r="E15" s="761">
        <f>'B  S '!H28+'B  S '!H29</f>
        <v>1690</v>
      </c>
      <c r="F15" s="761">
        <f>'B  S '!I28+'B  S '!I29</f>
        <v>1070</v>
      </c>
      <c r="G15" s="761">
        <f>'B  S '!J28+'B  S '!J29</f>
        <v>406</v>
      </c>
      <c r="H15" s="761">
        <f>'B  S '!K28+'B  S '!K29</f>
        <v>354.8</v>
      </c>
      <c r="I15" s="761">
        <f>'B  S '!L28+'B  S '!L29</f>
        <v>163.84000000000003</v>
      </c>
    </row>
    <row r="16" spans="1:9" ht="15" thickBot="1">
      <c r="A16" s="758" t="s">
        <v>446</v>
      </c>
      <c r="B16" s="761">
        <f>'B  S '!E11</f>
        <v>4263.8642876220001</v>
      </c>
      <c r="C16" s="761">
        <f>'B  S '!F11</f>
        <v>4263.8642876220001</v>
      </c>
      <c r="D16" s="761">
        <f>'B  S '!G11</f>
        <v>4358.8642876220001</v>
      </c>
      <c r="E16" s="761">
        <f>'B  S '!H11</f>
        <v>4368.8642876220001</v>
      </c>
      <c r="F16" s="761">
        <f>'B  S '!I11</f>
        <v>4488.8642876220001</v>
      </c>
      <c r="G16" s="761">
        <f>'B  S '!J11</f>
        <v>4598.8642876220001</v>
      </c>
      <c r="H16" s="761">
        <f>'B  S '!K11</f>
        <v>4713.8642876220001</v>
      </c>
      <c r="I16" s="761">
        <f>'B  S '!L11</f>
        <v>4813.8642876220001</v>
      </c>
    </row>
    <row r="17" spans="1:9" ht="15" thickBot="1">
      <c r="A17" s="758" t="s">
        <v>447</v>
      </c>
      <c r="B17" s="761">
        <f>'B  S '!E13</f>
        <v>3811.6702279253382</v>
      </c>
      <c r="C17" s="761">
        <f>'B  S '!F13</f>
        <v>3359.4761682286767</v>
      </c>
      <c r="D17" s="761">
        <f>'B  S '!G13</f>
        <v>3002.2821085320147</v>
      </c>
      <c r="E17" s="761">
        <f>'B  S '!H13</f>
        <v>2560.0880488353532</v>
      </c>
      <c r="F17" s="761">
        <f>'B  S '!I13</f>
        <v>2227.8939891386913</v>
      </c>
      <c r="G17" s="761">
        <f>'B  S '!J13</f>
        <v>1885.6999294420293</v>
      </c>
      <c r="H17" s="761">
        <f>'B  S '!K13</f>
        <v>1548.5058697453674</v>
      </c>
      <c r="I17" s="761">
        <f>'B  S '!L13</f>
        <v>1196.3118100487054</v>
      </c>
    </row>
    <row r="18" spans="1:9" ht="29.25" thickBot="1">
      <c r="A18" s="758" t="s">
        <v>415</v>
      </c>
      <c r="B18" s="761">
        <f>'B  S '!R16</f>
        <v>777.93352350053522</v>
      </c>
      <c r="C18" s="761">
        <f>'B  S '!S16</f>
        <v>1272.1116252025051</v>
      </c>
      <c r="D18" s="761">
        <f>'B  S '!T16</f>
        <v>1560.267391940007</v>
      </c>
      <c r="E18" s="761">
        <f>'B  S '!U16</f>
        <v>1913.7444020043943</v>
      </c>
      <c r="F18" s="761">
        <f>'B  S '!V16</f>
        <v>2151.8442362463975</v>
      </c>
      <c r="G18" s="761">
        <f>'B  S '!W16</f>
        <v>2352.6561520088917</v>
      </c>
      <c r="H18" s="761">
        <f>'B  S '!X16</f>
        <v>2610.927539190478</v>
      </c>
      <c r="I18" s="761">
        <f>'B  S '!Y16</f>
        <v>3443.3866431878896</v>
      </c>
    </row>
    <row r="19" spans="1:9" ht="29.25" thickBot="1">
      <c r="A19" s="758" t="s">
        <v>427</v>
      </c>
      <c r="B19" s="761">
        <f>'B  S '!R17</f>
        <v>197</v>
      </c>
      <c r="C19" s="761">
        <f>'B  S '!S17</f>
        <v>318.31595687324085</v>
      </c>
      <c r="D19" s="761">
        <f>'B  S '!T17</f>
        <v>381.65907629684961</v>
      </c>
      <c r="E19" s="761">
        <f>'B  S '!U17</f>
        <v>504.61424402163181</v>
      </c>
      <c r="F19" s="761">
        <f>'B  S '!V17</f>
        <v>566.47112336015891</v>
      </c>
      <c r="G19" s="761">
        <f>'B  S '!W17</f>
        <v>628.68928480274121</v>
      </c>
      <c r="H19" s="761">
        <f>'B  S '!X17</f>
        <v>30.894540308567713</v>
      </c>
      <c r="I19" s="761">
        <f>'B  S '!Y17</f>
        <v>33.315211100725001</v>
      </c>
    </row>
    <row r="20" spans="1:9" ht="15" thickBot="1">
      <c r="A20" s="758" t="s">
        <v>448</v>
      </c>
      <c r="B20" s="761">
        <f t="shared" ref="B20:I20" si="1">B18/B19</f>
        <v>3.9489011345204834</v>
      </c>
      <c r="C20" s="761">
        <f t="shared" si="1"/>
        <v>3.9963803187820801</v>
      </c>
      <c r="D20" s="761">
        <f t="shared" si="1"/>
        <v>4.0881181369480935</v>
      </c>
      <c r="E20" s="761">
        <f t="shared" si="1"/>
        <v>3.7924898567119238</v>
      </c>
      <c r="F20" s="761">
        <f t="shared" si="1"/>
        <v>3.7986830175600459</v>
      </c>
      <c r="G20" s="761">
        <f t="shared" si="1"/>
        <v>3.7421604103640256</v>
      </c>
      <c r="H20" s="761">
        <f t="shared" si="1"/>
        <v>84.510969029256358</v>
      </c>
      <c r="I20" s="761">
        <f t="shared" si="1"/>
        <v>103.35779151382761</v>
      </c>
    </row>
    <row r="21" spans="1:9" ht="15" thickBot="1">
      <c r="A21" s="758" t="s">
        <v>449</v>
      </c>
      <c r="B21" s="761">
        <f t="shared" ref="B21:I21" si="2">(B15+B19)/B12</f>
        <v>2.6008186969846343</v>
      </c>
      <c r="C21" s="761">
        <f t="shared" si="2"/>
        <v>1.8903888647404388</v>
      </c>
      <c r="D21" s="761">
        <f t="shared" si="2"/>
        <v>1.396330365807696</v>
      </c>
      <c r="E21" s="761">
        <f t="shared" si="2"/>
        <v>0.99527991137863092</v>
      </c>
      <c r="F21" s="761">
        <f t="shared" si="2"/>
        <v>0.61214250595462494</v>
      </c>
      <c r="G21" s="761">
        <f t="shared" si="2"/>
        <v>0.31960513416957248</v>
      </c>
      <c r="H21" s="761">
        <f t="shared" si="2"/>
        <v>9.8951892634564401E-2</v>
      </c>
      <c r="I21" s="761">
        <f t="shared" si="2"/>
        <v>4.2236648888777518E-2</v>
      </c>
    </row>
    <row r="22" spans="1:9" ht="15" thickBot="1">
      <c r="A22" s="758" t="s">
        <v>450</v>
      </c>
      <c r="B22" s="761">
        <f t="shared" ref="B22:I22" si="3">B15/B14</f>
        <v>2.4315549760378312</v>
      </c>
      <c r="C22" s="761">
        <f t="shared" si="3"/>
        <v>1.6791268595930402</v>
      </c>
      <c r="D22" s="761">
        <f t="shared" si="3"/>
        <v>1.1874771680706293</v>
      </c>
      <c r="E22" s="761">
        <f t="shared" si="3"/>
        <v>0.76643221231790515</v>
      </c>
      <c r="F22" s="761">
        <f t="shared" si="3"/>
        <v>0.40024689224369298</v>
      </c>
      <c r="G22" s="761">
        <f t="shared" si="3"/>
        <v>0.12540932469169672</v>
      </c>
      <c r="H22" s="761">
        <f t="shared" si="3"/>
        <v>9.1025741455027703E-2</v>
      </c>
      <c r="I22" s="761">
        <f t="shared" si="3"/>
        <v>3.5099516341984535E-2</v>
      </c>
    </row>
  </sheetData>
  <mergeCells count="1">
    <mergeCell ref="A4:A5"/>
  </mergeCells>
  <pageMargins left="0.28000000000000003" right="0.11"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979F-0F40-4856-8870-54B00B2004DF}">
  <dimension ref="B2:N52"/>
  <sheetViews>
    <sheetView view="pageBreakPreview" zoomScale="80" zoomScaleNormal="100" zoomScaleSheetLayoutView="80" zoomScalePageLayoutView="40" workbookViewId="0">
      <selection activeCell="L26" sqref="L26"/>
    </sheetView>
  </sheetViews>
  <sheetFormatPr defaultRowHeight="12.75"/>
  <cols>
    <col min="1" max="1" width="0.5703125" style="67" customWidth="1"/>
    <col min="2" max="2" width="29.7109375" style="67" customWidth="1"/>
    <col min="3" max="3" width="17.85546875" style="67" customWidth="1"/>
    <col min="4" max="4" width="14.140625" style="67" customWidth="1"/>
    <col min="5" max="11" width="10.42578125" style="67" bestFit="1" customWidth="1"/>
    <col min="12" max="12" width="10.42578125" style="67" customWidth="1"/>
    <col min="13" max="14" width="9.140625" style="67" hidden="1" customWidth="1"/>
    <col min="15" max="16384" width="9.140625" style="67"/>
  </cols>
  <sheetData>
    <row r="2" spans="2:14">
      <c r="E2" s="675">
        <f>Pages!D31</f>
        <v>31</v>
      </c>
    </row>
    <row r="4" spans="2:14" ht="18">
      <c r="E4" s="994" t="s">
        <v>451</v>
      </c>
      <c r="F4" s="994"/>
      <c r="G4" s="994"/>
    </row>
    <row r="5" spans="2:14" ht="18">
      <c r="E5" s="994" t="s">
        <v>228</v>
      </c>
      <c r="F5" s="994"/>
      <c r="G5" s="994"/>
    </row>
    <row r="6" spans="2:14" ht="18.75" thickBot="1">
      <c r="F6" s="994"/>
      <c r="G6" s="994"/>
      <c r="K6" s="671"/>
      <c r="L6" s="671" t="s">
        <v>92</v>
      </c>
    </row>
    <row r="7" spans="2:14" ht="13.5" thickBot="1">
      <c r="B7" s="1039" t="s">
        <v>93</v>
      </c>
      <c r="C7" s="1040"/>
      <c r="D7" s="157" t="s">
        <v>94</v>
      </c>
      <c r="E7" s="996" t="s">
        <v>95</v>
      </c>
      <c r="F7" s="996" t="s">
        <v>96</v>
      </c>
      <c r="G7" s="996" t="s">
        <v>97</v>
      </c>
      <c r="H7" s="996" t="s">
        <v>98</v>
      </c>
      <c r="I7" s="996" t="s">
        <v>99</v>
      </c>
      <c r="J7" s="996" t="s">
        <v>100</v>
      </c>
      <c r="K7" s="996" t="s">
        <v>101</v>
      </c>
      <c r="L7" s="996" t="s">
        <v>102</v>
      </c>
      <c r="M7" s="996" t="s">
        <v>103</v>
      </c>
      <c r="N7" s="996" t="s">
        <v>452</v>
      </c>
    </row>
    <row r="9" spans="2:14">
      <c r="B9" s="72" t="s">
        <v>104</v>
      </c>
    </row>
    <row r="10" spans="2:14" ht="5.25" customHeight="1"/>
    <row r="11" spans="2:14">
      <c r="B11" s="67" t="s">
        <v>453</v>
      </c>
      <c r="D11" s="67">
        <f>'CAPITAL COST'!D46-'CAPITAL COST'!D38</f>
        <v>1163.8642876220001</v>
      </c>
      <c r="E11" s="67">
        <f>'CAPITAL COST'!D38</f>
        <v>22</v>
      </c>
      <c r="F11" s="67">
        <v>0</v>
      </c>
      <c r="G11" s="67">
        <v>0</v>
      </c>
      <c r="H11" s="67">
        <v>0</v>
      </c>
      <c r="I11" s="67">
        <v>0</v>
      </c>
      <c r="J11" s="67">
        <v>0</v>
      </c>
      <c r="K11" s="67">
        <v>0</v>
      </c>
      <c r="L11" s="67">
        <v>0</v>
      </c>
      <c r="M11" s="67">
        <v>0</v>
      </c>
      <c r="N11" s="67">
        <v>0</v>
      </c>
    </row>
    <row r="12" spans="2:14" ht="16.5" customHeight="1">
      <c r="B12" s="1067" t="s">
        <v>454</v>
      </c>
      <c r="C12" s="1067"/>
      <c r="D12" s="67">
        <v>0</v>
      </c>
      <c r="E12" s="67">
        <f>'P  L '!D61</f>
        <v>803.21649971260422</v>
      </c>
      <c r="F12" s="67">
        <f>'P  L '!E61</f>
        <v>788.26307287532904</v>
      </c>
      <c r="G12" s="67">
        <f>'P  L '!F61</f>
        <v>863.28935917475371</v>
      </c>
      <c r="H12" s="67">
        <f>'P  L '!G61</f>
        <v>987.23531221016015</v>
      </c>
      <c r="I12" s="67">
        <f>'P  L '!H61</f>
        <v>1111.4361456526738</v>
      </c>
      <c r="J12" s="67">
        <f>'P  L '!I61</f>
        <v>1227.9258668773505</v>
      </c>
      <c r="K12" s="67">
        <f>'P  L '!J61</f>
        <v>1361.4875162035871</v>
      </c>
      <c r="L12" s="67">
        <f>'P  L '!K61</f>
        <v>1487.5106812112695</v>
      </c>
      <c r="M12" s="67" t="e">
        <f>'P  L '!L61</f>
        <v>#VALUE!</v>
      </c>
      <c r="N12" s="67" t="e">
        <f>'P  L '!M61</f>
        <v>#VALUE!</v>
      </c>
    </row>
    <row r="13" spans="2:14">
      <c r="B13" s="67" t="s">
        <v>106</v>
      </c>
      <c r="D13" s="67">
        <v>0</v>
      </c>
      <c r="E13" s="67">
        <f>'P  L '!D53</f>
        <v>452.19405969666178</v>
      </c>
      <c r="F13" s="67">
        <f>'P  L '!E53</f>
        <v>452.19405969666178</v>
      </c>
      <c r="G13" s="67">
        <f>'P  L '!F53</f>
        <v>452.19405969666178</v>
      </c>
      <c r="H13" s="67">
        <f>'P  L '!G53</f>
        <v>452.19405969666178</v>
      </c>
      <c r="I13" s="67">
        <f>'P  L '!H53</f>
        <v>452.19405969666178</v>
      </c>
      <c r="J13" s="67">
        <f>'P  L '!I53</f>
        <v>452.19405969666178</v>
      </c>
      <c r="K13" s="67">
        <f>'P  L '!J53</f>
        <v>452.19405969666178</v>
      </c>
      <c r="L13" s="67">
        <f>'P  L '!K53</f>
        <v>452.19405969666178</v>
      </c>
      <c r="M13" s="67">
        <f>'P  L '!L53</f>
        <v>452.19405969666178</v>
      </c>
      <c r="N13" s="67">
        <f>'P  L '!M53</f>
        <v>452.19405969666178</v>
      </c>
    </row>
    <row r="14" spans="2:14" hidden="1">
      <c r="B14" s="67" t="s">
        <v>455</v>
      </c>
      <c r="D14" s="67">
        <v>0</v>
      </c>
      <c r="E14" s="67">
        <f>+'P  L '!D52</f>
        <v>0</v>
      </c>
      <c r="F14" s="67">
        <f>+'P  L '!E52</f>
        <v>0</v>
      </c>
      <c r="G14" s="67">
        <f>+'P  L '!F52</f>
        <v>0</v>
      </c>
      <c r="H14" s="67">
        <f>+'P  L '!G52</f>
        <v>0</v>
      </c>
      <c r="I14" s="67">
        <f>+'P  L '!H52</f>
        <v>0</v>
      </c>
      <c r="J14" s="67">
        <f>+'P  L '!I52</f>
        <v>0</v>
      </c>
      <c r="K14" s="67">
        <f>+'P  L '!J52</f>
        <v>0</v>
      </c>
      <c r="L14" s="67">
        <f>+'P  L '!K52</f>
        <v>0</v>
      </c>
      <c r="M14" s="67">
        <f>+'P  L '!L52</f>
        <v>0</v>
      </c>
      <c r="N14" s="67">
        <f>+'P  L '!M52</f>
        <v>0</v>
      </c>
    </row>
    <row r="15" spans="2:14">
      <c r="B15" s="67" t="s">
        <v>456</v>
      </c>
      <c r="D15" s="67">
        <f>'CAPITAL COST'!D50</f>
        <v>2700</v>
      </c>
      <c r="E15" s="67">
        <v>0</v>
      </c>
      <c r="F15" s="67">
        <v>0</v>
      </c>
      <c r="G15" s="67">
        <v>0</v>
      </c>
      <c r="H15" s="67">
        <v>0</v>
      </c>
      <c r="I15" s="67">
        <v>0</v>
      </c>
      <c r="J15" s="67">
        <v>0</v>
      </c>
      <c r="K15" s="67">
        <v>0</v>
      </c>
      <c r="L15" s="67">
        <v>0</v>
      </c>
      <c r="M15" s="67">
        <v>0</v>
      </c>
      <c r="N15" s="67">
        <v>0</v>
      </c>
    </row>
    <row r="16" spans="2:14">
      <c r="B16" s="67" t="s">
        <v>457</v>
      </c>
      <c r="D16" s="67">
        <f>'B  S '!D29</f>
        <v>400</v>
      </c>
      <c r="E16" s="67">
        <v>0</v>
      </c>
      <c r="F16" s="67">
        <v>0</v>
      </c>
      <c r="G16" s="67">
        <v>0</v>
      </c>
      <c r="H16" s="67">
        <v>0</v>
      </c>
      <c r="I16" s="67">
        <v>0</v>
      </c>
      <c r="J16" s="67">
        <v>0</v>
      </c>
      <c r="K16" s="67">
        <v>0</v>
      </c>
      <c r="L16" s="67">
        <v>0</v>
      </c>
      <c r="M16" s="67">
        <v>0</v>
      </c>
      <c r="N16" s="67">
        <v>0</v>
      </c>
    </row>
    <row r="17" spans="2:14" hidden="1">
      <c r="B17" s="67" t="s">
        <v>371</v>
      </c>
      <c r="D17" s="67">
        <v>0</v>
      </c>
      <c r="E17" s="67">
        <f>' wORKING CAPITAL'!E33</f>
        <v>0</v>
      </c>
      <c r="F17" s="67">
        <f>' wORKING CAPITAL'!F33</f>
        <v>0</v>
      </c>
      <c r="G17" s="67">
        <f>' wORKING CAPITAL'!G33</f>
        <v>0</v>
      </c>
      <c r="H17" s="67">
        <f>' wORKING CAPITAL'!H33</f>
        <v>0</v>
      </c>
      <c r="I17" s="67">
        <f>' wORKING CAPITAL'!I33</f>
        <v>0</v>
      </c>
      <c r="J17" s="67">
        <f>' wORKING CAPITAL'!J33</f>
        <v>0</v>
      </c>
      <c r="K17" s="67">
        <f>' wORKING CAPITAL'!K33</f>
        <v>0</v>
      </c>
      <c r="L17" s="67">
        <f>' wORKING CAPITAL'!L33</f>
        <v>0</v>
      </c>
      <c r="M17" s="67">
        <f>' wORKING CAPITAL'!M33</f>
        <v>0</v>
      </c>
      <c r="N17" s="67">
        <f>' wORKING CAPITAL'!N33</f>
        <v>0</v>
      </c>
    </row>
    <row r="18" spans="2:14">
      <c r="B18" s="67" t="s">
        <v>458</v>
      </c>
      <c r="D18" s="67">
        <v>0</v>
      </c>
      <c r="E18" s="67">
        <f>' wORKING CAPITAL'!E32+'B  S '!E33</f>
        <v>17</v>
      </c>
      <c r="F18" s="67">
        <f>' wORKING CAPITAL'!F32+'B  S '!F33-'B  S '!E33</f>
        <v>1.3159568732408626</v>
      </c>
      <c r="G18" s="67">
        <f>' wORKING CAPITAL'!G32+'B  S '!G33-'B  S '!F33</f>
        <v>3.3431194236087567</v>
      </c>
      <c r="H18" s="67">
        <f>' wORKING CAPITAL'!H32+'B  S '!H33-'B  S '!G33</f>
        <v>2.9551677247821821</v>
      </c>
      <c r="I18" s="67">
        <f>' wORKING CAPITAL'!I32+'B  S '!I33-'B  S '!H33</f>
        <v>1.8568793385270688</v>
      </c>
      <c r="J18" s="67">
        <f>' wORKING CAPITAL'!J32+'B  S '!J33-'B  S '!I33</f>
        <v>2.2181614425823</v>
      </c>
      <c r="K18" s="67">
        <f>' wORKING CAPITAL'!K32+'B  S '!K33-'B  S '!J33</f>
        <v>2.2052555058265426</v>
      </c>
      <c r="L18" s="67">
        <f>' wORKING CAPITAL'!L32+'B  S '!L33-'B  S '!K33</f>
        <v>2.4206707921572885</v>
      </c>
      <c r="M18" s="67" t="e">
        <f>' wORKING CAPITAL'!M32+'B  S '!M33-'B  S '!L33</f>
        <v>#VALUE!</v>
      </c>
      <c r="N18" s="67" t="e">
        <f>' wORKING CAPITAL'!N32+'B  S '!N33-'B  S '!M33</f>
        <v>#VALUE!</v>
      </c>
    </row>
    <row r="20" spans="2:14" ht="13.5" thickBot="1">
      <c r="B20" s="66" t="s">
        <v>459</v>
      </c>
      <c r="C20" s="66"/>
      <c r="D20" s="158">
        <f>SUM(D9:D19)</f>
        <v>4263.8642876220001</v>
      </c>
      <c r="E20" s="158">
        <f t="shared" ref="E20:K20" si="0">SUM(E9:E19)</f>
        <v>1294.4105594092659</v>
      </c>
      <c r="F20" s="158">
        <f t="shared" si="0"/>
        <v>1241.7730894452316</v>
      </c>
      <c r="G20" s="158">
        <f t="shared" si="0"/>
        <v>1318.8265382950244</v>
      </c>
      <c r="H20" s="158">
        <f t="shared" si="0"/>
        <v>1442.384539631604</v>
      </c>
      <c r="I20" s="158">
        <f t="shared" si="0"/>
        <v>1565.4870846878625</v>
      </c>
      <c r="J20" s="158">
        <f t="shared" si="0"/>
        <v>1682.3380880165946</v>
      </c>
      <c r="K20" s="159">
        <f t="shared" si="0"/>
        <v>1815.8868314060753</v>
      </c>
      <c r="L20" s="159">
        <f>SUM(L9:L19)</f>
        <v>1942.1254117000885</v>
      </c>
      <c r="M20" s="159" t="e">
        <f>SUM(M9:M19)</f>
        <v>#VALUE!</v>
      </c>
      <c r="N20" s="159" t="e">
        <f>SUM(N9:N19)</f>
        <v>#VALUE!</v>
      </c>
    </row>
    <row r="21" spans="2:14" ht="6" customHeight="1" thickTop="1"/>
    <row r="22" spans="2:14">
      <c r="B22" s="72" t="s">
        <v>111</v>
      </c>
    </row>
    <row r="24" spans="2:14">
      <c r="B24" s="67" t="s">
        <v>460</v>
      </c>
      <c r="D24" s="67">
        <f>'CAPITAL COST'!D12</f>
        <v>0</v>
      </c>
      <c r="E24" s="67">
        <v>0</v>
      </c>
      <c r="F24" s="67">
        <v>0</v>
      </c>
      <c r="G24" s="67">
        <v>0</v>
      </c>
      <c r="H24" s="67">
        <v>0</v>
      </c>
      <c r="I24" s="67">
        <v>0</v>
      </c>
      <c r="J24" s="67">
        <v>0</v>
      </c>
      <c r="K24" s="67">
        <v>0</v>
      </c>
      <c r="L24" s="67">
        <v>0</v>
      </c>
      <c r="M24" s="67">
        <v>0</v>
      </c>
      <c r="N24" s="67">
        <v>0</v>
      </c>
    </row>
    <row r="25" spans="2:14">
      <c r="B25" s="67" t="s">
        <v>461</v>
      </c>
      <c r="D25" s="67">
        <f>'CAPITAL COST'!D14</f>
        <v>2878.9367657999996</v>
      </c>
      <c r="E25" s="67">
        <v>0</v>
      </c>
      <c r="F25" s="67">
        <v>0</v>
      </c>
      <c r="G25" s="67">
        <v>50</v>
      </c>
      <c r="H25" s="67">
        <v>0</v>
      </c>
      <c r="I25" s="67">
        <v>60</v>
      </c>
      <c r="J25" s="67">
        <v>50</v>
      </c>
      <c r="K25" s="67">
        <v>55</v>
      </c>
      <c r="L25" s="67">
        <v>45</v>
      </c>
      <c r="M25" s="67">
        <v>40</v>
      </c>
      <c r="N25" s="67">
        <v>50</v>
      </c>
    </row>
    <row r="26" spans="2:14">
      <c r="B26" s="67" t="s">
        <v>175</v>
      </c>
      <c r="D26" s="67">
        <f>'CAPITAL COST'!D16</f>
        <v>375.3</v>
      </c>
      <c r="E26" s="67">
        <v>0</v>
      </c>
      <c r="F26" s="67">
        <v>0</v>
      </c>
      <c r="G26" s="67">
        <v>35</v>
      </c>
      <c r="H26" s="67">
        <v>0</v>
      </c>
      <c r="I26" s="67">
        <v>45</v>
      </c>
      <c r="J26" s="67">
        <v>45</v>
      </c>
      <c r="K26" s="67">
        <v>45</v>
      </c>
      <c r="L26" s="67">
        <v>40</v>
      </c>
      <c r="M26" s="67">
        <v>35</v>
      </c>
      <c r="N26" s="67">
        <v>45</v>
      </c>
    </row>
    <row r="27" spans="2:14">
      <c r="B27" s="67" t="s">
        <v>462</v>
      </c>
      <c r="D27" s="67">
        <f>'CAPITAL COST'!D18</f>
        <v>140.5</v>
      </c>
      <c r="E27" s="67">
        <v>0</v>
      </c>
      <c r="F27" s="67">
        <v>0</v>
      </c>
      <c r="G27" s="67">
        <v>0</v>
      </c>
      <c r="H27" s="67">
        <v>0</v>
      </c>
      <c r="I27" s="67">
        <v>0</v>
      </c>
      <c r="J27" s="67">
        <v>0</v>
      </c>
      <c r="K27" s="67">
        <v>0</v>
      </c>
      <c r="L27" s="67">
        <v>0</v>
      </c>
      <c r="M27" s="67">
        <v>0</v>
      </c>
      <c r="N27" s="67">
        <v>0</v>
      </c>
    </row>
    <row r="28" spans="2:14">
      <c r="B28" s="67" t="s">
        <v>83</v>
      </c>
      <c r="D28" s="67">
        <f>'CAPITAL COST'!D20</f>
        <v>467.53924159999997</v>
      </c>
      <c r="E28" s="67">
        <v>0</v>
      </c>
      <c r="F28" s="67">
        <v>0</v>
      </c>
      <c r="G28" s="67">
        <v>10</v>
      </c>
      <c r="H28" s="67">
        <v>10</v>
      </c>
      <c r="I28" s="67">
        <v>15</v>
      </c>
      <c r="J28" s="67">
        <v>15</v>
      </c>
      <c r="K28" s="67">
        <v>15</v>
      </c>
      <c r="L28" s="67">
        <v>15</v>
      </c>
      <c r="M28" s="67">
        <v>10</v>
      </c>
      <c r="N28" s="67">
        <v>20</v>
      </c>
    </row>
    <row r="29" spans="2:14">
      <c r="B29" s="67" t="s">
        <v>463</v>
      </c>
      <c r="D29" s="67">
        <f>'CAPITAL COST'!D22</f>
        <v>285.72000000000003</v>
      </c>
      <c r="E29" s="67">
        <v>0</v>
      </c>
      <c r="F29" s="67">
        <v>0</v>
      </c>
      <c r="G29" s="67">
        <v>0</v>
      </c>
      <c r="H29" s="67">
        <v>0</v>
      </c>
      <c r="I29" s="67">
        <v>0</v>
      </c>
      <c r="J29" s="67">
        <v>0</v>
      </c>
      <c r="K29" s="67">
        <v>0</v>
      </c>
      <c r="L29" s="67">
        <v>0</v>
      </c>
      <c r="M29" s="67">
        <v>0</v>
      </c>
      <c r="N29" s="67">
        <v>0</v>
      </c>
    </row>
    <row r="30" spans="2:14">
      <c r="B30" s="67" t="s">
        <v>464</v>
      </c>
      <c r="D30" s="67">
        <v>0</v>
      </c>
      <c r="E30" s="67">
        <f>' wORKING CAPITAL'!E30</f>
        <v>12</v>
      </c>
      <c r="F30" s="67">
        <f>' wORKING CAPITAL'!F30</f>
        <v>-3.8857499999998879E-2</v>
      </c>
      <c r="G30" s="67">
        <f>' wORKING CAPITAL'!G30</f>
        <v>1.3038928125000009</v>
      </c>
      <c r="H30" s="67">
        <f>' wORKING CAPITAL'!H30</f>
        <v>1.473892812499999</v>
      </c>
      <c r="I30" s="67">
        <f>' wORKING CAPITAL'!I30</f>
        <v>4.7164570000000019</v>
      </c>
      <c r="J30" s="67">
        <f>' wORKING CAPITAL'!J30</f>
        <v>5.3060141250000008</v>
      </c>
      <c r="K30" s="67">
        <f>' wORKING CAPITAL'!K30</f>
        <v>5.8955712500000033</v>
      </c>
      <c r="L30" s="67">
        <f>' wORKING CAPITAL'!L30</f>
        <v>6.4851283750000022</v>
      </c>
      <c r="M30" s="67">
        <f>' wORKING CAPITAL'!M30</f>
        <v>-1.7686713750000109</v>
      </c>
      <c r="N30" s="67">
        <f>' wORKING CAPITAL'!N30</f>
        <v>0.35373427500000076</v>
      </c>
    </row>
    <row r="31" spans="2:14">
      <c r="B31" s="67" t="s">
        <v>465</v>
      </c>
      <c r="D31" s="67">
        <v>0</v>
      </c>
      <c r="E31" s="67">
        <f>' wORKING CAPITAL'!E31</f>
        <v>25</v>
      </c>
      <c r="F31" s="67">
        <f>' wORKING CAPITAL'!F31</f>
        <v>2.6654833653846168</v>
      </c>
      <c r="G31" s="67">
        <f>' wORKING CAPITAL'!G31</f>
        <v>3.458185420673086</v>
      </c>
      <c r="H31" s="67">
        <f>' wORKING CAPITAL'!H31</f>
        <v>3.4581854206730647</v>
      </c>
      <c r="I31" s="67">
        <f>' wORKING CAPITAL'!I31</f>
        <v>6.9163708413461435</v>
      </c>
      <c r="J31" s="67">
        <f>' wORKING CAPITAL'!J31</f>
        <v>11.317697740384631</v>
      </c>
      <c r="K31" s="67">
        <f>' wORKING CAPITAL'!K31</f>
        <v>12.575219711538473</v>
      </c>
      <c r="L31" s="67">
        <f>' wORKING CAPITAL'!L31</f>
        <v>13.832741682692316</v>
      </c>
      <c r="M31" s="67">
        <f>' wORKING CAPITAL'!M31</f>
        <v>-3.7725659134615626</v>
      </c>
      <c r="N31" s="67">
        <f>' wORKING CAPITAL'!N31</f>
        <v>0.75451318269230683</v>
      </c>
    </row>
    <row r="32" spans="2:14">
      <c r="B32" s="67" t="s">
        <v>466</v>
      </c>
      <c r="D32" s="67">
        <v>0</v>
      </c>
      <c r="E32" s="67">
        <f>'B  S '!E18</f>
        <v>110</v>
      </c>
      <c r="F32" s="67">
        <f>'B  S '!F18-'B  S '!E18</f>
        <v>100</v>
      </c>
      <c r="G32" s="67">
        <f>'B  S '!G18-'B  S '!F18</f>
        <v>150</v>
      </c>
      <c r="H32" s="67">
        <f>'B  S '!H18-'B  S '!G18</f>
        <v>200</v>
      </c>
      <c r="I32" s="67">
        <f>'B  S '!I18-'B  S '!H18</f>
        <v>100</v>
      </c>
      <c r="J32" s="67">
        <f>'B  S '!J18-'B  S '!I18</f>
        <v>100</v>
      </c>
      <c r="K32" s="67">
        <f>'B  S '!K18-'B  S '!J18</f>
        <v>100</v>
      </c>
      <c r="L32" s="67">
        <f>'B  S '!L18-'B  S '!K18</f>
        <v>200</v>
      </c>
      <c r="M32" s="67">
        <f>'B  S '!M18-'B  S '!L18</f>
        <v>5</v>
      </c>
      <c r="N32" s="67">
        <f>'B  S '!N18-'B  S '!M18</f>
        <v>5</v>
      </c>
    </row>
    <row r="33" spans="2:14">
      <c r="B33" s="67" t="s">
        <v>467</v>
      </c>
      <c r="D33" s="67">
        <v>0</v>
      </c>
      <c r="E33" s="67">
        <f>'B  S '!E19</f>
        <v>60</v>
      </c>
      <c r="F33" s="67">
        <f>'B  S '!F19-'B  S '!E19</f>
        <v>100</v>
      </c>
      <c r="G33" s="67">
        <f>'B  S '!G19-'B  S '!F19</f>
        <v>150</v>
      </c>
      <c r="H33" s="67">
        <f>'B  S '!H19-'B  S '!G19</f>
        <v>200</v>
      </c>
      <c r="I33" s="67">
        <f>'B  S '!I19-'B  S '!H19</f>
        <v>100</v>
      </c>
      <c r="J33" s="67">
        <f>'B  S '!J19-'B  S '!I19</f>
        <v>200</v>
      </c>
      <c r="K33" s="67">
        <f>'B  S '!K19-'B  S '!J19</f>
        <v>200</v>
      </c>
      <c r="L33" s="67">
        <f>'B  S '!L19-'B  S '!K19</f>
        <v>200</v>
      </c>
      <c r="M33" s="67">
        <f>'B  S '!M19-'B  S '!L19</f>
        <v>-835</v>
      </c>
      <c r="N33" s="67">
        <f>'B  S '!N19-'B  S '!M19</f>
        <v>0</v>
      </c>
    </row>
    <row r="34" spans="2:14">
      <c r="B34" s="67" t="s">
        <v>468</v>
      </c>
      <c r="D34" s="67">
        <v>0</v>
      </c>
      <c r="E34" s="67">
        <f>Interest!J46</f>
        <v>90</v>
      </c>
      <c r="F34" s="67">
        <f>Interest!J58</f>
        <v>180</v>
      </c>
      <c r="G34" s="67">
        <f>Interest!J70</f>
        <v>300</v>
      </c>
      <c r="H34" s="67">
        <f>Interest!J82</f>
        <v>360</v>
      </c>
      <c r="I34" s="67">
        <f>Interest!J94</f>
        <v>480</v>
      </c>
      <c r="J34" s="67">
        <f>Interest!J106</f>
        <v>540</v>
      </c>
      <c r="K34" s="67">
        <f>Interest!J118</f>
        <v>600</v>
      </c>
      <c r="L34" s="67">
        <f>Interest!J130</f>
        <v>150</v>
      </c>
      <c r="M34" s="67">
        <f>Interest!J142</f>
        <v>0</v>
      </c>
      <c r="N34" s="67">
        <f>Interest!J150</f>
        <v>0</v>
      </c>
    </row>
    <row r="35" spans="2:14">
      <c r="B35" s="67" t="s">
        <v>469</v>
      </c>
      <c r="D35" s="67">
        <v>0</v>
      </c>
      <c r="E35" s="67">
        <v>0</v>
      </c>
      <c r="F35" s="67">
        <f>'B  S '!E29-'B  S '!F29</f>
        <v>0</v>
      </c>
      <c r="G35" s="67">
        <f>'B  S '!F29-'B  S '!G29</f>
        <v>0</v>
      </c>
      <c r="H35" s="67">
        <f>'B  S '!G29-'B  S '!H29</f>
        <v>0</v>
      </c>
      <c r="I35" s="67">
        <f>'B  S '!H29-'B  S '!I29</f>
        <v>80</v>
      </c>
      <c r="J35" s="67">
        <f>'B  S '!I29-'B  S '!J29</f>
        <v>64</v>
      </c>
      <c r="K35" s="67">
        <f>'B  S '!J29-'B  S '!K29</f>
        <v>51.199999999999989</v>
      </c>
      <c r="L35" s="67">
        <f>'B  S '!K29-'B  S '!L29</f>
        <v>40.95999999999998</v>
      </c>
      <c r="M35" s="67">
        <f>'B  S '!L29-'B  S '!M29</f>
        <v>32.768000000000001</v>
      </c>
      <c r="N35" s="67">
        <f>'B  S '!M29-'B  S '!N29</f>
        <v>26.214399999999998</v>
      </c>
    </row>
    <row r="36" spans="2:14">
      <c r="B36" s="67" t="s">
        <v>107</v>
      </c>
      <c r="D36" s="67">
        <v>0</v>
      </c>
      <c r="E36" s="67">
        <f>'P  L '!D50</f>
        <v>254.71875</v>
      </c>
      <c r="F36" s="67">
        <f>'P  L '!E50</f>
        <v>240.11249999999998</v>
      </c>
      <c r="G36" s="67">
        <f>'P  L '!F50</f>
        <v>217.78750000000002</v>
      </c>
      <c r="H36" s="67">
        <f>'P  L '!G50</f>
        <v>186.67500000000001</v>
      </c>
      <c r="I36" s="67">
        <f>'P  L '!H50</f>
        <v>147.25000000000003</v>
      </c>
      <c r="J36" s="67">
        <f>'P  L '!I50</f>
        <v>99.037499999999994</v>
      </c>
      <c r="K36" s="67">
        <f>'P  L '!J50</f>
        <v>45.125</v>
      </c>
      <c r="L36" s="67">
        <f>'P  L '!K50</f>
        <v>2.375</v>
      </c>
      <c r="M36" s="67">
        <f>'P  L '!L50</f>
        <v>0</v>
      </c>
      <c r="N36" s="67">
        <f>'P  L '!M50</f>
        <v>0</v>
      </c>
    </row>
    <row r="37" spans="2:14" hidden="1">
      <c r="B37" s="67" t="s">
        <v>367</v>
      </c>
      <c r="D37" s="67">
        <v>0</v>
      </c>
      <c r="E37" s="67">
        <f>'P  L '!D51</f>
        <v>0</v>
      </c>
      <c r="F37" s="67">
        <f>'P  L '!E51</f>
        <v>0</v>
      </c>
      <c r="G37" s="67">
        <f>'P  L '!F51</f>
        <v>0</v>
      </c>
      <c r="H37" s="67">
        <f>'P  L '!G51</f>
        <v>0</v>
      </c>
      <c r="I37" s="67">
        <f>'P  L '!H51</f>
        <v>0</v>
      </c>
      <c r="J37" s="67">
        <f>'P  L '!I51</f>
        <v>0</v>
      </c>
      <c r="K37" s="67">
        <f>'P  L '!J51</f>
        <v>0</v>
      </c>
      <c r="L37" s="67">
        <f>'P  L '!K51</f>
        <v>0</v>
      </c>
      <c r="M37" s="67">
        <f>'P  L '!L51</f>
        <v>0</v>
      </c>
      <c r="N37" s="67">
        <f>'P  L '!M51</f>
        <v>0</v>
      </c>
    </row>
    <row r="38" spans="2:14">
      <c r="B38" s="67" t="s">
        <v>470</v>
      </c>
      <c r="D38" s="67">
        <v>0</v>
      </c>
      <c r="E38" s="67">
        <f>'P  L '!D62</f>
        <v>191.97421239941147</v>
      </c>
      <c r="F38" s="67">
        <f>'P  L '!E62</f>
        <v>191.85270050636518</v>
      </c>
      <c r="G38" s="67">
        <f>'P  L '!F62</f>
        <v>225.92565071116377</v>
      </c>
      <c r="H38" s="67">
        <f>'P  L '!G62</f>
        <v>280.19610927355603</v>
      </c>
      <c r="I38" s="67">
        <f>'P  L '!H62</f>
        <v>337.46515097843582</v>
      </c>
      <c r="J38" s="67">
        <f>'P  L '!I62</f>
        <v>395.11092840707266</v>
      </c>
      <c r="K38" s="67">
        <f>'P  L '!J62</f>
        <v>460.72688067125546</v>
      </c>
      <c r="L38" s="67">
        <f>'P  L '!K62</f>
        <v>519.79748842394429</v>
      </c>
      <c r="M38" s="67" t="e">
        <f>'P  L '!L62</f>
        <v>#VALUE!</v>
      </c>
      <c r="N38" s="67" t="e">
        <f>'P  L '!M62</f>
        <v>#VALUE!</v>
      </c>
    </row>
    <row r="39" spans="2:14">
      <c r="B39" s="67" t="s">
        <v>397</v>
      </c>
      <c r="D39" s="67">
        <f>0</f>
        <v>0</v>
      </c>
      <c r="E39" s="67">
        <f>'P  L '!D64</f>
        <v>35.652353731319273</v>
      </c>
      <c r="F39" s="67">
        <f>'P  L '!E64</f>
        <v>35.629787236896391</v>
      </c>
      <c r="G39" s="67">
        <f>'P  L '!F64</f>
        <v>41.957620846358992</v>
      </c>
      <c r="H39" s="67">
        <f>'P  L '!G64</f>
        <v>52.036420293660427</v>
      </c>
      <c r="I39" s="67">
        <f>'P  L '!H64</f>
        <v>62.672099467423806</v>
      </c>
      <c r="J39" s="67">
        <f>'P  L '!I64</f>
        <v>73.377743847027801</v>
      </c>
      <c r="K39" s="67">
        <f>'P  L '!J64</f>
        <v>85.563563553233166</v>
      </c>
      <c r="L39" s="67">
        <f>'P  L '!K64</f>
        <v>96.533819278732523</v>
      </c>
      <c r="M39" s="67" t="e">
        <f>'P  L '!L64</f>
        <v>#VALUE!</v>
      </c>
      <c r="N39" s="67" t="e">
        <f>'P  L '!M64</f>
        <v>#VALUE!</v>
      </c>
    </row>
    <row r="41" spans="2:14" ht="13.5" thickBot="1">
      <c r="B41" s="66" t="s">
        <v>471</v>
      </c>
      <c r="C41" s="66"/>
      <c r="D41" s="158">
        <f>SUM(D21:D40)</f>
        <v>4147.9960074000001</v>
      </c>
      <c r="E41" s="158">
        <f t="shared" ref="E41:K41" si="1">SUM(E21:E40)</f>
        <v>779.34531613073079</v>
      </c>
      <c r="F41" s="158">
        <f t="shared" si="1"/>
        <v>850.22161360864618</v>
      </c>
      <c r="G41" s="158">
        <f t="shared" si="1"/>
        <v>1185.4328497906959</v>
      </c>
      <c r="H41" s="158">
        <f t="shared" si="1"/>
        <v>1293.8396078003896</v>
      </c>
      <c r="I41" s="158">
        <f t="shared" si="1"/>
        <v>1439.0200782872057</v>
      </c>
      <c r="J41" s="158">
        <f t="shared" si="1"/>
        <v>1598.149884119485</v>
      </c>
      <c r="K41" s="159">
        <f t="shared" si="1"/>
        <v>1676.0862351860274</v>
      </c>
      <c r="L41" s="159">
        <f>SUM(L21:L40)</f>
        <v>1329.9841777603692</v>
      </c>
      <c r="M41" s="159" t="e">
        <f>SUM(M21:M40)</f>
        <v>#VALUE!</v>
      </c>
      <c r="N41" s="159" t="e">
        <f>SUM(N21:N40)</f>
        <v>#VALUE!</v>
      </c>
    </row>
    <row r="42" spans="2:14" ht="13.5" thickTop="1"/>
    <row r="43" spans="2:14">
      <c r="B43" s="160" t="s">
        <v>472</v>
      </c>
      <c r="C43" s="161"/>
      <c r="D43" s="141">
        <v>0</v>
      </c>
      <c r="E43" s="141">
        <f>D45</f>
        <v>115.86828022200007</v>
      </c>
      <c r="F43" s="141">
        <f t="shared" ref="F43:L43" si="2">E45</f>
        <v>630.93352350053522</v>
      </c>
      <c r="G43" s="141">
        <f t="shared" si="2"/>
        <v>1022.4849993371206</v>
      </c>
      <c r="H43" s="141">
        <f t="shared" si="2"/>
        <v>1155.8786878414492</v>
      </c>
      <c r="I43" s="141">
        <f t="shared" si="2"/>
        <v>1304.4236196726636</v>
      </c>
      <c r="J43" s="141">
        <f t="shared" si="2"/>
        <v>1430.8906260733204</v>
      </c>
      <c r="K43" s="160">
        <f t="shared" si="2"/>
        <v>1515.07882997043</v>
      </c>
      <c r="L43" s="160">
        <f t="shared" si="2"/>
        <v>1654.8794261904779</v>
      </c>
      <c r="M43" s="160">
        <f>L45</f>
        <v>2267.020660130197</v>
      </c>
      <c r="N43" s="160" t="e">
        <f>M45</f>
        <v>#VALUE!</v>
      </c>
    </row>
    <row r="44" spans="2:14">
      <c r="B44" s="160" t="s">
        <v>473</v>
      </c>
      <c r="C44" s="161"/>
      <c r="D44" s="141">
        <f t="shared" ref="D44:K44" si="3">D20-D41</f>
        <v>115.86828022200007</v>
      </c>
      <c r="E44" s="141">
        <f t="shared" si="3"/>
        <v>515.06524327853515</v>
      </c>
      <c r="F44" s="141">
        <f t="shared" si="3"/>
        <v>391.55147583658538</v>
      </c>
      <c r="G44" s="141">
        <f t="shared" si="3"/>
        <v>133.39368850432857</v>
      </c>
      <c r="H44" s="141">
        <f t="shared" si="3"/>
        <v>148.5449318312144</v>
      </c>
      <c r="I44" s="141">
        <f t="shared" si="3"/>
        <v>126.46700640065683</v>
      </c>
      <c r="J44" s="141">
        <f t="shared" si="3"/>
        <v>84.188203897109588</v>
      </c>
      <c r="K44" s="160">
        <f t="shared" si="3"/>
        <v>139.80059622004796</v>
      </c>
      <c r="L44" s="160">
        <f>L20-L41</f>
        <v>612.14123393971931</v>
      </c>
      <c r="M44" s="160" t="e">
        <f>M20-M41</f>
        <v>#VALUE!</v>
      </c>
      <c r="N44" s="160" t="e">
        <f>N20-N41</f>
        <v>#VALUE!</v>
      </c>
    </row>
    <row r="45" spans="2:14">
      <c r="B45" s="162" t="s">
        <v>474</v>
      </c>
      <c r="C45" s="163"/>
      <c r="D45" s="141">
        <f>D43+D44</f>
        <v>115.86828022200007</v>
      </c>
      <c r="E45" s="141">
        <f>E43+E44</f>
        <v>630.93352350053522</v>
      </c>
      <c r="F45" s="141">
        <f t="shared" ref="F45:K45" si="4">F43+F44</f>
        <v>1022.4849993371206</v>
      </c>
      <c r="G45" s="141">
        <f t="shared" si="4"/>
        <v>1155.8786878414492</v>
      </c>
      <c r="H45" s="141">
        <f t="shared" si="4"/>
        <v>1304.4236196726636</v>
      </c>
      <c r="I45" s="141">
        <f t="shared" si="4"/>
        <v>1430.8906260733204</v>
      </c>
      <c r="J45" s="141">
        <f t="shared" si="4"/>
        <v>1515.07882997043</v>
      </c>
      <c r="K45" s="160">
        <f t="shared" si="4"/>
        <v>1654.8794261904779</v>
      </c>
      <c r="L45" s="160">
        <f>L43+L44</f>
        <v>2267.020660130197</v>
      </c>
      <c r="M45" s="160" t="e">
        <f>M43+M44</f>
        <v>#VALUE!</v>
      </c>
      <c r="N45" s="160" t="e">
        <f>N43+N44</f>
        <v>#VALUE!</v>
      </c>
    </row>
    <row r="52" spans="5:14">
      <c r="E52" s="67">
        <f>'B  S '!E16</f>
        <v>630.93352350053522</v>
      </c>
      <c r="F52" s="67">
        <f>'B  S '!F16</f>
        <v>1022.4849993371206</v>
      </c>
      <c r="G52" s="67">
        <f>'B  S '!G16</f>
        <v>1155.8786878414492</v>
      </c>
      <c r="H52" s="67">
        <f>'B  S '!H16</f>
        <v>1304.4236196726636</v>
      </c>
      <c r="I52" s="67">
        <f>'B  S '!I16</f>
        <v>1430.8906260733204</v>
      </c>
      <c r="J52" s="67">
        <f>'B  S '!J16</f>
        <v>1515.07882997043</v>
      </c>
      <c r="K52" s="67">
        <f>'B  S '!K16</f>
        <v>1654.8794261904779</v>
      </c>
      <c r="L52" s="67">
        <f>'B  S '!L16</f>
        <v>2267.020660130197</v>
      </c>
      <c r="M52" s="67" t="e">
        <f>'B  S '!M16</f>
        <v>#VALUE!</v>
      </c>
      <c r="N52" s="67" t="e">
        <f>'B  S '!N16</f>
        <v>#VALUE!</v>
      </c>
    </row>
  </sheetData>
  <mergeCells count="2">
    <mergeCell ref="B7:C7"/>
    <mergeCell ref="B12:C12"/>
  </mergeCells>
  <phoneticPr fontId="2" type="noConversion"/>
  <pageMargins left="0.28999999999999998" right="0.11811023622047245" top="0.59055118110236227" bottom="0.15748031496062992" header="0.23622047244094491" footer="0.19685039370078741"/>
  <pageSetup paperSize="9" scale="89" orientation="landscape" r:id="rId1"/>
  <headerFooter alignWithMargins="0">
    <oddHeader>&amp;RHOTEL CITY WALK INTERNATIONAL
GUWAHATI</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1905-9A1A-4273-9A6C-12CAC271BC64}">
  <dimension ref="A2:P93"/>
  <sheetViews>
    <sheetView view="pageBreakPreview" topLeftCell="A51" zoomScale="121" zoomScaleNormal="100" zoomScaleSheetLayoutView="100" zoomScalePageLayoutView="40" workbookViewId="0">
      <selection activeCell="D73" sqref="D73"/>
    </sheetView>
  </sheetViews>
  <sheetFormatPr defaultRowHeight="12.75"/>
  <cols>
    <col min="1" max="1" width="4.140625" style="51" customWidth="1"/>
    <col min="2" max="2" width="9.140625" style="51"/>
    <col min="3" max="3" width="13.5703125" style="51" bestFit="1" customWidth="1"/>
    <col min="4" max="4" width="12.85546875" style="51" bestFit="1" customWidth="1"/>
    <col min="5" max="5" width="18.140625" style="51" customWidth="1"/>
    <col min="6" max="6" width="12.42578125" style="51" bestFit="1" customWidth="1"/>
    <col min="7" max="7" width="9.140625" style="75"/>
    <col min="8" max="8" width="12.42578125" style="51" bestFit="1" customWidth="1"/>
    <col min="9" max="9" width="12.5703125" style="51" bestFit="1" customWidth="1"/>
    <col min="10" max="16384" width="9.140625" style="51"/>
  </cols>
  <sheetData>
    <row r="2" spans="1:10">
      <c r="E2" s="1009">
        <f>Pages!D42</f>
        <v>37</v>
      </c>
      <c r="G2" s="1014"/>
    </row>
    <row r="4" spans="1:10">
      <c r="E4" s="73" t="s">
        <v>475</v>
      </c>
      <c r="G4" s="1014"/>
    </row>
    <row r="5" spans="1:10">
      <c r="G5" s="1014"/>
      <c r="I5" s="73" t="s">
        <v>313</v>
      </c>
    </row>
    <row r="6" spans="1:10">
      <c r="A6" s="50" t="s">
        <v>476</v>
      </c>
      <c r="B6" s="73" t="s">
        <v>477</v>
      </c>
      <c r="G6" s="1014"/>
    </row>
    <row r="7" spans="1:10">
      <c r="B7" s="74" t="s">
        <v>478</v>
      </c>
      <c r="G7" s="1014"/>
    </row>
    <row r="8" spans="1:10">
      <c r="B8" s="74"/>
      <c r="G8" s="1014"/>
    </row>
    <row r="9" spans="1:10">
      <c r="B9" s="50" t="s">
        <v>479</v>
      </c>
      <c r="C9" s="50"/>
      <c r="G9" s="1014"/>
      <c r="I9" s="584">
        <f>F21/10^5</f>
        <v>2423.5357657999998</v>
      </c>
      <c r="J9" s="51">
        <v>2423.54</v>
      </c>
    </row>
    <row r="10" spans="1:10">
      <c r="B10" s="998" t="s">
        <v>480</v>
      </c>
      <c r="C10" s="998" t="s">
        <v>481</v>
      </c>
      <c r="D10" s="998" t="s">
        <v>482</v>
      </c>
      <c r="E10" s="998" t="s">
        <v>483</v>
      </c>
      <c r="F10" s="998" t="s">
        <v>484</v>
      </c>
      <c r="G10" s="51"/>
      <c r="I10" s="584"/>
    </row>
    <row r="11" spans="1:10">
      <c r="B11" s="884">
        <v>1</v>
      </c>
      <c r="C11" s="183" t="s">
        <v>485</v>
      </c>
      <c r="D11" s="888">
        <v>3110</v>
      </c>
      <c r="E11" s="888">
        <v>20502.775774919613</v>
      </c>
      <c r="F11" s="888">
        <f>D11*E11</f>
        <v>63763632.659999996</v>
      </c>
      <c r="G11" s="51"/>
      <c r="I11" s="584"/>
    </row>
    <row r="12" spans="1:10">
      <c r="B12" s="884">
        <f>B11+1</f>
        <v>2</v>
      </c>
      <c r="C12" s="183" t="s">
        <v>486</v>
      </c>
      <c r="D12" s="888">
        <v>3014</v>
      </c>
      <c r="E12" s="888">
        <v>12200.774163901791</v>
      </c>
      <c r="F12" s="888">
        <f t="shared" ref="F12:F20" si="0">D12*E12</f>
        <v>36773133.329999998</v>
      </c>
      <c r="G12" s="51"/>
      <c r="I12" s="584"/>
    </row>
    <row r="13" spans="1:10">
      <c r="B13" s="884">
        <f t="shared" ref="B13:B20" si="1">B12+1</f>
        <v>3</v>
      </c>
      <c r="C13" s="183" t="s">
        <v>487</v>
      </c>
      <c r="D13" s="888">
        <v>1039</v>
      </c>
      <c r="E13" s="888">
        <v>12198.307035611164</v>
      </c>
      <c r="F13" s="888">
        <f t="shared" si="0"/>
        <v>12674041.01</v>
      </c>
      <c r="G13" s="51"/>
      <c r="I13" s="584"/>
    </row>
    <row r="14" spans="1:10">
      <c r="B14" s="884">
        <f t="shared" si="1"/>
        <v>4</v>
      </c>
      <c r="C14" s="183" t="s">
        <v>488</v>
      </c>
      <c r="D14" s="888">
        <v>1892.8</v>
      </c>
      <c r="E14" s="888">
        <v>12202.907597210482</v>
      </c>
      <c r="F14" s="888">
        <f t="shared" si="0"/>
        <v>23097663.5</v>
      </c>
      <c r="G14" s="51"/>
      <c r="I14" s="584"/>
    </row>
    <row r="15" spans="1:10">
      <c r="B15" s="884">
        <f t="shared" si="1"/>
        <v>5</v>
      </c>
      <c r="C15" s="183" t="s">
        <v>489</v>
      </c>
      <c r="D15" s="888">
        <v>1430.91</v>
      </c>
      <c r="E15" s="888">
        <v>12197.339706899804</v>
      </c>
      <c r="F15" s="888">
        <f t="shared" si="0"/>
        <v>17453295.359999999</v>
      </c>
      <c r="G15" s="51"/>
      <c r="I15" s="584"/>
    </row>
    <row r="16" spans="1:10">
      <c r="B16" s="884">
        <f t="shared" si="1"/>
        <v>6</v>
      </c>
      <c r="C16" s="183" t="s">
        <v>490</v>
      </c>
      <c r="D16" s="888">
        <v>1365</v>
      </c>
      <c r="E16" s="888">
        <v>12343.413758241759</v>
      </c>
      <c r="F16" s="888">
        <f t="shared" si="0"/>
        <v>16848759.780000001</v>
      </c>
      <c r="G16" s="51"/>
      <c r="I16" s="584"/>
    </row>
    <row r="17" spans="2:16">
      <c r="B17" s="884">
        <f t="shared" si="1"/>
        <v>7</v>
      </c>
      <c r="C17" s="183" t="s">
        <v>491</v>
      </c>
      <c r="D17" s="888">
        <v>1430</v>
      </c>
      <c r="E17" s="888">
        <v>12355.442972027971</v>
      </c>
      <c r="F17" s="888">
        <f t="shared" si="0"/>
        <v>17668283.449999999</v>
      </c>
      <c r="G17" s="51"/>
      <c r="I17" s="584"/>
    </row>
    <row r="18" spans="2:16">
      <c r="B18" s="884">
        <f t="shared" si="1"/>
        <v>8</v>
      </c>
      <c r="C18" s="183" t="s">
        <v>492</v>
      </c>
      <c r="D18" s="888">
        <v>1430</v>
      </c>
      <c r="E18" s="888">
        <v>12355.442972027971</v>
      </c>
      <c r="F18" s="888">
        <f t="shared" si="0"/>
        <v>17668283.449999999</v>
      </c>
      <c r="G18" s="51"/>
      <c r="I18" s="584"/>
    </row>
    <row r="19" spans="2:16">
      <c r="B19" s="884">
        <f t="shared" si="1"/>
        <v>9</v>
      </c>
      <c r="C19" s="183" t="s">
        <v>493</v>
      </c>
      <c r="D19" s="888">
        <v>1430</v>
      </c>
      <c r="E19" s="888">
        <v>12355.442972027971</v>
      </c>
      <c r="F19" s="888">
        <f t="shared" si="0"/>
        <v>17668283.449999999</v>
      </c>
      <c r="G19" s="51"/>
      <c r="I19" s="584"/>
    </row>
    <row r="20" spans="2:16">
      <c r="B20" s="884">
        <f t="shared" si="1"/>
        <v>10</v>
      </c>
      <c r="C20" s="183" t="s">
        <v>494</v>
      </c>
      <c r="D20" s="888">
        <v>1430</v>
      </c>
      <c r="E20" s="888">
        <v>13103.636776223777</v>
      </c>
      <c r="F20" s="888">
        <f t="shared" si="0"/>
        <v>18738200.59</v>
      </c>
      <c r="G20" s="51"/>
      <c r="I20" s="584"/>
    </row>
    <row r="21" spans="2:16">
      <c r="B21" s="884"/>
      <c r="C21" s="889" t="s">
        <v>87</v>
      </c>
      <c r="D21" s="70">
        <f>SUM(D11:D20)</f>
        <v>17571.71</v>
      </c>
      <c r="E21" s="70"/>
      <c r="F21" s="70">
        <f>SUM(F11:F20)</f>
        <v>242353576.57999998</v>
      </c>
      <c r="G21" s="51"/>
      <c r="I21" s="584"/>
    </row>
    <row r="22" spans="2:16">
      <c r="G22" s="1014"/>
      <c r="I22" s="584"/>
    </row>
    <row r="23" spans="2:16" ht="6" customHeight="1">
      <c r="G23" s="1014"/>
    </row>
    <row r="24" spans="2:16" hidden="1">
      <c r="B24" s="43" t="s">
        <v>495</v>
      </c>
      <c r="G24" s="1014"/>
      <c r="I24" s="584">
        <v>0</v>
      </c>
    </row>
    <row r="25" spans="2:16" hidden="1">
      <c r="B25" s="43" t="s">
        <v>496</v>
      </c>
      <c r="G25" s="1014"/>
      <c r="I25" s="584">
        <v>0</v>
      </c>
    </row>
    <row r="26" spans="2:16">
      <c r="B26" s="6" t="s">
        <v>497</v>
      </c>
      <c r="C26" s="50"/>
      <c r="D26" s="50"/>
      <c r="G26" s="1014"/>
      <c r="I26" s="584">
        <f>F32/10^5</f>
        <v>375.3</v>
      </c>
      <c r="J26" s="51">
        <v>314.39999999999998</v>
      </c>
      <c r="K26" s="67">
        <f>I26-J26</f>
        <v>60.900000000000034</v>
      </c>
    </row>
    <row r="27" spans="2:16">
      <c r="B27" s="50" t="s">
        <v>498</v>
      </c>
      <c r="C27" s="50" t="s">
        <v>499</v>
      </c>
      <c r="D27" s="378"/>
      <c r="E27" s="378"/>
      <c r="F27" s="378"/>
      <c r="G27" s="1014"/>
      <c r="I27" s="584"/>
      <c r="P27" s="51">
        <f>61000</f>
        <v>61000</v>
      </c>
    </row>
    <row r="28" spans="2:16">
      <c r="B28" s="378">
        <v>1</v>
      </c>
      <c r="C28" s="51" t="s">
        <v>500</v>
      </c>
      <c r="D28" s="378"/>
      <c r="E28" s="378"/>
      <c r="F28" s="378"/>
      <c r="G28" s="1014"/>
      <c r="I28" s="584"/>
    </row>
    <row r="29" spans="2:16">
      <c r="B29" s="378"/>
      <c r="C29" s="51" t="s">
        <v>501</v>
      </c>
      <c r="D29" s="378"/>
      <c r="E29" s="378"/>
      <c r="F29" s="378"/>
      <c r="G29" s="1014"/>
      <c r="I29" s="584"/>
    </row>
    <row r="30" spans="2:16">
      <c r="B30" s="378"/>
      <c r="C30" s="51" t="s">
        <v>502</v>
      </c>
      <c r="D30" s="378"/>
      <c r="E30" s="378"/>
      <c r="F30" s="43">
        <f>58590000</f>
        <v>58590000</v>
      </c>
      <c r="G30" s="1014"/>
      <c r="I30" s="584"/>
    </row>
    <row r="31" spans="2:16" ht="13.5" thickBot="1">
      <c r="B31" s="378"/>
      <c r="C31" s="493" t="s">
        <v>503</v>
      </c>
      <c r="D31" s="953"/>
      <c r="E31" s="953"/>
      <c r="F31" s="954">
        <f>I60*100000</f>
        <v>21060000</v>
      </c>
      <c r="G31" s="1014"/>
      <c r="I31" s="584"/>
    </row>
    <row r="32" spans="2:16" ht="14.25" thickTop="1" thickBot="1">
      <c r="B32" s="378"/>
      <c r="C32" s="51" t="s">
        <v>502</v>
      </c>
      <c r="D32" s="378"/>
      <c r="E32" s="378"/>
      <c r="F32" s="66">
        <f>F30-F31</f>
        <v>37530000</v>
      </c>
      <c r="G32" s="1014"/>
      <c r="I32" s="584"/>
    </row>
    <row r="33" spans="2:13" ht="6" customHeight="1" thickTop="1">
      <c r="B33" s="378"/>
      <c r="D33" s="378"/>
      <c r="E33" s="378"/>
      <c r="F33" s="57"/>
      <c r="G33" s="1014"/>
      <c r="I33" s="584"/>
    </row>
    <row r="34" spans="2:13">
      <c r="B34" s="6" t="s">
        <v>504</v>
      </c>
      <c r="G34" s="1014"/>
      <c r="I34" s="584">
        <f>(F38+F42)/10^5</f>
        <v>291.60000000000002</v>
      </c>
      <c r="J34" s="51">
        <v>375.67</v>
      </c>
      <c r="K34" s="67">
        <f>I34-J34</f>
        <v>-84.07</v>
      </c>
    </row>
    <row r="35" spans="2:13" hidden="1">
      <c r="B35" s="50" t="s">
        <v>505</v>
      </c>
      <c r="C35" s="84" t="s">
        <v>506</v>
      </c>
      <c r="D35" s="384"/>
      <c r="E35" s="384"/>
      <c r="F35" s="890">
        <f>12117678.83*0</f>
        <v>0</v>
      </c>
      <c r="G35" s="1070" t="s">
        <v>507</v>
      </c>
      <c r="H35" s="1070"/>
      <c r="I35" s="1070"/>
    </row>
    <row r="36" spans="2:13" hidden="1">
      <c r="B36" s="378"/>
      <c r="C36" s="84" t="s">
        <v>508</v>
      </c>
      <c r="D36" s="384"/>
      <c r="E36" s="384"/>
      <c r="F36" s="43">
        <f>19388286.13*0</f>
        <v>0</v>
      </c>
      <c r="G36" s="1070" t="s">
        <v>507</v>
      </c>
      <c r="H36" s="1070"/>
      <c r="I36" s="1070"/>
    </row>
    <row r="37" spans="2:13" hidden="1">
      <c r="B37" s="378"/>
      <c r="C37" s="84" t="s">
        <v>509</v>
      </c>
      <c r="D37" s="384"/>
      <c r="E37" s="384"/>
      <c r="F37" s="890">
        <f>6058839.41*0</f>
        <v>0</v>
      </c>
      <c r="G37" s="1070" t="s">
        <v>507</v>
      </c>
      <c r="H37" s="1070"/>
      <c r="I37" s="1070"/>
    </row>
    <row r="38" spans="2:13" ht="13.5" hidden="1" thickBot="1">
      <c r="B38" s="378"/>
      <c r="C38" s="84"/>
      <c r="D38" s="384"/>
      <c r="E38" s="384"/>
      <c r="F38" s="66">
        <f>SUM(F35:F37)</f>
        <v>0</v>
      </c>
      <c r="G38" s="1014"/>
      <c r="I38" s="584"/>
    </row>
    <row r="39" spans="2:13">
      <c r="B39" s="50" t="s">
        <v>510</v>
      </c>
      <c r="C39" s="78" t="s">
        <v>511</v>
      </c>
      <c r="G39" s="1014"/>
      <c r="I39" s="584"/>
    </row>
    <row r="40" spans="2:13">
      <c r="C40" s="493" t="s">
        <v>512</v>
      </c>
      <c r="D40" s="493"/>
      <c r="E40" s="493"/>
      <c r="F40" s="951">
        <f>Details!F37</f>
        <v>23660000</v>
      </c>
      <c r="G40" s="51"/>
      <c r="H40" s="1014"/>
      <c r="I40" s="584"/>
    </row>
    <row r="41" spans="2:13">
      <c r="C41" s="493" t="s">
        <v>513</v>
      </c>
      <c r="D41" s="493"/>
      <c r="E41" s="493"/>
      <c r="F41" s="951">
        <f>Details!F42</f>
        <v>5500000</v>
      </c>
      <c r="G41" s="51"/>
      <c r="H41" s="1014"/>
      <c r="I41" s="584"/>
    </row>
    <row r="42" spans="2:13" ht="13.5" thickBot="1">
      <c r="B42" s="43"/>
      <c r="F42" s="887">
        <f>SUM(F40:F41)</f>
        <v>29160000</v>
      </c>
      <c r="G42" s="1014"/>
      <c r="I42" s="584"/>
    </row>
    <row r="43" spans="2:13" ht="13.5" thickTop="1">
      <c r="B43" s="43"/>
      <c r="G43" s="1014"/>
      <c r="I43" s="584"/>
    </row>
    <row r="44" spans="2:13">
      <c r="B44" s="43"/>
      <c r="G44" s="1014"/>
      <c r="I44" s="584"/>
    </row>
    <row r="45" spans="2:13">
      <c r="B45" s="43"/>
      <c r="G45" s="1014"/>
      <c r="I45" s="584"/>
    </row>
    <row r="46" spans="2:13">
      <c r="B46" s="43"/>
      <c r="G46" s="1014"/>
      <c r="I46" s="584"/>
    </row>
    <row r="47" spans="2:13" ht="13.5" thickBot="1">
      <c r="B47" s="43"/>
      <c r="G47" s="1014"/>
      <c r="I47" s="771">
        <f>SUM(I9:I39)</f>
        <v>3090.4357657999999</v>
      </c>
      <c r="J47" s="771">
        <f>SUM(J9:J39)</f>
        <v>3113.61</v>
      </c>
      <c r="K47" s="67">
        <f>I47-J47</f>
        <v>-23.174234200000228</v>
      </c>
      <c r="L47" s="67">
        <f>I47+I62+I92+I82</f>
        <v>3862.2760073999998</v>
      </c>
      <c r="M47" s="67">
        <f>J47+J62+J92+J82</f>
        <v>4185.91</v>
      </c>
    </row>
    <row r="48" spans="2:13" ht="13.5" thickTop="1">
      <c r="B48" s="43"/>
      <c r="G48" s="1014"/>
    </row>
    <row r="49" spans="1:12">
      <c r="A49" s="50" t="s">
        <v>514</v>
      </c>
      <c r="B49" s="73" t="s">
        <v>515</v>
      </c>
      <c r="G49" s="1014"/>
    </row>
    <row r="50" spans="1:12">
      <c r="B50" s="74" t="s">
        <v>478</v>
      </c>
      <c r="G50" s="76"/>
      <c r="H50" s="76"/>
      <c r="I50" s="76"/>
    </row>
    <row r="51" spans="1:12">
      <c r="B51" s="74"/>
      <c r="G51" s="76"/>
      <c r="H51" s="76"/>
      <c r="I51" s="76"/>
    </row>
    <row r="52" spans="1:12" hidden="1">
      <c r="B52" s="51" t="s">
        <v>516</v>
      </c>
      <c r="G52" s="1014"/>
      <c r="H52" s="67"/>
      <c r="I52" s="67">
        <v>0</v>
      </c>
      <c r="L52" s="67"/>
    </row>
    <row r="53" spans="1:12" ht="5.25" customHeight="1">
      <c r="G53" s="1014"/>
      <c r="H53" s="67"/>
      <c r="I53" s="67"/>
    </row>
    <row r="54" spans="1:12">
      <c r="A54" s="51" t="s">
        <v>517</v>
      </c>
      <c r="B54" s="493" t="s">
        <v>518</v>
      </c>
      <c r="C54" s="493"/>
      <c r="D54" s="493"/>
      <c r="E54" s="493"/>
      <c r="F54" s="493"/>
      <c r="G54" s="951"/>
      <c r="H54" s="492"/>
      <c r="I54" s="492">
        <f>Details!G52/10^5</f>
        <v>120.29996159999999</v>
      </c>
      <c r="J54" s="51">
        <v>120.3</v>
      </c>
      <c r="K54" s="67">
        <f>I54-J54</f>
        <v>-3.8400000008209645E-5</v>
      </c>
    </row>
    <row r="55" spans="1:12">
      <c r="A55" s="51" t="s">
        <v>519</v>
      </c>
      <c r="B55" s="493" t="s">
        <v>520</v>
      </c>
      <c r="C55" s="493"/>
      <c r="D55" s="493"/>
      <c r="E55" s="493"/>
      <c r="F55" s="493"/>
      <c r="G55" s="951"/>
      <c r="H55" s="492"/>
      <c r="I55" s="492">
        <f>Details!G130/10^5</f>
        <v>110.67928000000001</v>
      </c>
      <c r="J55" s="51">
        <v>177.92</v>
      </c>
      <c r="K55" s="67">
        <f>I55-J55</f>
        <v>-67.240719999999982</v>
      </c>
    </row>
    <row r="56" spans="1:12" ht="4.5" customHeight="1">
      <c r="G56" s="1014"/>
      <c r="H56" s="67"/>
      <c r="I56" s="67"/>
    </row>
    <row r="57" spans="1:12">
      <c r="A57" s="51" t="s">
        <v>521</v>
      </c>
      <c r="B57" s="493" t="s">
        <v>522</v>
      </c>
      <c r="C57" s="493"/>
      <c r="D57" s="493"/>
      <c r="E57" s="493"/>
      <c r="F57" s="493"/>
      <c r="G57" s="951"/>
      <c r="H57" s="492"/>
      <c r="I57" s="492">
        <f>Details!E149/10^5</f>
        <v>25.96</v>
      </c>
      <c r="J57" s="51">
        <v>25.96</v>
      </c>
      <c r="K57" s="67">
        <f>I57-J57</f>
        <v>0</v>
      </c>
    </row>
    <row r="58" spans="1:12" ht="6" customHeight="1">
      <c r="G58" s="1014"/>
      <c r="H58" s="67"/>
      <c r="I58" s="67"/>
    </row>
    <row r="59" spans="1:12" s="50" customFormat="1">
      <c r="A59" s="50" t="s">
        <v>523</v>
      </c>
      <c r="B59" s="51" t="s">
        <v>524</v>
      </c>
      <c r="G59" s="999"/>
      <c r="H59" s="57"/>
      <c r="I59" s="67">
        <f>Details!E151/10^5*0</f>
        <v>0</v>
      </c>
      <c r="J59" s="50">
        <v>0</v>
      </c>
    </row>
    <row r="60" spans="1:12">
      <c r="A60" s="51" t="s">
        <v>525</v>
      </c>
      <c r="B60" s="493" t="s">
        <v>526</v>
      </c>
      <c r="C60" s="493"/>
      <c r="D60" s="493"/>
      <c r="E60" s="493"/>
      <c r="F60" s="493"/>
      <c r="G60" s="951"/>
      <c r="H60" s="492"/>
      <c r="I60" s="952">
        <f>Details!F160/10^5</f>
        <v>210.6</v>
      </c>
      <c r="J60" s="51">
        <v>271.5</v>
      </c>
      <c r="K60" s="67">
        <f>I60-J60</f>
        <v>-60.900000000000006</v>
      </c>
    </row>
    <row r="61" spans="1:12">
      <c r="G61" s="1014"/>
      <c r="H61" s="67"/>
      <c r="I61" s="67"/>
    </row>
    <row r="62" spans="1:12" ht="13.5" thickBot="1">
      <c r="G62" s="1014"/>
      <c r="I62" s="66">
        <f>I52+I55+I57+I54+I59+I60</f>
        <v>467.53924159999997</v>
      </c>
      <c r="J62" s="66">
        <f>J52+J55+J57+J54+J59+J60</f>
        <v>595.68000000000006</v>
      </c>
    </row>
    <row r="63" spans="1:12" ht="13.5" thickTop="1">
      <c r="G63" s="1014"/>
    </row>
    <row r="64" spans="1:12" ht="27.75" customHeight="1">
      <c r="A64" s="50" t="s">
        <v>527</v>
      </c>
      <c r="B64" s="1068" t="s">
        <v>528</v>
      </c>
      <c r="C64" s="1068"/>
      <c r="D64" s="1068"/>
      <c r="E64" s="1068"/>
      <c r="G64" s="1014"/>
    </row>
    <row r="65" spans="1:13">
      <c r="B65" s="74" t="s">
        <v>478</v>
      </c>
      <c r="G65" s="1014"/>
    </row>
    <row r="66" spans="1:13" ht="5.25" customHeight="1">
      <c r="B66" s="74"/>
      <c r="G66" s="1014"/>
      <c r="M66" s="67">
        <f>I67+I69+I57+I54+I55-72+3675.2</f>
        <v>3860.1392415999999</v>
      </c>
    </row>
    <row r="67" spans="1:13" hidden="1">
      <c r="A67" s="51" t="s">
        <v>517</v>
      </c>
      <c r="B67" s="51" t="s">
        <v>529</v>
      </c>
      <c r="G67" s="1014"/>
      <c r="I67" s="67">
        <f>Details!G171/10^5*0</f>
        <v>0</v>
      </c>
      <c r="J67" s="51">
        <v>110</v>
      </c>
      <c r="K67" s="67">
        <f>I67-J67</f>
        <v>-110</v>
      </c>
    </row>
    <row r="68" spans="1:13" ht="3" hidden="1" customHeight="1">
      <c r="G68" s="1014"/>
      <c r="I68" s="67"/>
    </row>
    <row r="69" spans="1:13" hidden="1">
      <c r="A69" s="51" t="s">
        <v>519</v>
      </c>
      <c r="B69" s="51" t="s">
        <v>530</v>
      </c>
      <c r="G69" s="1014"/>
      <c r="I69" s="67">
        <f>Details!F179/10^5*0</f>
        <v>0</v>
      </c>
      <c r="J69" s="51">
        <v>148.5</v>
      </c>
      <c r="K69" s="67">
        <f>I69-J69</f>
        <v>-148.5</v>
      </c>
    </row>
    <row r="70" spans="1:13" ht="4.5" customHeight="1">
      <c r="G70" s="1014"/>
      <c r="I70" s="67"/>
    </row>
    <row r="71" spans="1:13">
      <c r="A71" s="51" t="s">
        <v>521</v>
      </c>
      <c r="B71" s="493" t="s">
        <v>531</v>
      </c>
      <c r="C71" s="493"/>
      <c r="D71" s="493"/>
      <c r="E71" s="493"/>
      <c r="F71" s="493"/>
      <c r="G71" s="951"/>
      <c r="H71" s="493"/>
      <c r="I71" s="492">
        <f>((25781.25*150)*128%)/10^5</f>
        <v>49.5</v>
      </c>
      <c r="J71" s="51">
        <v>0</v>
      </c>
      <c r="K71" s="67">
        <f>I71-J71</f>
        <v>49.5</v>
      </c>
    </row>
    <row r="72" spans="1:13">
      <c r="A72" s="51" t="s">
        <v>523</v>
      </c>
      <c r="B72" s="493" t="s">
        <v>532</v>
      </c>
      <c r="C72" s="493"/>
      <c r="D72" s="493"/>
      <c r="E72" s="493"/>
      <c r="F72" s="493"/>
      <c r="G72" s="951"/>
      <c r="H72" s="493"/>
      <c r="I72" s="492">
        <f>Details!F187/10^5</f>
        <v>91</v>
      </c>
      <c r="J72" s="51">
        <v>0</v>
      </c>
      <c r="K72" s="67">
        <f>I72-J72</f>
        <v>91</v>
      </c>
    </row>
    <row r="73" spans="1:13" ht="5.25" customHeight="1">
      <c r="B73" s="493"/>
      <c r="C73" s="493"/>
      <c r="D73" s="493"/>
      <c r="E73" s="493"/>
      <c r="F73" s="493"/>
      <c r="G73" s="951"/>
      <c r="H73" s="493"/>
      <c r="I73" s="492"/>
    </row>
    <row r="74" spans="1:13" hidden="1">
      <c r="B74" s="51" t="s">
        <v>533</v>
      </c>
      <c r="G74" s="1014"/>
      <c r="I74" s="67">
        <v>0</v>
      </c>
    </row>
    <row r="75" spans="1:13" hidden="1">
      <c r="G75" s="1014"/>
      <c r="I75" s="67"/>
    </row>
    <row r="76" spans="1:13" hidden="1">
      <c r="B76" s="51" t="s">
        <v>534</v>
      </c>
      <c r="G76" s="1014"/>
      <c r="I76" s="67">
        <v>0</v>
      </c>
    </row>
    <row r="77" spans="1:13" hidden="1">
      <c r="G77" s="1014"/>
      <c r="I77" s="67"/>
    </row>
    <row r="78" spans="1:13" hidden="1">
      <c r="B78" s="51" t="s">
        <v>535</v>
      </c>
      <c r="G78" s="485"/>
      <c r="I78" s="43">
        <v>0</v>
      </c>
      <c r="L78" s="67"/>
    </row>
    <row r="79" spans="1:13" ht="2.25" customHeight="1">
      <c r="G79" s="485"/>
      <c r="I79" s="43"/>
      <c r="L79" s="67"/>
    </row>
    <row r="80" spans="1:13" hidden="1">
      <c r="G80" s="485"/>
      <c r="I80" s="43">
        <v>0</v>
      </c>
      <c r="L80" s="67"/>
    </row>
    <row r="81" spans="1:12" ht="5.25" customHeight="1">
      <c r="G81" s="485"/>
      <c r="I81" s="43"/>
      <c r="K81" s="67"/>
      <c r="L81" s="67"/>
    </row>
    <row r="82" spans="1:12" ht="13.5" thickBot="1">
      <c r="G82" s="1014"/>
      <c r="I82" s="66">
        <f>SUM(I67:I80)</f>
        <v>140.5</v>
      </c>
      <c r="J82" s="66">
        <f>SUM(J67:J80)</f>
        <v>258.5</v>
      </c>
      <c r="K82" s="67">
        <f>I82-J82</f>
        <v>-118</v>
      </c>
      <c r="L82" s="67"/>
    </row>
    <row r="83" spans="1:12" ht="13.5" thickTop="1">
      <c r="G83" s="1014"/>
      <c r="I83" s="67"/>
    </row>
    <row r="84" spans="1:12">
      <c r="A84" s="50" t="s">
        <v>536</v>
      </c>
      <c r="B84" s="73" t="s">
        <v>537</v>
      </c>
      <c r="G84" s="1014"/>
    </row>
    <row r="85" spans="1:12">
      <c r="B85" s="74" t="s">
        <v>478</v>
      </c>
      <c r="G85" s="1014"/>
    </row>
    <row r="86" spans="1:12">
      <c r="A86" s="51" t="s">
        <v>517</v>
      </c>
      <c r="B86" s="51" t="s">
        <v>538</v>
      </c>
      <c r="G86" s="1014"/>
      <c r="I86" s="67">
        <f>F89/10^5</f>
        <v>163.80099999999999</v>
      </c>
      <c r="J86" s="51">
        <v>218.12</v>
      </c>
      <c r="K86" s="67">
        <f>I86-J86</f>
        <v>-54.319000000000017</v>
      </c>
    </row>
    <row r="87" spans="1:12" ht="4.5" customHeight="1">
      <c r="G87" s="1014"/>
      <c r="I87" s="67"/>
    </row>
    <row r="88" spans="1:12">
      <c r="B88" s="493" t="s">
        <v>539</v>
      </c>
      <c r="C88" s="493"/>
      <c r="D88" s="493"/>
      <c r="E88" s="493"/>
      <c r="F88" s="951">
        <f>Details!F222</f>
        <v>16380100</v>
      </c>
      <c r="G88" s="51"/>
      <c r="I88" s="67"/>
      <c r="J88" s="50"/>
    </row>
    <row r="89" spans="1:12" ht="13.5" thickBot="1">
      <c r="F89" s="932">
        <f>SUM(F88:F88)</f>
        <v>16380100</v>
      </c>
      <c r="G89" s="51"/>
      <c r="I89" s="67"/>
    </row>
    <row r="90" spans="1:12" s="50" customFormat="1" ht="30" hidden="1" customHeight="1" thickTop="1">
      <c r="A90" s="50" t="s">
        <v>519</v>
      </c>
      <c r="B90" s="1069" t="s">
        <v>540</v>
      </c>
      <c r="C90" s="1069"/>
      <c r="D90" s="1069"/>
      <c r="E90" s="1069"/>
      <c r="F90" s="933"/>
      <c r="G90" s="1014"/>
      <c r="H90" s="51"/>
      <c r="I90" s="57">
        <f>Details!F234/10^5*0</f>
        <v>0</v>
      </c>
    </row>
    <row r="91" spans="1:12" ht="13.5" thickTop="1">
      <c r="G91" s="1014"/>
      <c r="I91" s="67"/>
    </row>
    <row r="92" spans="1:12" ht="13.5" thickBot="1">
      <c r="G92" s="1014"/>
      <c r="I92" s="66">
        <f>SUM(I86:I91)</f>
        <v>163.80099999999999</v>
      </c>
      <c r="J92" s="66">
        <f>SUM(J86:J91)</f>
        <v>218.12</v>
      </c>
      <c r="K92" s="67">
        <f>I92-J92</f>
        <v>-54.319000000000017</v>
      </c>
    </row>
    <row r="93" spans="1:12" ht="13.5" thickTop="1">
      <c r="G93" s="1014"/>
    </row>
  </sheetData>
  <mergeCells count="5">
    <mergeCell ref="B64:E64"/>
    <mergeCell ref="B90:E90"/>
    <mergeCell ref="G35:I35"/>
    <mergeCell ref="G36:I36"/>
    <mergeCell ref="G37:I37"/>
  </mergeCells>
  <pageMargins left="0.47244094488188998" right="0.118110236220472" top="0.59055118110236204" bottom="0.15748031496063" header="0.23622047244094499" footer="0.196850393700787"/>
  <pageSetup paperSize="9" scale="77" orientation="portrait" verticalDpi="1200" r:id="rId1"/>
  <headerFooter alignWithMargins="0">
    <oddHeader>&amp;ROM ARHAM VENTURES AT PALASBARI.</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625F6-B8B9-4CB8-8ED6-DF6A1608BA53}">
  <dimension ref="A2:I150"/>
  <sheetViews>
    <sheetView topLeftCell="A133" zoomScale="115" zoomScaleNormal="115" workbookViewId="0"/>
  </sheetViews>
  <sheetFormatPr defaultRowHeight="12.75"/>
  <cols>
    <col min="1" max="1" width="5" style="51" customWidth="1"/>
    <col min="2" max="2" width="41.42578125" style="51" customWidth="1"/>
    <col min="3" max="3" width="10" style="51" customWidth="1"/>
    <col min="4" max="4" width="11.42578125" style="51" customWidth="1"/>
    <col min="5" max="5" width="11.7109375" style="51" customWidth="1"/>
    <col min="6" max="6" width="13" style="51" customWidth="1"/>
    <col min="7" max="7" width="9.140625" style="51"/>
    <col min="8" max="9" width="11.5703125" style="51" bestFit="1" customWidth="1"/>
    <col min="10" max="16384" width="9.140625" style="51"/>
  </cols>
  <sheetData>
    <row r="2" spans="1:7">
      <c r="C2" s="1009" t="s">
        <v>541</v>
      </c>
    </row>
    <row r="4" spans="1:7">
      <c r="C4" s="73" t="s">
        <v>542</v>
      </c>
    </row>
    <row r="5" spans="1:7">
      <c r="B5" s="50"/>
      <c r="C5" s="1000" t="s">
        <v>543</v>
      </c>
    </row>
    <row r="6" spans="1:7">
      <c r="C6" s="1014"/>
    </row>
    <row r="7" spans="1:7">
      <c r="A7" s="91"/>
      <c r="B7" s="1071" t="s">
        <v>544</v>
      </c>
      <c r="C7" s="1071"/>
      <c r="D7" s="1071"/>
      <c r="E7" s="113"/>
      <c r="F7" s="113"/>
    </row>
    <row r="8" spans="1:7">
      <c r="A8" s="91"/>
      <c r="B8" s="1071"/>
      <c r="C8" s="1071"/>
      <c r="D8" s="1071"/>
      <c r="E8" s="113"/>
      <c r="F8" s="113"/>
    </row>
    <row r="9" spans="1:7">
      <c r="A9" s="433" t="s">
        <v>218</v>
      </c>
      <c r="B9" s="1072" t="s">
        <v>545</v>
      </c>
      <c r="C9" s="1072"/>
      <c r="D9" s="1072"/>
      <c r="E9" s="1072"/>
      <c r="F9" s="1073"/>
      <c r="G9" s="84"/>
    </row>
    <row r="10" spans="1:7">
      <c r="A10" s="434" t="s">
        <v>546</v>
      </c>
      <c r="B10" s="435" t="s">
        <v>547</v>
      </c>
      <c r="C10" s="1074" t="s">
        <v>548</v>
      </c>
      <c r="D10" s="1074" t="s">
        <v>549</v>
      </c>
      <c r="E10" s="436" t="s">
        <v>550</v>
      </c>
      <c r="F10" s="436" t="s">
        <v>551</v>
      </c>
    </row>
    <row r="11" spans="1:7">
      <c r="A11" s="95"/>
      <c r="B11" s="96"/>
      <c r="C11" s="1075"/>
      <c r="D11" s="1075"/>
      <c r="E11" s="97" t="s">
        <v>552</v>
      </c>
      <c r="F11" s="97" t="s">
        <v>552</v>
      </c>
    </row>
    <row r="12" spans="1:7">
      <c r="A12" s="437">
        <v>1</v>
      </c>
      <c r="B12" s="438" t="s">
        <v>553</v>
      </c>
      <c r="C12" s="439">
        <v>12</v>
      </c>
      <c r="D12" s="440" t="s">
        <v>554</v>
      </c>
      <c r="E12" s="441">
        <v>15000</v>
      </c>
      <c r="F12" s="441">
        <f>C12*E12</f>
        <v>180000</v>
      </c>
    </row>
    <row r="13" spans="1:7">
      <c r="A13" s="437">
        <f>A12+1</f>
        <v>2</v>
      </c>
      <c r="B13" s="438" t="s">
        <v>555</v>
      </c>
      <c r="C13" s="439">
        <v>34</v>
      </c>
      <c r="D13" s="440" t="s">
        <v>554</v>
      </c>
      <c r="E13" s="441">
        <f>25000</f>
        <v>25000</v>
      </c>
      <c r="F13" s="441">
        <f>C13*E13</f>
        <v>850000</v>
      </c>
    </row>
    <row r="14" spans="1:7">
      <c r="A14" s="437">
        <f>A13+1</f>
        <v>3</v>
      </c>
      <c r="B14" s="438" t="s">
        <v>556</v>
      </c>
      <c r="C14" s="439">
        <v>20</v>
      </c>
      <c r="D14" s="440" t="s">
        <v>554</v>
      </c>
      <c r="E14" s="441">
        <v>2500</v>
      </c>
      <c r="F14" s="441">
        <f t="shared" ref="F14:F32" si="0">C14*E14</f>
        <v>50000</v>
      </c>
    </row>
    <row r="15" spans="1:7">
      <c r="A15" s="437">
        <f t="shared" ref="A15:A32" si="1">A14+1</f>
        <v>4</v>
      </c>
      <c r="B15" s="438" t="s">
        <v>557</v>
      </c>
      <c r="C15" s="439">
        <v>40</v>
      </c>
      <c r="D15" s="440" t="s">
        <v>554</v>
      </c>
      <c r="E15" s="441">
        <v>55000</v>
      </c>
      <c r="F15" s="441">
        <f t="shared" si="0"/>
        <v>2200000</v>
      </c>
    </row>
    <row r="16" spans="1:7">
      <c r="A16" s="437">
        <f t="shared" si="1"/>
        <v>5</v>
      </c>
      <c r="B16" s="438" t="s">
        <v>558</v>
      </c>
      <c r="C16" s="439">
        <v>40</v>
      </c>
      <c r="D16" s="440" t="s">
        <v>554</v>
      </c>
      <c r="E16" s="441">
        <v>15000</v>
      </c>
      <c r="F16" s="441">
        <f t="shared" si="0"/>
        <v>600000</v>
      </c>
    </row>
    <row r="17" spans="1:9">
      <c r="A17" s="437">
        <f t="shared" si="1"/>
        <v>6</v>
      </c>
      <c r="B17" s="438" t="s">
        <v>559</v>
      </c>
      <c r="C17" s="439">
        <v>9</v>
      </c>
      <c r="D17" s="440" t="s">
        <v>554</v>
      </c>
      <c r="E17" s="441">
        <v>25000</v>
      </c>
      <c r="F17" s="441">
        <f t="shared" si="0"/>
        <v>225000</v>
      </c>
    </row>
    <row r="18" spans="1:9">
      <c r="A18" s="437">
        <f t="shared" si="1"/>
        <v>7</v>
      </c>
      <c r="B18" s="438" t="s">
        <v>560</v>
      </c>
      <c r="C18" s="439">
        <v>40</v>
      </c>
      <c r="D18" s="440" t="s">
        <v>554</v>
      </c>
      <c r="E18" s="441">
        <v>6000</v>
      </c>
      <c r="F18" s="441">
        <f t="shared" si="0"/>
        <v>240000</v>
      </c>
    </row>
    <row r="19" spans="1:9">
      <c r="A19" s="437">
        <f t="shared" si="1"/>
        <v>8</v>
      </c>
      <c r="B19" s="438" t="s">
        <v>561</v>
      </c>
      <c r="C19" s="439">
        <v>40</v>
      </c>
      <c r="D19" s="440" t="s">
        <v>554</v>
      </c>
      <c r="E19" s="441">
        <v>7000</v>
      </c>
      <c r="F19" s="441">
        <f t="shared" si="0"/>
        <v>280000</v>
      </c>
    </row>
    <row r="20" spans="1:9">
      <c r="A20" s="437">
        <f t="shared" si="1"/>
        <v>9</v>
      </c>
      <c r="B20" s="438" t="s">
        <v>562</v>
      </c>
      <c r="C20" s="439">
        <v>80</v>
      </c>
      <c r="D20" s="440" t="s">
        <v>554</v>
      </c>
      <c r="E20" s="441">
        <v>8500</v>
      </c>
      <c r="F20" s="441">
        <f t="shared" si="0"/>
        <v>680000</v>
      </c>
    </row>
    <row r="21" spans="1:9">
      <c r="A21" s="437">
        <f t="shared" si="1"/>
        <v>10</v>
      </c>
      <c r="B21" s="438" t="s">
        <v>563</v>
      </c>
      <c r="C21" s="439">
        <v>40</v>
      </c>
      <c r="D21" s="440" t="s">
        <v>554</v>
      </c>
      <c r="E21" s="441">
        <v>30000</v>
      </c>
      <c r="F21" s="441">
        <f t="shared" si="0"/>
        <v>1200000</v>
      </c>
    </row>
    <row r="22" spans="1:9">
      <c r="A22" s="437">
        <f t="shared" si="1"/>
        <v>11</v>
      </c>
      <c r="B22" s="438" t="s">
        <v>564</v>
      </c>
      <c r="C22" s="439">
        <v>40</v>
      </c>
      <c r="D22" s="440" t="s">
        <v>554</v>
      </c>
      <c r="E22" s="441">
        <v>15000</v>
      </c>
      <c r="F22" s="441">
        <f t="shared" si="0"/>
        <v>600000</v>
      </c>
    </row>
    <row r="23" spans="1:9">
      <c r="A23" s="437">
        <f t="shared" si="1"/>
        <v>12</v>
      </c>
      <c r="B23" s="438" t="s">
        <v>565</v>
      </c>
      <c r="C23" s="439">
        <v>40</v>
      </c>
      <c r="D23" s="440" t="s">
        <v>554</v>
      </c>
      <c r="E23" s="441">
        <v>5000</v>
      </c>
      <c r="F23" s="441">
        <f t="shared" si="0"/>
        <v>200000</v>
      </c>
    </row>
    <row r="24" spans="1:9">
      <c r="A24" s="437">
        <f t="shared" si="1"/>
        <v>13</v>
      </c>
      <c r="B24" s="438" t="s">
        <v>566</v>
      </c>
      <c r="C24" s="439">
        <v>40</v>
      </c>
      <c r="D24" s="440" t="s">
        <v>554</v>
      </c>
      <c r="E24" s="441">
        <v>15000</v>
      </c>
      <c r="F24" s="441">
        <f t="shared" si="0"/>
        <v>600000</v>
      </c>
    </row>
    <row r="25" spans="1:9">
      <c r="A25" s="437">
        <f t="shared" si="1"/>
        <v>14</v>
      </c>
      <c r="B25" s="438" t="s">
        <v>567</v>
      </c>
      <c r="C25" s="439">
        <v>12</v>
      </c>
      <c r="D25" s="440" t="s">
        <v>554</v>
      </c>
      <c r="E25" s="441">
        <v>10000</v>
      </c>
      <c r="F25" s="441">
        <f t="shared" si="0"/>
        <v>120000</v>
      </c>
    </row>
    <row r="26" spans="1:9">
      <c r="A26" s="437">
        <f t="shared" si="1"/>
        <v>15</v>
      </c>
      <c r="B26" s="438" t="s">
        <v>568</v>
      </c>
      <c r="C26" s="439">
        <v>34</v>
      </c>
      <c r="D26" s="440" t="s">
        <v>554</v>
      </c>
      <c r="E26" s="441">
        <f>20000</f>
        <v>20000</v>
      </c>
      <c r="F26" s="441">
        <f t="shared" si="0"/>
        <v>680000</v>
      </c>
    </row>
    <row r="27" spans="1:9">
      <c r="A27" s="437">
        <f t="shared" si="1"/>
        <v>16</v>
      </c>
      <c r="B27" s="438" t="s">
        <v>569</v>
      </c>
      <c r="C27" s="439">
        <v>160</v>
      </c>
      <c r="D27" s="440" t="s">
        <v>554</v>
      </c>
      <c r="E27" s="441">
        <v>700</v>
      </c>
      <c r="F27" s="441">
        <f t="shared" si="0"/>
        <v>112000</v>
      </c>
      <c r="I27" s="51">
        <f>42*4</f>
        <v>168</v>
      </c>
    </row>
    <row r="28" spans="1:9">
      <c r="A28" s="437">
        <f t="shared" si="1"/>
        <v>17</v>
      </c>
      <c r="B28" s="438" t="s">
        <v>570</v>
      </c>
      <c r="C28" s="439">
        <v>160</v>
      </c>
      <c r="D28" s="440" t="s">
        <v>554</v>
      </c>
      <c r="E28" s="441">
        <v>5000</v>
      </c>
      <c r="F28" s="441">
        <f t="shared" si="0"/>
        <v>800000</v>
      </c>
    </row>
    <row r="29" spans="1:9">
      <c r="A29" s="437">
        <f t="shared" si="1"/>
        <v>18</v>
      </c>
      <c r="B29" s="438" t="s">
        <v>571</v>
      </c>
      <c r="C29" s="439">
        <v>50</v>
      </c>
      <c r="D29" s="440" t="s">
        <v>554</v>
      </c>
      <c r="E29" s="441">
        <v>35000</v>
      </c>
      <c r="F29" s="441">
        <f t="shared" si="0"/>
        <v>1750000</v>
      </c>
    </row>
    <row r="30" spans="1:9">
      <c r="A30" s="437">
        <f t="shared" si="1"/>
        <v>19</v>
      </c>
      <c r="B30" s="438" t="s">
        <v>572</v>
      </c>
      <c r="C30" s="439">
        <v>40</v>
      </c>
      <c r="D30" s="440" t="s">
        <v>554</v>
      </c>
      <c r="E30" s="441">
        <v>10000</v>
      </c>
      <c r="F30" s="441">
        <f t="shared" si="0"/>
        <v>400000</v>
      </c>
    </row>
    <row r="31" spans="1:9">
      <c r="A31" s="437">
        <f t="shared" si="1"/>
        <v>20</v>
      </c>
      <c r="B31" s="438" t="s">
        <v>573</v>
      </c>
      <c r="C31" s="439">
        <v>40</v>
      </c>
      <c r="D31" s="440" t="s">
        <v>554</v>
      </c>
      <c r="E31" s="441">
        <v>2000</v>
      </c>
      <c r="F31" s="441">
        <f>C31*E31</f>
        <v>80000</v>
      </c>
    </row>
    <row r="32" spans="1:9">
      <c r="A32" s="437">
        <f t="shared" si="1"/>
        <v>21</v>
      </c>
      <c r="B32" s="438" t="s">
        <v>574</v>
      </c>
      <c r="C32" s="439">
        <v>240</v>
      </c>
      <c r="D32" s="440" t="s">
        <v>554</v>
      </c>
      <c r="E32" s="441">
        <v>1500</v>
      </c>
      <c r="F32" s="441">
        <f t="shared" si="0"/>
        <v>360000</v>
      </c>
      <c r="I32" s="51">
        <f>42*6</f>
        <v>252</v>
      </c>
    </row>
    <row r="33" spans="1:9">
      <c r="A33" s="437"/>
      <c r="B33" s="438"/>
      <c r="C33" s="439"/>
      <c r="D33" s="440"/>
      <c r="E33" s="441"/>
      <c r="F33" s="441"/>
    </row>
    <row r="34" spans="1:9" ht="13.5" thickBot="1">
      <c r="A34" s="442"/>
      <c r="B34" s="443"/>
      <c r="C34" s="444"/>
      <c r="D34" s="445"/>
      <c r="E34" s="446" t="s">
        <v>575</v>
      </c>
      <c r="F34" s="446">
        <f>SUM(F12:F33)</f>
        <v>12207000</v>
      </c>
    </row>
    <row r="35" spans="1:9" ht="13.5" thickTop="1">
      <c r="A35" s="44"/>
      <c r="B35" s="45"/>
      <c r="C35" s="46"/>
      <c r="D35" s="10"/>
      <c r="E35" s="47"/>
      <c r="F35" s="447"/>
      <c r="G35" s="84"/>
    </row>
    <row r="36" spans="1:9">
      <c r="A36" s="108" t="s">
        <v>576</v>
      </c>
      <c r="B36" s="109" t="s">
        <v>577</v>
      </c>
      <c r="C36" s="110" t="s">
        <v>548</v>
      </c>
      <c r="D36" s="110" t="s">
        <v>578</v>
      </c>
      <c r="E36" s="110" t="s">
        <v>550</v>
      </c>
      <c r="F36" s="110" t="s">
        <v>551</v>
      </c>
    </row>
    <row r="37" spans="1:9">
      <c r="A37" s="437">
        <v>1</v>
      </c>
      <c r="B37" s="438" t="s">
        <v>579</v>
      </c>
      <c r="C37" s="439">
        <v>2</v>
      </c>
      <c r="D37" s="440" t="s">
        <v>554</v>
      </c>
      <c r="E37" s="441">
        <v>100000</v>
      </c>
      <c r="F37" s="441">
        <f>C37*E37</f>
        <v>200000</v>
      </c>
    </row>
    <row r="38" spans="1:9">
      <c r="A38" s="437">
        <v>2</v>
      </c>
      <c r="B38" s="438" t="s">
        <v>580</v>
      </c>
      <c r="C38" s="439">
        <v>55</v>
      </c>
      <c r="D38" s="440" t="s">
        <v>554</v>
      </c>
      <c r="E38" s="441">
        <v>6000</v>
      </c>
      <c r="F38" s="441">
        <f>C38*E38</f>
        <v>330000</v>
      </c>
    </row>
    <row r="39" spans="1:9">
      <c r="A39" s="437"/>
      <c r="B39" s="438"/>
      <c r="C39" s="439"/>
      <c r="D39" s="440"/>
      <c r="E39" s="441"/>
      <c r="F39" s="441"/>
    </row>
    <row r="40" spans="1:9">
      <c r="A40" s="437"/>
      <c r="B40" s="438"/>
      <c r="C40" s="440"/>
      <c r="D40" s="440"/>
      <c r="E40" s="441" t="s">
        <v>575</v>
      </c>
      <c r="F40" s="441">
        <f>SUM(F37:F39)</f>
        <v>530000</v>
      </c>
    </row>
    <row r="41" spans="1:9">
      <c r="A41" s="91"/>
      <c r="B41" s="111"/>
      <c r="C41" s="112"/>
      <c r="D41" s="112"/>
      <c r="E41" s="113"/>
      <c r="F41" s="113"/>
    </row>
    <row r="42" spans="1:9">
      <c r="A42" s="108" t="s">
        <v>581</v>
      </c>
      <c r="B42" s="109" t="s">
        <v>582</v>
      </c>
      <c r="C42" s="110" t="s">
        <v>548</v>
      </c>
      <c r="D42" s="110" t="s">
        <v>578</v>
      </c>
      <c r="E42" s="110" t="s">
        <v>550</v>
      </c>
      <c r="F42" s="110" t="s">
        <v>551</v>
      </c>
    </row>
    <row r="43" spans="1:9">
      <c r="A43" s="437">
        <v>1</v>
      </c>
      <c r="B43" s="438" t="s">
        <v>583</v>
      </c>
      <c r="C43" s="439">
        <v>1</v>
      </c>
      <c r="D43" s="440" t="s">
        <v>554</v>
      </c>
      <c r="E43" s="441">
        <v>50000</v>
      </c>
      <c r="F43" s="441">
        <f>C43*E43</f>
        <v>50000</v>
      </c>
    </row>
    <row r="44" spans="1:9">
      <c r="A44" s="437">
        <v>2</v>
      </c>
      <c r="B44" s="438" t="s">
        <v>584</v>
      </c>
      <c r="C44" s="439">
        <v>175</v>
      </c>
      <c r="D44" s="440" t="s">
        <v>554</v>
      </c>
      <c r="E44" s="441">
        <v>4000</v>
      </c>
      <c r="F44" s="441">
        <f>C44*E44</f>
        <v>700000</v>
      </c>
    </row>
    <row r="45" spans="1:9">
      <c r="A45" s="437">
        <v>3</v>
      </c>
      <c r="B45" s="438" t="s">
        <v>585</v>
      </c>
      <c r="C45" s="439">
        <v>20</v>
      </c>
      <c r="D45" s="440" t="s">
        <v>554</v>
      </c>
      <c r="E45" s="441">
        <v>5000</v>
      </c>
      <c r="F45" s="441">
        <f>C45*E45</f>
        <v>100000</v>
      </c>
    </row>
    <row r="46" spans="1:9">
      <c r="A46" s="437"/>
      <c r="B46" s="438"/>
      <c r="C46" s="440"/>
      <c r="D46" s="440"/>
      <c r="E46" s="441" t="s">
        <v>575</v>
      </c>
      <c r="F46" s="441">
        <f>SUM(F43:F45)</f>
        <v>850000</v>
      </c>
      <c r="I46" s="67"/>
    </row>
    <row r="47" spans="1:9">
      <c r="A47" s="437"/>
      <c r="B47" s="438"/>
      <c r="C47" s="440"/>
      <c r="D47" s="440"/>
      <c r="E47" s="441"/>
      <c r="F47" s="441"/>
    </row>
    <row r="48" spans="1:9" ht="13.5" thickBot="1">
      <c r="A48" s="114" t="s">
        <v>586</v>
      </c>
      <c r="B48" s="115" t="s">
        <v>587</v>
      </c>
      <c r="C48" s="116"/>
      <c r="D48" s="116"/>
      <c r="E48" s="116"/>
      <c r="F48" s="117">
        <f>F34+F40+F46</f>
        <v>13587000</v>
      </c>
      <c r="I48" s="67"/>
    </row>
    <row r="49" spans="1:6" ht="13.5" thickTop="1">
      <c r="A49" s="118"/>
      <c r="B49" s="119"/>
      <c r="C49" s="120"/>
      <c r="D49" s="121"/>
      <c r="E49" s="121"/>
      <c r="F49" s="121"/>
    </row>
    <row r="50" spans="1:6">
      <c r="A50" s="122"/>
      <c r="B50" s="123"/>
      <c r="C50" s="124"/>
      <c r="D50" s="124"/>
      <c r="E50" s="124"/>
      <c r="F50" s="125"/>
    </row>
    <row r="51" spans="1:6">
      <c r="A51" s="92" t="s">
        <v>220</v>
      </c>
      <c r="B51" s="1076" t="s">
        <v>588</v>
      </c>
      <c r="C51" s="1077" t="s">
        <v>548</v>
      </c>
      <c r="D51" s="1077" t="s">
        <v>549</v>
      </c>
      <c r="E51" s="110" t="s">
        <v>550</v>
      </c>
      <c r="F51" s="110" t="s">
        <v>551</v>
      </c>
    </row>
    <row r="52" spans="1:6">
      <c r="A52" s="95"/>
      <c r="B52" s="1206"/>
      <c r="C52" s="1075"/>
      <c r="D52" s="1075"/>
      <c r="E52" s="110" t="s">
        <v>552</v>
      </c>
      <c r="F52" s="110" t="s">
        <v>552</v>
      </c>
    </row>
    <row r="53" spans="1:6">
      <c r="A53" s="437">
        <v>1</v>
      </c>
      <c r="B53" s="438" t="s">
        <v>583</v>
      </c>
      <c r="C53" s="439">
        <v>1</v>
      </c>
      <c r="D53" s="440" t="s">
        <v>554</v>
      </c>
      <c r="E53" s="441">
        <v>300000</v>
      </c>
      <c r="F53" s="441">
        <f>C53*E53</f>
        <v>300000</v>
      </c>
    </row>
    <row r="54" spans="1:6">
      <c r="A54" s="437">
        <v>2</v>
      </c>
      <c r="B54" s="438" t="s">
        <v>589</v>
      </c>
      <c r="C54" s="439">
        <v>24</v>
      </c>
      <c r="D54" s="440" t="s">
        <v>554</v>
      </c>
      <c r="E54" s="441">
        <v>6000</v>
      </c>
      <c r="F54" s="441">
        <f>C54*E54</f>
        <v>144000</v>
      </c>
    </row>
    <row r="55" spans="1:6">
      <c r="A55" s="437">
        <v>3</v>
      </c>
      <c r="B55" s="438" t="s">
        <v>590</v>
      </c>
      <c r="C55" s="439">
        <v>40</v>
      </c>
      <c r="D55" s="440" t="s">
        <v>554</v>
      </c>
      <c r="E55" s="441">
        <v>6000</v>
      </c>
      <c r="F55" s="441">
        <f>C55*E55</f>
        <v>240000</v>
      </c>
    </row>
    <row r="56" spans="1:6">
      <c r="A56" s="437">
        <v>4</v>
      </c>
      <c r="B56" s="438" t="s">
        <v>591</v>
      </c>
      <c r="C56" s="439">
        <v>14</v>
      </c>
      <c r="D56" s="440" t="s">
        <v>554</v>
      </c>
      <c r="E56" s="441">
        <v>8000</v>
      </c>
      <c r="F56" s="441">
        <f>C56*E56</f>
        <v>112000</v>
      </c>
    </row>
    <row r="57" spans="1:6">
      <c r="A57" s="437"/>
      <c r="B57" s="438"/>
      <c r="C57" s="439"/>
      <c r="D57" s="440"/>
      <c r="E57" s="441"/>
      <c r="F57" s="441"/>
    </row>
    <row r="58" spans="1:6" ht="13.5" thickBot="1">
      <c r="A58" s="103"/>
      <c r="B58" s="104"/>
      <c r="C58" s="105"/>
      <c r="D58" s="106"/>
      <c r="E58" s="107" t="s">
        <v>575</v>
      </c>
      <c r="F58" s="107">
        <f>SUM(F53:F57)</f>
        <v>796000</v>
      </c>
    </row>
    <row r="59" spans="1:6" ht="13.5" thickTop="1">
      <c r="A59" s="44"/>
      <c r="B59" s="45"/>
      <c r="C59" s="46"/>
      <c r="D59" s="10"/>
      <c r="E59" s="47"/>
      <c r="F59" s="47"/>
    </row>
    <row r="60" spans="1:6">
      <c r="A60" s="92" t="s">
        <v>222</v>
      </c>
      <c r="B60" s="1076" t="s">
        <v>592</v>
      </c>
      <c r="C60" s="1077" t="s">
        <v>548</v>
      </c>
      <c r="D60" s="1077" t="s">
        <v>549</v>
      </c>
      <c r="E60" s="110" t="s">
        <v>550</v>
      </c>
      <c r="F60" s="110" t="s">
        <v>551</v>
      </c>
    </row>
    <row r="61" spans="1:6">
      <c r="A61" s="95"/>
      <c r="B61" s="1206"/>
      <c r="C61" s="1075"/>
      <c r="D61" s="1075"/>
      <c r="E61" s="110" t="s">
        <v>552</v>
      </c>
      <c r="F61" s="110" t="s">
        <v>552</v>
      </c>
    </row>
    <row r="62" spans="1:6">
      <c r="A62" s="437">
        <v>1</v>
      </c>
      <c r="B62" s="438" t="s">
        <v>593</v>
      </c>
      <c r="C62" s="439">
        <v>1</v>
      </c>
      <c r="D62" s="440" t="s">
        <v>554</v>
      </c>
      <c r="E62" s="441">
        <v>150000</v>
      </c>
      <c r="F62" s="441">
        <f>C62*E62</f>
        <v>150000</v>
      </c>
    </row>
    <row r="63" spans="1:6">
      <c r="A63" s="437">
        <v>2</v>
      </c>
      <c r="B63" s="438" t="s">
        <v>594</v>
      </c>
      <c r="C63" s="439">
        <v>6</v>
      </c>
      <c r="D63" s="440" t="s">
        <v>554</v>
      </c>
      <c r="E63" s="441">
        <v>4500</v>
      </c>
      <c r="F63" s="441">
        <f>C63*E63</f>
        <v>27000</v>
      </c>
    </row>
    <row r="64" spans="1:6">
      <c r="A64" s="437">
        <v>3</v>
      </c>
      <c r="B64" s="438" t="s">
        <v>589</v>
      </c>
      <c r="C64" s="439">
        <v>12</v>
      </c>
      <c r="D64" s="440" t="s">
        <v>554</v>
      </c>
      <c r="E64" s="441">
        <v>6000</v>
      </c>
      <c r="F64" s="441">
        <f>C64*E64</f>
        <v>72000</v>
      </c>
    </row>
    <row r="65" spans="1:6">
      <c r="A65" s="437">
        <v>4</v>
      </c>
      <c r="B65" s="438" t="s">
        <v>580</v>
      </c>
      <c r="C65" s="439">
        <v>16</v>
      </c>
      <c r="D65" s="440" t="s">
        <v>554</v>
      </c>
      <c r="E65" s="441">
        <v>6000</v>
      </c>
      <c r="F65" s="441">
        <f>C65*E65</f>
        <v>96000</v>
      </c>
    </row>
    <row r="66" spans="1:6">
      <c r="A66" s="437">
        <v>5</v>
      </c>
      <c r="B66" s="438" t="s">
        <v>591</v>
      </c>
      <c r="C66" s="439">
        <v>9</v>
      </c>
      <c r="D66" s="440" t="s">
        <v>554</v>
      </c>
      <c r="E66" s="441">
        <v>7000</v>
      </c>
      <c r="F66" s="441">
        <f>C66*E66</f>
        <v>63000</v>
      </c>
    </row>
    <row r="67" spans="1:6" ht="13.5" thickBot="1">
      <c r="A67" s="103"/>
      <c r="B67" s="104"/>
      <c r="C67" s="105"/>
      <c r="D67" s="106"/>
      <c r="E67" s="107" t="s">
        <v>575</v>
      </c>
      <c r="F67" s="107">
        <f>SUM(F62:F66)</f>
        <v>408000</v>
      </c>
    </row>
    <row r="68" spans="1:6" ht="13.5" thickTop="1">
      <c r="A68" s="44"/>
      <c r="B68" s="45"/>
      <c r="C68" s="46"/>
      <c r="D68" s="10"/>
      <c r="E68" s="47"/>
      <c r="F68" s="47"/>
    </row>
    <row r="69" spans="1:6">
      <c r="A69" s="44"/>
      <c r="B69" s="45"/>
      <c r="C69" s="459" t="s">
        <v>595</v>
      </c>
      <c r="D69" s="448"/>
      <c r="E69" s="113"/>
      <c r="F69" s="449"/>
    </row>
    <row r="70" spans="1:6">
      <c r="A70" s="122"/>
      <c r="B70" s="123"/>
      <c r="C70" s="124"/>
      <c r="D70" s="124"/>
      <c r="E70" s="124"/>
      <c r="F70" s="125"/>
    </row>
    <row r="71" spans="1:6">
      <c r="A71" s="92" t="s">
        <v>224</v>
      </c>
      <c r="B71" s="1078" t="s">
        <v>596</v>
      </c>
      <c r="C71" s="1077" t="s">
        <v>548</v>
      </c>
      <c r="D71" s="1077" t="s">
        <v>549</v>
      </c>
      <c r="E71" s="94" t="s">
        <v>550</v>
      </c>
      <c r="F71" s="94" t="s">
        <v>551</v>
      </c>
    </row>
    <row r="72" spans="1:6">
      <c r="A72" s="95"/>
      <c r="B72" s="1079"/>
      <c r="C72" s="1075"/>
      <c r="D72" s="1075"/>
      <c r="E72" s="97" t="s">
        <v>552</v>
      </c>
      <c r="F72" s="97" t="s">
        <v>552</v>
      </c>
    </row>
    <row r="73" spans="1:6">
      <c r="A73" s="437">
        <v>1</v>
      </c>
      <c r="B73" s="438" t="s">
        <v>597</v>
      </c>
      <c r="C73" s="439">
        <v>1</v>
      </c>
      <c r="D73" s="440" t="s">
        <v>554</v>
      </c>
      <c r="E73" s="441">
        <v>20000</v>
      </c>
      <c r="F73" s="441">
        <v>200000</v>
      </c>
    </row>
    <row r="74" spans="1:6">
      <c r="A74" s="437">
        <v>2</v>
      </c>
      <c r="B74" s="438" t="s">
        <v>589</v>
      </c>
      <c r="C74" s="439">
        <v>10</v>
      </c>
      <c r="D74" s="440" t="s">
        <v>554</v>
      </c>
      <c r="E74" s="441">
        <v>8500</v>
      </c>
      <c r="F74" s="441">
        <f>C74*E74</f>
        <v>85000</v>
      </c>
    </row>
    <row r="75" spans="1:6">
      <c r="A75" s="437">
        <v>3</v>
      </c>
      <c r="B75" s="450" t="s">
        <v>580</v>
      </c>
      <c r="C75" s="439">
        <v>2</v>
      </c>
      <c r="D75" s="440" t="s">
        <v>554</v>
      </c>
      <c r="E75" s="441">
        <v>6500</v>
      </c>
      <c r="F75" s="441">
        <f>C75*E75</f>
        <v>13000</v>
      </c>
    </row>
    <row r="76" spans="1:6">
      <c r="A76" s="437">
        <v>4</v>
      </c>
      <c r="B76" s="438" t="s">
        <v>561</v>
      </c>
      <c r="C76" s="439">
        <v>3</v>
      </c>
      <c r="D76" s="440" t="s">
        <v>554</v>
      </c>
      <c r="E76" s="441">
        <v>7000</v>
      </c>
      <c r="F76" s="441">
        <f>C76*E76</f>
        <v>21000</v>
      </c>
    </row>
    <row r="77" spans="1:6">
      <c r="A77" s="183"/>
      <c r="B77" s="183"/>
      <c r="C77" s="183"/>
      <c r="D77" s="183"/>
      <c r="E77" s="183"/>
      <c r="F77" s="183"/>
    </row>
    <row r="78" spans="1:6" ht="13.5" thickBot="1">
      <c r="A78" s="103"/>
      <c r="B78" s="104"/>
      <c r="C78" s="105"/>
      <c r="D78" s="106"/>
      <c r="E78" s="107" t="s">
        <v>575</v>
      </c>
      <c r="F78" s="107">
        <f>SUM(F73:F76)</f>
        <v>319000</v>
      </c>
    </row>
    <row r="79" spans="1:6" ht="13.5" thickTop="1">
      <c r="A79" s="44"/>
      <c r="B79" s="45"/>
      <c r="C79" s="46"/>
      <c r="D79" s="10"/>
      <c r="E79" s="47"/>
      <c r="F79" s="47"/>
    </row>
    <row r="80" spans="1:6">
      <c r="A80" s="92" t="s">
        <v>224</v>
      </c>
      <c r="B80" s="1078" t="s">
        <v>598</v>
      </c>
      <c r="C80" s="1077" t="s">
        <v>548</v>
      </c>
      <c r="D80" s="1077" t="s">
        <v>549</v>
      </c>
      <c r="E80" s="94" t="s">
        <v>550</v>
      </c>
      <c r="F80" s="94" t="s">
        <v>551</v>
      </c>
    </row>
    <row r="81" spans="1:6">
      <c r="A81" s="95"/>
      <c r="B81" s="1079"/>
      <c r="C81" s="1075"/>
      <c r="D81" s="1075"/>
      <c r="E81" s="97" t="s">
        <v>552</v>
      </c>
      <c r="F81" s="97" t="s">
        <v>552</v>
      </c>
    </row>
    <row r="82" spans="1:6">
      <c r="A82" s="437">
        <v>1</v>
      </c>
      <c r="B82" s="438" t="s">
        <v>580</v>
      </c>
      <c r="C82" s="439">
        <v>20</v>
      </c>
      <c r="D82" s="440" t="s">
        <v>554</v>
      </c>
      <c r="E82" s="441">
        <v>6000</v>
      </c>
      <c r="F82" s="441">
        <f>C82*E82</f>
        <v>120000</v>
      </c>
    </row>
    <row r="83" spans="1:6">
      <c r="A83" s="437">
        <v>2</v>
      </c>
      <c r="B83" s="438" t="s">
        <v>561</v>
      </c>
      <c r="C83" s="439">
        <v>4</v>
      </c>
      <c r="D83" s="440" t="s">
        <v>554</v>
      </c>
      <c r="E83" s="441">
        <v>7000</v>
      </c>
      <c r="F83" s="441">
        <f>C83*E83</f>
        <v>28000</v>
      </c>
    </row>
    <row r="84" spans="1:6">
      <c r="A84" s="437"/>
      <c r="B84" s="450"/>
      <c r="C84" s="439"/>
      <c r="D84" s="440"/>
      <c r="E84" s="441"/>
      <c r="F84" s="441"/>
    </row>
    <row r="85" spans="1:6" ht="13.5" thickBot="1">
      <c r="A85" s="103"/>
      <c r="B85" s="104"/>
      <c r="C85" s="105"/>
      <c r="D85" s="106"/>
      <c r="E85" s="107" t="s">
        <v>575</v>
      </c>
      <c r="F85" s="107">
        <f>SUM(F82:F83)</f>
        <v>148000</v>
      </c>
    </row>
    <row r="86" spans="1:6" ht="13.5" thickTop="1">
      <c r="A86" s="122"/>
      <c r="B86" s="123"/>
      <c r="C86" s="124"/>
      <c r="D86" s="124"/>
      <c r="E86" s="124"/>
      <c r="F86" s="125"/>
    </row>
    <row r="87" spans="1:6">
      <c r="A87" s="92" t="s">
        <v>226</v>
      </c>
      <c r="B87" s="1078" t="s">
        <v>599</v>
      </c>
      <c r="C87" s="1077" t="s">
        <v>548</v>
      </c>
      <c r="D87" s="1077" t="s">
        <v>549</v>
      </c>
      <c r="E87" s="110" t="s">
        <v>550</v>
      </c>
      <c r="F87" s="110" t="s">
        <v>551</v>
      </c>
    </row>
    <row r="88" spans="1:6">
      <c r="A88" s="95"/>
      <c r="B88" s="1079"/>
      <c r="C88" s="1075"/>
      <c r="D88" s="1075"/>
      <c r="E88" s="110" t="s">
        <v>552</v>
      </c>
      <c r="F88" s="110" t="s">
        <v>552</v>
      </c>
    </row>
    <row r="89" spans="1:6">
      <c r="A89" s="108"/>
      <c r="B89" s="997" t="s">
        <v>600</v>
      </c>
      <c r="C89" s="451"/>
      <c r="D89" s="451"/>
      <c r="E89" s="110"/>
      <c r="F89" s="110"/>
    </row>
    <row r="90" spans="1:6">
      <c r="A90" s="437">
        <v>1</v>
      </c>
      <c r="B90" s="438" t="s">
        <v>601</v>
      </c>
      <c r="C90" s="439">
        <v>192</v>
      </c>
      <c r="D90" s="440" t="s">
        <v>554</v>
      </c>
      <c r="E90" s="441">
        <v>1200</v>
      </c>
      <c r="F90" s="441">
        <f t="shared" ref="F90:F115" si="2">C90*E90</f>
        <v>230400</v>
      </c>
    </row>
    <row r="91" spans="1:6">
      <c r="A91" s="437">
        <v>2</v>
      </c>
      <c r="B91" s="438" t="s">
        <v>602</v>
      </c>
      <c r="C91" s="439">
        <v>102</v>
      </c>
      <c r="D91" s="440" t="s">
        <v>554</v>
      </c>
      <c r="E91" s="441">
        <v>700</v>
      </c>
      <c r="F91" s="441">
        <f t="shared" si="2"/>
        <v>71400</v>
      </c>
    </row>
    <row r="92" spans="1:6">
      <c r="A92" s="437">
        <v>3</v>
      </c>
      <c r="B92" s="438" t="s">
        <v>603</v>
      </c>
      <c r="C92" s="439">
        <v>525</v>
      </c>
      <c r="D92" s="440" t="s">
        <v>554</v>
      </c>
      <c r="E92" s="441">
        <v>600</v>
      </c>
      <c r="F92" s="441">
        <f t="shared" si="2"/>
        <v>315000</v>
      </c>
    </row>
    <row r="93" spans="1:6">
      <c r="A93" s="437">
        <v>4</v>
      </c>
      <c r="B93" s="438" t="s">
        <v>604</v>
      </c>
      <c r="C93" s="439">
        <v>90</v>
      </c>
      <c r="D93" s="440" t="s">
        <v>554</v>
      </c>
      <c r="E93" s="441">
        <v>600</v>
      </c>
      <c r="F93" s="441">
        <f t="shared" si="2"/>
        <v>54000</v>
      </c>
    </row>
    <row r="94" spans="1:6">
      <c r="A94" s="437">
        <v>5</v>
      </c>
      <c r="B94" s="438" t="s">
        <v>605</v>
      </c>
      <c r="C94" s="439">
        <v>126</v>
      </c>
      <c r="D94" s="440" t="s">
        <v>554</v>
      </c>
      <c r="E94" s="441">
        <v>500</v>
      </c>
      <c r="F94" s="441">
        <f t="shared" si="2"/>
        <v>63000</v>
      </c>
    </row>
    <row r="95" spans="1:6">
      <c r="A95" s="437"/>
      <c r="B95" s="452" t="s">
        <v>606</v>
      </c>
      <c r="C95" s="439"/>
      <c r="D95" s="453"/>
      <c r="E95" s="441"/>
      <c r="F95" s="441"/>
    </row>
    <row r="96" spans="1:6">
      <c r="A96" s="437">
        <v>1</v>
      </c>
      <c r="B96" s="438" t="s">
        <v>601</v>
      </c>
      <c r="C96" s="439">
        <v>192</v>
      </c>
      <c r="D96" s="440" t="s">
        <v>554</v>
      </c>
      <c r="E96" s="441">
        <v>500</v>
      </c>
      <c r="F96" s="441">
        <f t="shared" si="2"/>
        <v>96000</v>
      </c>
    </row>
    <row r="97" spans="1:6">
      <c r="A97" s="437">
        <v>2</v>
      </c>
      <c r="B97" s="438" t="s">
        <v>602</v>
      </c>
      <c r="C97" s="439">
        <v>102</v>
      </c>
      <c r="D97" s="440" t="s">
        <v>554</v>
      </c>
      <c r="E97" s="441">
        <v>500</v>
      </c>
      <c r="F97" s="441">
        <f t="shared" si="2"/>
        <v>51000</v>
      </c>
    </row>
    <row r="98" spans="1:6">
      <c r="A98" s="437">
        <v>3</v>
      </c>
      <c r="B98" s="438" t="s">
        <v>603</v>
      </c>
      <c r="C98" s="439">
        <v>525</v>
      </c>
      <c r="D98" s="440" t="s">
        <v>554</v>
      </c>
      <c r="E98" s="441">
        <v>200</v>
      </c>
      <c r="F98" s="441">
        <f t="shared" si="2"/>
        <v>105000</v>
      </c>
    </row>
    <row r="99" spans="1:6">
      <c r="A99" s="437">
        <v>4</v>
      </c>
      <c r="B99" s="438" t="s">
        <v>604</v>
      </c>
      <c r="C99" s="439">
        <v>90</v>
      </c>
      <c r="D99" s="440" t="s">
        <v>554</v>
      </c>
      <c r="E99" s="441">
        <v>200</v>
      </c>
      <c r="F99" s="441">
        <f t="shared" si="2"/>
        <v>18000</v>
      </c>
    </row>
    <row r="100" spans="1:6">
      <c r="A100" s="437">
        <v>5</v>
      </c>
      <c r="B100" s="438" t="s">
        <v>605</v>
      </c>
      <c r="C100" s="439">
        <v>126</v>
      </c>
      <c r="D100" s="440" t="s">
        <v>554</v>
      </c>
      <c r="E100" s="441">
        <v>200</v>
      </c>
      <c r="F100" s="441">
        <f t="shared" si="2"/>
        <v>25200</v>
      </c>
    </row>
    <row r="101" spans="1:6">
      <c r="A101" s="437"/>
      <c r="B101" s="452" t="s">
        <v>607</v>
      </c>
      <c r="C101" s="439"/>
      <c r="D101" s="453"/>
      <c r="E101" s="441"/>
      <c r="F101" s="441"/>
    </row>
    <row r="102" spans="1:6">
      <c r="A102" s="437">
        <v>1</v>
      </c>
      <c r="B102" s="438" t="s">
        <v>601</v>
      </c>
      <c r="C102" s="439">
        <v>192</v>
      </c>
      <c r="D102" s="440" t="s">
        <v>554</v>
      </c>
      <c r="E102" s="441">
        <v>500</v>
      </c>
      <c r="F102" s="441">
        <f t="shared" si="2"/>
        <v>96000</v>
      </c>
    </row>
    <row r="103" spans="1:6">
      <c r="A103" s="437">
        <v>2</v>
      </c>
      <c r="B103" s="438" t="s">
        <v>602</v>
      </c>
      <c r="C103" s="439">
        <v>102</v>
      </c>
      <c r="D103" s="440" t="s">
        <v>554</v>
      </c>
      <c r="E103" s="441">
        <v>200</v>
      </c>
      <c r="F103" s="441">
        <f t="shared" si="2"/>
        <v>20400</v>
      </c>
    </row>
    <row r="104" spans="1:6">
      <c r="A104" s="437">
        <v>3</v>
      </c>
      <c r="B104" s="438" t="s">
        <v>603</v>
      </c>
      <c r="C104" s="439">
        <v>525</v>
      </c>
      <c r="D104" s="440" t="s">
        <v>554</v>
      </c>
      <c r="E104" s="441">
        <v>200</v>
      </c>
      <c r="F104" s="441">
        <f t="shared" si="2"/>
        <v>105000</v>
      </c>
    </row>
    <row r="105" spans="1:6">
      <c r="A105" s="437">
        <v>4</v>
      </c>
      <c r="B105" s="438" t="s">
        <v>604</v>
      </c>
      <c r="C105" s="439">
        <v>90</v>
      </c>
      <c r="D105" s="440" t="s">
        <v>554</v>
      </c>
      <c r="E105" s="441">
        <v>200</v>
      </c>
      <c r="F105" s="441">
        <f t="shared" si="2"/>
        <v>18000</v>
      </c>
    </row>
    <row r="106" spans="1:6">
      <c r="A106" s="437">
        <v>5</v>
      </c>
      <c r="B106" s="438" t="s">
        <v>605</v>
      </c>
      <c r="C106" s="439">
        <v>126</v>
      </c>
      <c r="D106" s="440" t="s">
        <v>554</v>
      </c>
      <c r="E106" s="441">
        <v>200</v>
      </c>
      <c r="F106" s="441">
        <f t="shared" si="2"/>
        <v>25200</v>
      </c>
    </row>
    <row r="107" spans="1:6">
      <c r="A107" s="437"/>
      <c r="B107" s="452" t="s">
        <v>608</v>
      </c>
      <c r="C107" s="439"/>
      <c r="D107" s="451"/>
      <c r="E107" s="441"/>
      <c r="F107" s="441"/>
    </row>
    <row r="108" spans="1:6">
      <c r="A108" s="437">
        <v>1</v>
      </c>
      <c r="B108" s="438" t="s">
        <v>609</v>
      </c>
      <c r="C108" s="439">
        <v>100</v>
      </c>
      <c r="D108" s="440" t="s">
        <v>554</v>
      </c>
      <c r="E108" s="441">
        <v>1500</v>
      </c>
      <c r="F108" s="441">
        <f t="shared" si="2"/>
        <v>150000</v>
      </c>
    </row>
    <row r="109" spans="1:6">
      <c r="A109" s="437">
        <v>2</v>
      </c>
      <c r="B109" s="438" t="s">
        <v>610</v>
      </c>
      <c r="C109" s="439">
        <v>100</v>
      </c>
      <c r="D109" s="440" t="s">
        <v>554</v>
      </c>
      <c r="E109" s="441">
        <v>1000</v>
      </c>
      <c r="F109" s="441">
        <f t="shared" si="2"/>
        <v>100000</v>
      </c>
    </row>
    <row r="110" spans="1:6">
      <c r="A110" s="437">
        <v>3</v>
      </c>
      <c r="B110" s="438" t="s">
        <v>611</v>
      </c>
      <c r="C110" s="439">
        <v>100</v>
      </c>
      <c r="D110" s="440" t="s">
        <v>554</v>
      </c>
      <c r="E110" s="441">
        <v>800</v>
      </c>
      <c r="F110" s="441">
        <f t="shared" si="2"/>
        <v>80000</v>
      </c>
    </row>
    <row r="111" spans="1:6">
      <c r="A111" s="437"/>
      <c r="B111" s="452" t="s">
        <v>612</v>
      </c>
      <c r="C111" s="439"/>
      <c r="D111" s="440"/>
      <c r="E111" s="441"/>
      <c r="F111" s="441"/>
    </row>
    <row r="112" spans="1:6">
      <c r="A112" s="437">
        <v>1</v>
      </c>
      <c r="B112" s="438" t="s">
        <v>613</v>
      </c>
      <c r="C112" s="439">
        <v>1</v>
      </c>
      <c r="D112" s="440" t="s">
        <v>554</v>
      </c>
      <c r="E112" s="441">
        <v>1000000</v>
      </c>
      <c r="F112" s="441">
        <f t="shared" si="2"/>
        <v>1000000</v>
      </c>
    </row>
    <row r="113" spans="1:9">
      <c r="A113" s="437">
        <v>2</v>
      </c>
      <c r="B113" s="438" t="s">
        <v>614</v>
      </c>
      <c r="C113" s="439">
        <v>1</v>
      </c>
      <c r="D113" s="440" t="s">
        <v>554</v>
      </c>
      <c r="E113" s="441">
        <v>400000</v>
      </c>
      <c r="F113" s="441">
        <f t="shared" si="2"/>
        <v>400000</v>
      </c>
      <c r="H113" s="67"/>
    </row>
    <row r="114" spans="1:9">
      <c r="A114" s="437">
        <v>3</v>
      </c>
      <c r="B114" s="438" t="s">
        <v>615</v>
      </c>
      <c r="C114" s="439">
        <v>1</v>
      </c>
      <c r="D114" s="440" t="s">
        <v>554</v>
      </c>
      <c r="E114" s="441">
        <v>250000</v>
      </c>
      <c r="F114" s="441">
        <f t="shared" si="2"/>
        <v>250000</v>
      </c>
    </row>
    <row r="115" spans="1:9">
      <c r="A115" s="437">
        <v>4</v>
      </c>
      <c r="B115" s="438" t="s">
        <v>616</v>
      </c>
      <c r="C115" s="439">
        <v>9</v>
      </c>
      <c r="D115" s="440" t="s">
        <v>554</v>
      </c>
      <c r="E115" s="441">
        <v>30000</v>
      </c>
      <c r="F115" s="441">
        <f t="shared" si="2"/>
        <v>270000</v>
      </c>
    </row>
    <row r="116" spans="1:9">
      <c r="A116" s="437"/>
      <c r="B116" s="438"/>
      <c r="C116" s="439"/>
      <c r="D116" s="440"/>
      <c r="E116" s="441"/>
      <c r="F116" s="441"/>
    </row>
    <row r="117" spans="1:9" ht="13.5" thickBot="1">
      <c r="A117" s="103"/>
      <c r="B117" s="104"/>
      <c r="C117" s="105"/>
      <c r="D117" s="106"/>
      <c r="E117" s="107" t="s">
        <v>575</v>
      </c>
      <c r="F117" s="107">
        <f>SUM(F90:F116)</f>
        <v>3543600</v>
      </c>
    </row>
    <row r="118" spans="1:9" ht="13.5" thickTop="1">
      <c r="A118" s="44"/>
      <c r="B118" s="45"/>
      <c r="C118" s="46"/>
      <c r="D118" s="10"/>
      <c r="E118" s="47"/>
      <c r="F118" s="47"/>
    </row>
    <row r="119" spans="1:9">
      <c r="A119" s="92" t="s">
        <v>227</v>
      </c>
      <c r="B119" s="1078" t="s">
        <v>617</v>
      </c>
      <c r="C119" s="1077" t="s">
        <v>548</v>
      </c>
      <c r="D119" s="1077" t="s">
        <v>549</v>
      </c>
      <c r="E119" s="94" t="s">
        <v>550</v>
      </c>
      <c r="F119" s="94" t="s">
        <v>551</v>
      </c>
    </row>
    <row r="120" spans="1:9">
      <c r="A120" s="95"/>
      <c r="B120" s="1079"/>
      <c r="C120" s="1075"/>
      <c r="D120" s="1075"/>
      <c r="E120" s="97" t="s">
        <v>552</v>
      </c>
      <c r="F120" s="97" t="s">
        <v>552</v>
      </c>
    </row>
    <row r="121" spans="1:9">
      <c r="A121" s="437">
        <v>1</v>
      </c>
      <c r="B121" s="438" t="s">
        <v>618</v>
      </c>
      <c r="C121" s="439">
        <v>4</v>
      </c>
      <c r="D121" s="440" t="s">
        <v>554</v>
      </c>
      <c r="E121" s="441">
        <v>200000</v>
      </c>
      <c r="F121" s="441">
        <f>C121*E121</f>
        <v>800000</v>
      </c>
    </row>
    <row r="122" spans="1:9">
      <c r="A122" s="437">
        <v>2</v>
      </c>
      <c r="B122" s="438" t="s">
        <v>619</v>
      </c>
      <c r="C122" s="439">
        <v>10</v>
      </c>
      <c r="D122" s="440" t="s">
        <v>554</v>
      </c>
      <c r="E122" s="441">
        <v>50000</v>
      </c>
      <c r="F122" s="441">
        <f>C122*E122</f>
        <v>500000</v>
      </c>
    </row>
    <row r="123" spans="1:9">
      <c r="A123" s="437">
        <v>3</v>
      </c>
      <c r="B123" s="438" t="s">
        <v>620</v>
      </c>
      <c r="C123" s="439">
        <v>2</v>
      </c>
      <c r="D123" s="440" t="s">
        <v>621</v>
      </c>
      <c r="E123" s="441">
        <v>2747500</v>
      </c>
      <c r="F123" s="441">
        <f>C123*E123</f>
        <v>5495000</v>
      </c>
      <c r="I123" s="67" t="e">
        <f>'CAPITAL COST'!#REF!</f>
        <v>#REF!</v>
      </c>
    </row>
    <row r="124" spans="1:9">
      <c r="A124" s="437">
        <v>4</v>
      </c>
      <c r="B124" s="450" t="s">
        <v>622</v>
      </c>
      <c r="C124" s="439">
        <v>1</v>
      </c>
      <c r="D124" s="440" t="s">
        <v>554</v>
      </c>
      <c r="E124" s="441">
        <v>2500000</v>
      </c>
      <c r="F124" s="441">
        <f>C124*E124</f>
        <v>2500000</v>
      </c>
    </row>
    <row r="125" spans="1:9" ht="13.5" thickBot="1">
      <c r="A125" s="103"/>
      <c r="B125" s="104"/>
      <c r="C125" s="105"/>
      <c r="D125" s="106"/>
      <c r="E125" s="107" t="s">
        <v>575</v>
      </c>
      <c r="F125" s="107">
        <f>SUM(F121:F124)</f>
        <v>9295000</v>
      </c>
    </row>
    <row r="126" spans="1:9" ht="13.5" thickTop="1">
      <c r="A126" s="44"/>
      <c r="B126" s="45"/>
      <c r="C126" s="46"/>
      <c r="D126" s="10"/>
      <c r="E126" s="47"/>
      <c r="F126" s="47"/>
    </row>
    <row r="127" spans="1:9">
      <c r="A127" s="92" t="s">
        <v>229</v>
      </c>
      <c r="B127" s="1078" t="s">
        <v>623</v>
      </c>
      <c r="C127" s="1077" t="s">
        <v>548</v>
      </c>
      <c r="D127" s="1077" t="s">
        <v>549</v>
      </c>
      <c r="E127" s="94" t="s">
        <v>550</v>
      </c>
      <c r="F127" s="94" t="s">
        <v>551</v>
      </c>
    </row>
    <row r="128" spans="1:9">
      <c r="A128" s="95"/>
      <c r="B128" s="1079"/>
      <c r="C128" s="1075"/>
      <c r="D128" s="1075"/>
      <c r="E128" s="97" t="s">
        <v>552</v>
      </c>
      <c r="F128" s="97" t="s">
        <v>552</v>
      </c>
    </row>
    <row r="129" spans="1:6">
      <c r="A129" s="437">
        <v>1</v>
      </c>
      <c r="B129" s="438" t="s">
        <v>624</v>
      </c>
      <c r="C129" s="439">
        <v>4</v>
      </c>
      <c r="D129" s="440" t="s">
        <v>554</v>
      </c>
      <c r="E129" s="441">
        <v>80000</v>
      </c>
      <c r="F129" s="441">
        <f>C129*E129</f>
        <v>320000</v>
      </c>
    </row>
    <row r="130" spans="1:6">
      <c r="A130" s="437">
        <v>2</v>
      </c>
      <c r="B130" s="438" t="s">
        <v>625</v>
      </c>
      <c r="C130" s="439">
        <v>3</v>
      </c>
      <c r="D130" s="440" t="s">
        <v>554</v>
      </c>
      <c r="E130" s="441">
        <v>500000</v>
      </c>
      <c r="F130" s="441">
        <f>C130*E130</f>
        <v>1500000</v>
      </c>
    </row>
    <row r="131" spans="1:6">
      <c r="A131" s="437">
        <v>3</v>
      </c>
      <c r="B131" s="450" t="s">
        <v>626</v>
      </c>
      <c r="C131" s="439">
        <v>2</v>
      </c>
      <c r="D131" s="440" t="s">
        <v>554</v>
      </c>
      <c r="E131" s="441">
        <v>300000</v>
      </c>
      <c r="F131" s="441">
        <f>C131*E131</f>
        <v>600000</v>
      </c>
    </row>
    <row r="132" spans="1:6" ht="13.5" thickBot="1">
      <c r="A132" s="103"/>
      <c r="B132" s="104"/>
      <c r="C132" s="105"/>
      <c r="D132" s="106"/>
      <c r="E132" s="107" t="s">
        <v>575</v>
      </c>
      <c r="F132" s="107">
        <f>SUM(F129:F131)</f>
        <v>2420000</v>
      </c>
    </row>
    <row r="133" spans="1:6" ht="13.5" thickTop="1">
      <c r="A133" s="44"/>
      <c r="B133" s="45"/>
      <c r="C133" s="46"/>
      <c r="D133" s="10"/>
      <c r="E133" s="47"/>
      <c r="F133" s="47"/>
    </row>
    <row r="134" spans="1:6">
      <c r="A134" s="126"/>
      <c r="B134" s="127" t="s">
        <v>627</v>
      </c>
      <c r="C134" s="128">
        <v>40</v>
      </c>
      <c r="D134" s="129"/>
      <c r="E134" s="129"/>
      <c r="F134" s="129"/>
    </row>
    <row r="135" spans="1:6">
      <c r="A135" s="126"/>
      <c r="B135" s="127"/>
      <c r="C135" s="128"/>
      <c r="D135" s="129"/>
      <c r="E135" s="129"/>
      <c r="F135" s="129"/>
    </row>
    <row r="136" spans="1:6">
      <c r="A136" s="126"/>
      <c r="B136" s="307"/>
      <c r="C136" s="460" t="s">
        <v>628</v>
      </c>
      <c r="D136" s="309"/>
      <c r="E136" s="310"/>
      <c r="F136" s="129"/>
    </row>
    <row r="137" spans="1:6">
      <c r="A137" s="126"/>
      <c r="B137" s="307"/>
      <c r="C137" s="308"/>
      <c r="D137" s="309"/>
      <c r="E137" s="310"/>
      <c r="F137" s="129"/>
    </row>
    <row r="138" spans="1:6">
      <c r="A138" s="126" t="s">
        <v>629</v>
      </c>
      <c r="B138" s="1080" t="s">
        <v>630</v>
      </c>
      <c r="C138" s="1081"/>
      <c r="D138" s="1081"/>
      <c r="E138" s="1082"/>
      <c r="F138" s="131">
        <f>F34</f>
        <v>12207000</v>
      </c>
    </row>
    <row r="139" spans="1:6">
      <c r="A139" s="126" t="s">
        <v>631</v>
      </c>
      <c r="B139" s="1080" t="s">
        <v>632</v>
      </c>
      <c r="C139" s="1081"/>
      <c r="D139" s="1081"/>
      <c r="E139" s="1082"/>
      <c r="F139" s="131">
        <f>F40</f>
        <v>530000</v>
      </c>
    </row>
    <row r="140" spans="1:6">
      <c r="A140" s="126" t="s">
        <v>633</v>
      </c>
      <c r="B140" s="1080" t="s">
        <v>634</v>
      </c>
      <c r="C140" s="1081"/>
      <c r="D140" s="1081"/>
      <c r="E140" s="1082"/>
      <c r="F140" s="131">
        <f>F46</f>
        <v>850000</v>
      </c>
    </row>
    <row r="141" spans="1:6">
      <c r="A141" s="126" t="s">
        <v>635</v>
      </c>
      <c r="B141" s="1080" t="s">
        <v>636</v>
      </c>
      <c r="C141" s="1081"/>
      <c r="D141" s="1081"/>
      <c r="E141" s="1082"/>
      <c r="F141" s="131">
        <f>F58</f>
        <v>796000</v>
      </c>
    </row>
    <row r="142" spans="1:6">
      <c r="A142" s="126" t="s">
        <v>637</v>
      </c>
      <c r="B142" s="1080" t="s">
        <v>638</v>
      </c>
      <c r="C142" s="1081"/>
      <c r="D142" s="1081"/>
      <c r="E142" s="1082"/>
      <c r="F142" s="131">
        <f>F67</f>
        <v>408000</v>
      </c>
    </row>
    <row r="143" spans="1:6">
      <c r="A143" s="126" t="s">
        <v>639</v>
      </c>
      <c r="B143" s="1080" t="s">
        <v>640</v>
      </c>
      <c r="C143" s="1081"/>
      <c r="D143" s="1081"/>
      <c r="E143" s="1082"/>
      <c r="F143" s="131">
        <f>F78</f>
        <v>319000</v>
      </c>
    </row>
    <row r="144" spans="1:6">
      <c r="A144" s="126" t="s">
        <v>641</v>
      </c>
      <c r="B144" s="1080" t="s">
        <v>642</v>
      </c>
      <c r="C144" s="1081"/>
      <c r="D144" s="1081"/>
      <c r="E144" s="1082"/>
      <c r="F144" s="131">
        <f>F85</f>
        <v>148000</v>
      </c>
    </row>
    <row r="145" spans="1:8">
      <c r="A145" s="126" t="s">
        <v>643</v>
      </c>
      <c r="B145" s="1080" t="s">
        <v>644</v>
      </c>
      <c r="C145" s="1081"/>
      <c r="D145" s="1081"/>
      <c r="E145" s="1082"/>
      <c r="F145" s="131">
        <f>F117</f>
        <v>3543600</v>
      </c>
    </row>
    <row r="146" spans="1:8">
      <c r="A146" s="126" t="s">
        <v>218</v>
      </c>
      <c r="B146" s="1080" t="s">
        <v>645</v>
      </c>
      <c r="C146" s="1081"/>
      <c r="D146" s="1081"/>
      <c r="E146" s="1082"/>
      <c r="F146" s="131">
        <f>F125</f>
        <v>9295000</v>
      </c>
    </row>
    <row r="147" spans="1:8">
      <c r="A147" s="126" t="s">
        <v>646</v>
      </c>
      <c r="B147" s="1080" t="s">
        <v>647</v>
      </c>
      <c r="C147" s="1081"/>
      <c r="D147" s="1081"/>
      <c r="E147" s="1082"/>
      <c r="F147" s="131">
        <f>F132</f>
        <v>2420000</v>
      </c>
    </row>
    <row r="148" spans="1:8">
      <c r="A148" s="100"/>
      <c r="B148" s="1083" t="s">
        <v>648</v>
      </c>
      <c r="C148" s="1084"/>
      <c r="D148" s="1084"/>
      <c r="E148" s="1085"/>
      <c r="F148" s="131">
        <f>SUM(F138:F147)</f>
        <v>30516600</v>
      </c>
      <c r="H148" s="67"/>
    </row>
    <row r="149" spans="1:8">
      <c r="A149" s="100"/>
      <c r="B149" s="1086"/>
      <c r="C149" s="1087"/>
      <c r="D149" s="1087"/>
      <c r="E149" s="1088"/>
      <c r="F149" s="131"/>
    </row>
    <row r="150" spans="1:8">
      <c r="A150" s="100"/>
      <c r="B150" s="1089"/>
      <c r="C150" s="1090"/>
      <c r="D150" s="1090"/>
      <c r="E150" s="1090"/>
      <c r="F150" s="1091"/>
    </row>
  </sheetData>
  <mergeCells count="39">
    <mergeCell ref="B140:E140"/>
    <mergeCell ref="B147:E147"/>
    <mergeCell ref="B148:E148"/>
    <mergeCell ref="B149:E149"/>
    <mergeCell ref="B150:F150"/>
    <mergeCell ref="B141:E141"/>
    <mergeCell ref="B142:E142"/>
    <mergeCell ref="B143:E143"/>
    <mergeCell ref="B144:E144"/>
    <mergeCell ref="B145:E145"/>
    <mergeCell ref="B146:E146"/>
    <mergeCell ref="B127:B128"/>
    <mergeCell ref="C127:C128"/>
    <mergeCell ref="D127:D128"/>
    <mergeCell ref="B138:E138"/>
    <mergeCell ref="B139:E139"/>
    <mergeCell ref="B87:B88"/>
    <mergeCell ref="C87:C88"/>
    <mergeCell ref="D87:D88"/>
    <mergeCell ref="B119:B120"/>
    <mergeCell ref="C119:C120"/>
    <mergeCell ref="D119:D120"/>
    <mergeCell ref="B71:B72"/>
    <mergeCell ref="C71:C72"/>
    <mergeCell ref="D71:D72"/>
    <mergeCell ref="B80:B81"/>
    <mergeCell ref="C80:C81"/>
    <mergeCell ref="D80:D81"/>
    <mergeCell ref="B51:B52"/>
    <mergeCell ref="C51:C52"/>
    <mergeCell ref="D51:D52"/>
    <mergeCell ref="B60:B61"/>
    <mergeCell ref="C60:C61"/>
    <mergeCell ref="D60:D61"/>
    <mergeCell ref="B7:D7"/>
    <mergeCell ref="B8:D8"/>
    <mergeCell ref="B9:F9"/>
    <mergeCell ref="C10:C11"/>
    <mergeCell ref="D10:D11"/>
  </mergeCells>
  <pageMargins left="0.75" right="0.75" top="0.64" bottom="0.48" header="0.25" footer="0.24"/>
  <pageSetup paperSize="9" scale="90" orientation="portrait" r:id="rId1"/>
  <headerFooter alignWithMargins="0">
    <oddHeader>&amp;C&amp;"Arial,Bold"&amp;12ROYALE de CASA
(A UNIT OF ROYALE INDIA PVT. LTD.)</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DDECE-F7FA-463C-BE09-573949572213}">
  <dimension ref="B2:I21"/>
  <sheetViews>
    <sheetView tabSelected="1" view="pageBreakPreview" zoomScaleNormal="100" zoomScaleSheetLayoutView="100" zoomScalePageLayoutView="40" workbookViewId="0">
      <selection activeCell="D21" sqref="D21"/>
    </sheetView>
  </sheetViews>
  <sheetFormatPr defaultRowHeight="12.75"/>
  <cols>
    <col min="1" max="1" width="3.85546875" style="51" customWidth="1"/>
    <col min="2" max="2" width="2.85546875" style="51" bestFit="1" customWidth="1"/>
    <col min="3" max="3" width="60.85546875" style="51" bestFit="1" customWidth="1"/>
    <col min="4" max="4" width="14.85546875" style="51" customWidth="1"/>
    <col min="5" max="5" width="9.140625" style="51"/>
    <col min="6" max="6" width="9.42578125" style="51" bestFit="1" customWidth="1"/>
    <col min="7" max="16384" width="9.140625" style="51"/>
  </cols>
  <sheetData>
    <row r="2" spans="2:9">
      <c r="C2" s="1023">
        <f>Pages!D43</f>
        <v>38</v>
      </c>
      <c r="D2" s="1023"/>
    </row>
    <row r="4" spans="2:9">
      <c r="C4" s="1021" t="s">
        <v>542</v>
      </c>
      <c r="D4" s="1021"/>
      <c r="E4" s="1008"/>
    </row>
    <row r="5" spans="2:9">
      <c r="C5" s="1021" t="s">
        <v>649</v>
      </c>
      <c r="D5" s="1022"/>
      <c r="E5" s="1022"/>
    </row>
    <row r="6" spans="2:9" ht="13.5" thickBot="1">
      <c r="D6" s="486" t="s">
        <v>650</v>
      </c>
    </row>
    <row r="7" spans="2:9" ht="13.5" thickBot="1">
      <c r="B7" s="276" t="s">
        <v>651</v>
      </c>
      <c r="C7" s="277" t="s">
        <v>652</v>
      </c>
      <c r="D7" s="278"/>
      <c r="E7" s="50"/>
      <c r="F7" s="50"/>
      <c r="G7" s="50"/>
    </row>
    <row r="9" spans="2:9">
      <c r="C9" s="51" t="s">
        <v>653</v>
      </c>
      <c r="D9" s="139">
        <v>1100000</v>
      </c>
    </row>
    <row r="10" spans="2:9">
      <c r="C10" s="51" t="s">
        <v>654</v>
      </c>
      <c r="D10" s="139">
        <v>500000</v>
      </c>
    </row>
    <row r="11" spans="2:9">
      <c r="C11" s="51" t="s">
        <v>655</v>
      </c>
      <c r="D11" s="139">
        <v>150000</v>
      </c>
    </row>
    <row r="12" spans="2:9">
      <c r="C12" s="51" t="s">
        <v>656</v>
      </c>
      <c r="D12" s="139">
        <v>300000</v>
      </c>
    </row>
    <row r="13" spans="2:9">
      <c r="C13" s="51" t="s">
        <v>657</v>
      </c>
      <c r="D13" s="139">
        <f>ROUND(Interest!I34*100000,-3)</f>
        <v>23117000</v>
      </c>
      <c r="H13" s="51">
        <f>87.85729+0.07</f>
        <v>87.927289999999999</v>
      </c>
    </row>
    <row r="14" spans="2:9">
      <c r="C14" s="51" t="s">
        <v>658</v>
      </c>
      <c r="D14" s="139">
        <v>750000</v>
      </c>
      <c r="H14" s="51">
        <f>D20/100000</f>
        <v>285.72000000000003</v>
      </c>
    </row>
    <row r="15" spans="2:9">
      <c r="C15" s="51" t="s">
        <v>659</v>
      </c>
      <c r="D15" s="139">
        <v>750000</v>
      </c>
      <c r="H15" s="51">
        <f>H14-87.75</f>
        <v>197.97000000000003</v>
      </c>
      <c r="I15" s="51">
        <f>H13-H15</f>
        <v>-110.04271000000003</v>
      </c>
    </row>
    <row r="16" spans="2:9">
      <c r="C16" s="51" t="s">
        <v>660</v>
      </c>
      <c r="D16" s="139">
        <v>555000</v>
      </c>
      <c r="F16" s="67">
        <f>'CAPITAL COST'!D28</f>
        <v>4285.8642876220001</v>
      </c>
    </row>
    <row r="17" spans="2:8">
      <c r="C17" s="51" t="s">
        <v>661</v>
      </c>
      <c r="D17" s="139">
        <f>+'CAPITAL COST'!D50*100000*0.005</f>
        <v>1350000</v>
      </c>
    </row>
    <row r="18" spans="2:8">
      <c r="D18" s="139"/>
      <c r="H18" s="51">
        <f>D20-7503768</f>
        <v>21068232</v>
      </c>
    </row>
    <row r="19" spans="2:8">
      <c r="D19" s="139"/>
      <c r="F19" s="139">
        <f>D20-D13</f>
        <v>5455000</v>
      </c>
    </row>
    <row r="20" spans="2:8" ht="13.5" thickBot="1">
      <c r="B20" s="54"/>
      <c r="C20" s="53" t="s">
        <v>347</v>
      </c>
      <c r="D20" s="585">
        <f>SUM(D9:D19)</f>
        <v>28572000</v>
      </c>
    </row>
    <row r="21" spans="2:8" ht="13.5" thickTop="1">
      <c r="F21" s="51">
        <f>'CAPITAL COST'!E40*100000</f>
        <v>0</v>
      </c>
    </row>
  </sheetData>
  <mergeCells count="3">
    <mergeCell ref="C5:E5"/>
    <mergeCell ref="C4:D4"/>
    <mergeCell ref="C2:D2"/>
  </mergeCells>
  <phoneticPr fontId="2" type="noConversion"/>
  <pageMargins left="0.47244094488188981" right="0.11811023622047245" top="0.59055118110236227" bottom="0.15748031496062992" header="0.23622047244094491" footer="0.19685039370078741"/>
  <pageSetup paperSize="9" scale="88" orientation="portrait" r:id="rId1"/>
  <headerFooter alignWithMargins="0">
    <oddHeader>&amp;RHOTEL CITY WALK INTERNATIONAL
GUWAHATI</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5DD2-13CA-419A-BFCB-89A6B8AD1A4F}">
  <sheetPr>
    <tabColor rgb="FF92D050"/>
  </sheetPr>
  <dimension ref="A2:R83"/>
  <sheetViews>
    <sheetView view="pageBreakPreview" zoomScale="104" zoomScaleNormal="100" zoomScaleSheetLayoutView="90" zoomScalePageLayoutView="40" workbookViewId="0">
      <selection activeCell="F34" sqref="F34:G40"/>
    </sheetView>
  </sheetViews>
  <sheetFormatPr defaultRowHeight="12.75"/>
  <cols>
    <col min="1" max="1" width="9.140625" style="67"/>
    <col min="2" max="2" width="13" style="67" customWidth="1"/>
    <col min="3" max="3" width="12.42578125" style="67" bestFit="1" customWidth="1"/>
    <col min="4" max="4" width="11.140625" style="67" customWidth="1"/>
    <col min="5" max="5" width="14.140625" style="67" bestFit="1" customWidth="1"/>
    <col min="6" max="6" width="12" style="67" bestFit="1" customWidth="1"/>
    <col min="7" max="7" width="10.140625" style="67" bestFit="1" customWidth="1"/>
    <col min="8" max="8" width="14" style="67" bestFit="1" customWidth="1"/>
    <col min="9" max="9" width="13.140625" style="67" bestFit="1" customWidth="1"/>
    <col min="10" max="10" width="8.85546875" style="67" bestFit="1" customWidth="1"/>
    <col min="11" max="11" width="10" style="67" bestFit="1" customWidth="1"/>
    <col min="12" max="12" width="9.28515625" style="67" customWidth="1"/>
    <col min="13" max="13" width="11.5703125" style="67" hidden="1" customWidth="1"/>
    <col min="14" max="14" width="9.140625" style="67" hidden="1" customWidth="1"/>
    <col min="15" max="16384" width="9.140625" style="67"/>
  </cols>
  <sheetData>
    <row r="2" spans="1:10">
      <c r="E2" s="673">
        <v>39</v>
      </c>
    </row>
    <row r="4" spans="1:10">
      <c r="A4" s="1038" t="s">
        <v>662</v>
      </c>
      <c r="B4" s="1038"/>
      <c r="C4" s="1038"/>
      <c r="D4" s="1038"/>
      <c r="E4" s="1038"/>
      <c r="F4" s="1038"/>
      <c r="G4" s="1038"/>
      <c r="H4" s="1038"/>
    </row>
    <row r="5" spans="1:10">
      <c r="A5" s="1038" t="s">
        <v>663</v>
      </c>
      <c r="B5" s="1038"/>
      <c r="C5" s="1038"/>
      <c r="D5" s="1038"/>
      <c r="E5" s="1038"/>
      <c r="F5" s="1038"/>
      <c r="G5" s="1038"/>
      <c r="H5" s="1038"/>
    </row>
    <row r="6" spans="1:10">
      <c r="A6" s="1038" t="s">
        <v>664</v>
      </c>
      <c r="B6" s="1038"/>
      <c r="C6" s="1038"/>
      <c r="D6" s="1038"/>
      <c r="E6" s="1038"/>
      <c r="F6" s="1038"/>
      <c r="G6" s="1038"/>
      <c r="H6" s="1038"/>
    </row>
    <row r="7" spans="1:10">
      <c r="A7" s="995"/>
      <c r="B7" s="995"/>
      <c r="C7" s="995"/>
      <c r="D7" s="995"/>
      <c r="E7" s="995"/>
      <c r="F7" s="995"/>
      <c r="G7" s="995"/>
      <c r="H7" s="995"/>
    </row>
    <row r="8" spans="1:10" ht="3.75" customHeight="1">
      <c r="A8" s="285"/>
      <c r="B8" s="285"/>
      <c r="C8" s="285"/>
      <c r="D8" s="285"/>
      <c r="E8" s="285"/>
      <c r="F8" s="285"/>
      <c r="G8" s="285"/>
      <c r="H8" s="285"/>
    </row>
    <row r="9" spans="1:10">
      <c r="A9" s="6" t="s">
        <v>665</v>
      </c>
    </row>
    <row r="10" spans="1:10" ht="38.25">
      <c r="A10" s="1092" t="s">
        <v>666</v>
      </c>
      <c r="B10" s="1092"/>
      <c r="C10" s="1092"/>
      <c r="D10" s="1010" t="s">
        <v>667</v>
      </c>
      <c r="E10" s="1010" t="s">
        <v>668</v>
      </c>
      <c r="F10" s="1010" t="s">
        <v>669</v>
      </c>
      <c r="G10" s="1010" t="s">
        <v>670</v>
      </c>
      <c r="H10" s="1010" t="s">
        <v>671</v>
      </c>
      <c r="I10" s="1010" t="s">
        <v>672</v>
      </c>
      <c r="J10" s="286"/>
    </row>
    <row r="12" spans="1:10">
      <c r="A12" s="72"/>
      <c r="B12" s="57"/>
      <c r="C12" s="57"/>
      <c r="D12" s="279">
        <f>D14+D15+D16+D17</f>
        <v>195</v>
      </c>
    </row>
    <row r="13" spans="1:10">
      <c r="A13" s="72" t="s">
        <v>673</v>
      </c>
      <c r="D13" s="139"/>
    </row>
    <row r="14" spans="1:10">
      <c r="D14" s="139"/>
      <c r="E14" s="139"/>
      <c r="F14" s="139"/>
    </row>
    <row r="15" spans="1:10">
      <c r="A15" s="67" t="s">
        <v>674</v>
      </c>
      <c r="D15" s="139">
        <v>190</v>
      </c>
      <c r="E15" s="139">
        <v>2</v>
      </c>
      <c r="F15" s="139">
        <f>E15*D15</f>
        <v>380</v>
      </c>
      <c r="G15" s="67">
        <v>5000</v>
      </c>
      <c r="H15" s="67">
        <f>D15*365</f>
        <v>69350</v>
      </c>
      <c r="I15" s="67">
        <f>G15*D15*365/100000</f>
        <v>3467.5</v>
      </c>
    </row>
    <row r="16" spans="1:10">
      <c r="A16" s="67" t="s">
        <v>675</v>
      </c>
      <c r="D16" s="139">
        <v>4</v>
      </c>
      <c r="E16" s="139">
        <v>2</v>
      </c>
      <c r="F16" s="139">
        <f>E16*D16</f>
        <v>8</v>
      </c>
      <c r="G16" s="67">
        <v>10000</v>
      </c>
      <c r="H16" s="67">
        <f>D16*365</f>
        <v>1460</v>
      </c>
      <c r="I16" s="67">
        <f>G16*D16*365/100000</f>
        <v>146</v>
      </c>
    </row>
    <row r="17" spans="1:11">
      <c r="A17" s="67" t="s">
        <v>676</v>
      </c>
      <c r="D17" s="139">
        <v>1</v>
      </c>
      <c r="E17" s="139">
        <v>2</v>
      </c>
      <c r="F17" s="139">
        <f>E17*D17</f>
        <v>2</v>
      </c>
      <c r="G17" s="67">
        <v>15000</v>
      </c>
      <c r="H17" s="67">
        <f>D17*365</f>
        <v>365</v>
      </c>
      <c r="I17" s="67">
        <f>G17*D17*365/100000</f>
        <v>54.75</v>
      </c>
    </row>
    <row r="18" spans="1:11" hidden="1">
      <c r="D18" s="139"/>
      <c r="E18" s="139"/>
      <c r="F18" s="139"/>
    </row>
    <row r="19" spans="1:11" hidden="1">
      <c r="D19" s="139"/>
      <c r="E19" s="139"/>
      <c r="F19" s="139"/>
    </row>
    <row r="20" spans="1:11" hidden="1">
      <c r="D20" s="139"/>
      <c r="E20" s="139"/>
      <c r="F20" s="139"/>
    </row>
    <row r="21" spans="1:11" hidden="1">
      <c r="D21" s="139"/>
      <c r="E21" s="139"/>
      <c r="F21" s="139"/>
    </row>
    <row r="22" spans="1:11" hidden="1">
      <c r="D22" s="139"/>
      <c r="E22" s="139"/>
      <c r="F22" s="139"/>
    </row>
    <row r="23" spans="1:11" hidden="1">
      <c r="D23" s="139"/>
    </row>
    <row r="24" spans="1:11" hidden="1"/>
    <row r="25" spans="1:11" ht="13.5" thickBot="1">
      <c r="A25" s="66" t="s">
        <v>677</v>
      </c>
      <c r="B25" s="90"/>
      <c r="C25" s="90"/>
      <c r="D25" s="90"/>
      <c r="E25" s="90"/>
      <c r="F25" s="669">
        <f>SUM(F14:F24)</f>
        <v>390</v>
      </c>
      <c r="G25" s="90"/>
      <c r="H25" s="90">
        <f>SUM(H12:H24)</f>
        <v>71175</v>
      </c>
      <c r="I25" s="90">
        <f>SUM(I12:I24)</f>
        <v>3668.25</v>
      </c>
      <c r="K25" s="280"/>
    </row>
    <row r="26" spans="1:11" ht="13.5" thickTop="1">
      <c r="A26" s="950" t="s">
        <v>678</v>
      </c>
    </row>
    <row r="27" spans="1:11" ht="10.5" customHeight="1"/>
    <row r="28" spans="1:11" hidden="1"/>
    <row r="29" spans="1:11" hidden="1"/>
    <row r="30" spans="1:11" hidden="1"/>
    <row r="32" spans="1:11">
      <c r="A32" s="72" t="s">
        <v>679</v>
      </c>
    </row>
    <row r="33" spans="1:15" ht="29.25" customHeight="1">
      <c r="A33" s="281"/>
      <c r="B33" s="282"/>
      <c r="C33" s="282"/>
      <c r="D33" s="282"/>
      <c r="E33" s="282"/>
      <c r="F33" s="172" t="s">
        <v>680</v>
      </c>
      <c r="G33" s="172" t="s">
        <v>681</v>
      </c>
      <c r="H33" s="666" t="s">
        <v>682</v>
      </c>
      <c r="I33" s="172" t="s">
        <v>683</v>
      </c>
      <c r="J33" s="172" t="s">
        <v>602</v>
      </c>
      <c r="K33" s="666" t="str">
        <f>L45</f>
        <v>Spa &amp; Saloon</v>
      </c>
    </row>
    <row r="34" spans="1:15">
      <c r="A34" s="67" t="s">
        <v>684</v>
      </c>
      <c r="F34" s="287">
        <v>0.15</v>
      </c>
      <c r="G34" s="287">
        <v>0.2</v>
      </c>
      <c r="H34" s="287">
        <v>0.2</v>
      </c>
      <c r="I34" s="287">
        <v>0.4</v>
      </c>
      <c r="J34" s="287">
        <v>0.5</v>
      </c>
      <c r="K34" s="287">
        <v>0.1</v>
      </c>
    </row>
    <row r="35" spans="1:15">
      <c r="A35" s="67" t="s">
        <v>685</v>
      </c>
      <c r="F35" s="67">
        <f>ROUND(F34*F25,0)</f>
        <v>59</v>
      </c>
      <c r="G35" s="67">
        <f>ROUND(G34*F25,0)</f>
        <v>78</v>
      </c>
      <c r="H35" s="67">
        <f>ROUND(H34*$F$25,0)</f>
        <v>78</v>
      </c>
      <c r="I35" s="67">
        <f>ROUND(I34*$F$25,0)</f>
        <v>156</v>
      </c>
      <c r="J35" s="67">
        <f>ROUND(J34*$F$25,0)</f>
        <v>195</v>
      </c>
      <c r="K35" s="67">
        <f>ROUND(K34*$F$25,0)</f>
        <v>39</v>
      </c>
    </row>
    <row r="36" spans="1:15">
      <c r="A36" s="67" t="s">
        <v>686</v>
      </c>
      <c r="F36" s="287">
        <v>1.25</v>
      </c>
      <c r="G36" s="287">
        <v>1.5</v>
      </c>
      <c r="H36" s="287">
        <v>2</v>
      </c>
      <c r="I36" s="287">
        <v>1.5</v>
      </c>
      <c r="J36" s="287">
        <v>1.5</v>
      </c>
      <c r="K36" s="287">
        <v>1</v>
      </c>
    </row>
    <row r="37" spans="1:15">
      <c r="A37" s="67" t="s">
        <v>687</v>
      </c>
      <c r="F37" s="67">
        <f>F36*F35</f>
        <v>73.75</v>
      </c>
      <c r="G37" s="67">
        <f>G36*G35</f>
        <v>117</v>
      </c>
      <c r="H37" s="67">
        <f>H36*H35</f>
        <v>156</v>
      </c>
      <c r="I37" s="67">
        <f>ROUND(I36*I35,0)</f>
        <v>234</v>
      </c>
      <c r="J37" s="67">
        <f>ROUND(J36*J35,0)</f>
        <v>293</v>
      </c>
      <c r="K37" s="67">
        <f>K36*K35</f>
        <v>39</v>
      </c>
    </row>
    <row r="38" spans="1:15">
      <c r="A38" s="57" t="s">
        <v>688</v>
      </c>
      <c r="B38" s="57"/>
      <c r="C38" s="57"/>
      <c r="D38" s="57"/>
      <c r="E38" s="57"/>
      <c r="F38" s="57">
        <f t="shared" ref="F38:K38" si="0">F35+F37</f>
        <v>132.75</v>
      </c>
      <c r="G38" s="57">
        <f t="shared" si="0"/>
        <v>195</v>
      </c>
      <c r="H38" s="57">
        <f t="shared" si="0"/>
        <v>234</v>
      </c>
      <c r="I38" s="57">
        <f t="shared" si="0"/>
        <v>390</v>
      </c>
      <c r="J38" s="57">
        <f t="shared" si="0"/>
        <v>488</v>
      </c>
      <c r="K38" s="57">
        <f t="shared" si="0"/>
        <v>78</v>
      </c>
    </row>
    <row r="40" spans="1:15">
      <c r="A40" s="57" t="s">
        <v>689</v>
      </c>
      <c r="K40" s="667" t="s">
        <v>690</v>
      </c>
    </row>
    <row r="41" spans="1:15">
      <c r="A41" s="67" t="s">
        <v>684</v>
      </c>
      <c r="F41" s="67">
        <f>200/2</f>
        <v>100</v>
      </c>
      <c r="G41" s="67">
        <f>300/2</f>
        <v>150</v>
      </c>
      <c r="H41" s="67">
        <f>150/2</f>
        <v>75</v>
      </c>
      <c r="I41" s="67">
        <f>400/2</f>
        <v>200</v>
      </c>
      <c r="J41" s="67">
        <f>300/2</f>
        <v>150</v>
      </c>
      <c r="K41" s="67">
        <f>500/4</f>
        <v>125</v>
      </c>
    </row>
    <row r="42" spans="1:15">
      <c r="A42" s="67" t="s">
        <v>691</v>
      </c>
      <c r="F42" s="67">
        <f>250/2</f>
        <v>125</v>
      </c>
      <c r="G42" s="67">
        <f>350/2</f>
        <v>175</v>
      </c>
      <c r="H42" s="67">
        <f>200/2</f>
        <v>100</v>
      </c>
      <c r="I42" s="67">
        <f>450/2</f>
        <v>225</v>
      </c>
      <c r="J42" s="67">
        <f>350/2</f>
        <v>175</v>
      </c>
      <c r="K42" s="67">
        <f>550/5</f>
        <v>110</v>
      </c>
    </row>
    <row r="44" spans="1:15" ht="5.25" customHeight="1"/>
    <row r="45" spans="1:15" ht="25.5">
      <c r="A45" s="173" t="s">
        <v>692</v>
      </c>
      <c r="B45" s="179"/>
      <c r="C45" s="61"/>
      <c r="D45" s="282"/>
      <c r="E45" s="283"/>
      <c r="F45" s="141"/>
      <c r="G45" s="172" t="s">
        <v>680</v>
      </c>
      <c r="H45" s="172" t="s">
        <v>681</v>
      </c>
      <c r="I45" s="666" t="str">
        <f>H33</f>
        <v>Coffee Shop cum Bakery</v>
      </c>
      <c r="J45" s="172" t="s">
        <v>683</v>
      </c>
      <c r="K45" s="172" t="s">
        <v>602</v>
      </c>
      <c r="L45" s="666" t="s">
        <v>693</v>
      </c>
      <c r="O45" s="172" t="s">
        <v>87</v>
      </c>
    </row>
    <row r="46" spans="1:15">
      <c r="A46" s="67" t="s">
        <v>684</v>
      </c>
      <c r="G46" s="668">
        <f t="shared" ref="G46:L46" si="1">F35*F41*365/100000</f>
        <v>21.535</v>
      </c>
      <c r="H46" s="668">
        <f t="shared" si="1"/>
        <v>42.704999999999998</v>
      </c>
      <c r="I46" s="668">
        <f t="shared" si="1"/>
        <v>21.352499999999999</v>
      </c>
      <c r="J46" s="668">
        <f t="shared" si="1"/>
        <v>113.88</v>
      </c>
      <c r="K46" s="668">
        <f t="shared" si="1"/>
        <v>106.7625</v>
      </c>
      <c r="L46" s="668">
        <f t="shared" si="1"/>
        <v>17.793749999999999</v>
      </c>
      <c r="O46" s="668">
        <f>SUM(G46:N46)</f>
        <v>324.02875</v>
      </c>
    </row>
    <row r="47" spans="1:15">
      <c r="A47" s="67" t="s">
        <v>691</v>
      </c>
      <c r="G47" s="668">
        <f t="shared" ref="G47:L47" si="2">F37*F42*365/100000</f>
        <v>33.6484375</v>
      </c>
      <c r="H47" s="668">
        <f t="shared" si="2"/>
        <v>74.733750000000001</v>
      </c>
      <c r="I47" s="668">
        <f t="shared" si="2"/>
        <v>56.94</v>
      </c>
      <c r="J47" s="668">
        <f t="shared" si="2"/>
        <v>192.17250000000001</v>
      </c>
      <c r="K47" s="668">
        <f t="shared" si="2"/>
        <v>187.15375</v>
      </c>
      <c r="L47" s="668">
        <f t="shared" si="2"/>
        <v>15.6585</v>
      </c>
      <c r="O47" s="668">
        <f>SUM(G47:N47)</f>
        <v>560.3069375</v>
      </c>
    </row>
    <row r="49" spans="1:15" ht="13.5" thickBot="1">
      <c r="A49" s="66" t="s">
        <v>694</v>
      </c>
      <c r="B49" s="90"/>
      <c r="C49" s="90"/>
      <c r="D49" s="90"/>
      <c r="E49" s="90"/>
      <c r="F49" s="90"/>
      <c r="G49" s="66">
        <f t="shared" ref="G49:L49" si="3">SUM(G46:G48)</f>
        <v>55.183437499999997</v>
      </c>
      <c r="H49" s="66">
        <f t="shared" si="3"/>
        <v>117.43875</v>
      </c>
      <c r="I49" s="66">
        <f t="shared" si="3"/>
        <v>78.29249999999999</v>
      </c>
      <c r="J49" s="66">
        <f t="shared" si="3"/>
        <v>306.05250000000001</v>
      </c>
      <c r="K49" s="66">
        <f t="shared" si="3"/>
        <v>293.91624999999999</v>
      </c>
      <c r="L49" s="66">
        <f t="shared" si="3"/>
        <v>33.452249999999999</v>
      </c>
      <c r="O49" s="66">
        <f>SUM(O46:O48)</f>
        <v>884.33568749999995</v>
      </c>
    </row>
    <row r="50" spans="1:15" ht="13.5" thickTop="1"/>
    <row r="52" spans="1:15">
      <c r="E52" s="673">
        <v>40</v>
      </c>
      <c r="F52" s="676"/>
      <c r="G52" s="676"/>
      <c r="H52" s="676"/>
      <c r="J52" s="676"/>
      <c r="K52" s="676"/>
      <c r="L52" s="676"/>
    </row>
    <row r="53" spans="1:15">
      <c r="E53" s="676"/>
      <c r="F53" s="676"/>
      <c r="G53" s="676"/>
      <c r="H53" s="676"/>
      <c r="I53" s="676"/>
      <c r="J53" s="676"/>
      <c r="K53" s="676"/>
      <c r="L53" s="676"/>
    </row>
    <row r="54" spans="1:15">
      <c r="E54" s="1093" t="s">
        <v>695</v>
      </c>
      <c r="F54" s="1093"/>
      <c r="G54" s="1093"/>
      <c r="H54" s="1093"/>
      <c r="I54" s="1093"/>
      <c r="J54" s="1093"/>
      <c r="K54" s="1093"/>
      <c r="L54" s="1093"/>
    </row>
    <row r="56" spans="1:15">
      <c r="A56" s="57" t="s">
        <v>696</v>
      </c>
    </row>
    <row r="57" spans="1:15">
      <c r="A57" s="57"/>
    </row>
    <row r="58" spans="1:15">
      <c r="A58" s="67" t="s">
        <v>149</v>
      </c>
      <c r="E58" s="67">
        <f>I25</f>
        <v>3668.25</v>
      </c>
    </row>
    <row r="59" spans="1:15">
      <c r="A59" s="67" t="s">
        <v>143</v>
      </c>
      <c r="E59" s="67">
        <f>O49</f>
        <v>884.33568749999995</v>
      </c>
    </row>
    <row r="60" spans="1:15">
      <c r="A60" s="67" t="s">
        <v>144</v>
      </c>
      <c r="E60" s="67">
        <f>500*130*300/100000</f>
        <v>195</v>
      </c>
    </row>
    <row r="61" spans="1:15">
      <c r="A61" s="67" t="s">
        <v>697</v>
      </c>
      <c r="E61" s="67">
        <f>8000*300/100000</f>
        <v>24</v>
      </c>
    </row>
    <row r="62" spans="1:15">
      <c r="A62" s="67" t="s">
        <v>698</v>
      </c>
      <c r="E62" s="67">
        <f>(F25*0.15*500*300)/100000</f>
        <v>87.75</v>
      </c>
    </row>
    <row r="63" spans="1:15">
      <c r="A63" s="67" t="s">
        <v>145</v>
      </c>
      <c r="E63" s="67">
        <f>30*500*300/100000</f>
        <v>45</v>
      </c>
    </row>
    <row r="65" spans="1:18">
      <c r="A65" s="57" t="s">
        <v>699</v>
      </c>
      <c r="B65" s="57"/>
      <c r="C65" s="57"/>
      <c r="D65" s="57"/>
      <c r="E65" s="57">
        <f>SUM(E57:E63)</f>
        <v>4904.3356874999999</v>
      </c>
    </row>
    <row r="67" spans="1:18">
      <c r="A67" s="67" t="s">
        <v>700</v>
      </c>
      <c r="E67" s="67">
        <f>E65/97.5*2.5</f>
        <v>125.7521971153846</v>
      </c>
    </row>
    <row r="69" spans="1:18">
      <c r="A69" s="67" t="s">
        <v>701</v>
      </c>
      <c r="E69" s="67">
        <f>E65+E67</f>
        <v>5030.0878846153846</v>
      </c>
    </row>
    <row r="71" spans="1:18" ht="13.5" thickBot="1">
      <c r="A71" s="57" t="s">
        <v>702</v>
      </c>
      <c r="E71" s="454">
        <f>'P  L '!D18</f>
        <v>0.4</v>
      </c>
      <c r="F71" s="454">
        <f>'P  L '!E18</f>
        <v>0.4</v>
      </c>
      <c r="G71" s="454">
        <f>'P  L '!F18</f>
        <v>0.45</v>
      </c>
      <c r="H71" s="454">
        <f>'P  L '!G18</f>
        <v>0.5</v>
      </c>
      <c r="I71" s="454">
        <f>'P  L '!H18</f>
        <v>0.55000000000000004</v>
      </c>
      <c r="J71" s="454">
        <f>'P  L '!I18</f>
        <v>0.60000000000000009</v>
      </c>
      <c r="K71" s="454">
        <f>'P  L '!J18</f>
        <v>0.65000000000000013</v>
      </c>
      <c r="L71" s="454">
        <f>'P  L '!K18</f>
        <v>0.70000000000000018</v>
      </c>
      <c r="M71" s="454">
        <f>'P  L '!L18</f>
        <v>0.6</v>
      </c>
      <c r="N71" s="454">
        <f>'P  L '!M18</f>
        <v>0.6</v>
      </c>
      <c r="O71" s="454"/>
      <c r="P71" s="876"/>
      <c r="Q71" s="876"/>
      <c r="R71" s="876"/>
    </row>
    <row r="72" spans="1:18" ht="13.5" thickTop="1">
      <c r="A72" s="67" t="s">
        <v>93</v>
      </c>
      <c r="E72" s="288">
        <v>1</v>
      </c>
      <c r="F72" s="288">
        <v>2</v>
      </c>
      <c r="G72" s="288">
        <v>3</v>
      </c>
      <c r="H72" s="288">
        <v>4</v>
      </c>
      <c r="I72" s="288">
        <v>5</v>
      </c>
      <c r="J72" s="288">
        <v>6</v>
      </c>
      <c r="K72" s="288">
        <v>7</v>
      </c>
      <c r="L72" s="288">
        <v>8</v>
      </c>
      <c r="M72" s="288">
        <v>9</v>
      </c>
      <c r="N72" s="288">
        <v>10</v>
      </c>
      <c r="O72" s="288"/>
      <c r="P72" s="288"/>
      <c r="Q72" s="288"/>
      <c r="R72" s="288"/>
    </row>
    <row r="73" spans="1:18">
      <c r="C73" s="287"/>
      <c r="D73" s="287"/>
      <c r="E73" s="995"/>
    </row>
    <row r="74" spans="1:18">
      <c r="A74" s="67" t="s">
        <v>149</v>
      </c>
      <c r="C74" s="289">
        <f t="shared" ref="C74:C80" si="4">E74/$E$81</f>
        <v>0.72926161215182927</v>
      </c>
      <c r="D74" s="289"/>
      <c r="E74" s="285">
        <f t="shared" ref="E74:E79" si="5">E58</f>
        <v>3668.25</v>
      </c>
      <c r="F74" s="285">
        <f t="shared" ref="F74:F80" si="6">E74*(1+D74)</f>
        <v>3668.25</v>
      </c>
      <c r="G74" s="285">
        <f t="shared" ref="G74:G80" si="7">F74*(1+D74)</f>
        <v>3668.25</v>
      </c>
      <c r="H74" s="285">
        <f t="shared" ref="H74:H80" si="8">G74*(1+D74)</f>
        <v>3668.25</v>
      </c>
      <c r="I74" s="285">
        <f t="shared" ref="I74:I80" si="9">H74*(1+D74)</f>
        <v>3668.25</v>
      </c>
      <c r="J74" s="285">
        <f t="shared" ref="J74:J80" si="10">I74*(1+D74)</f>
        <v>3668.25</v>
      </c>
      <c r="K74" s="285">
        <f t="shared" ref="K74:K80" si="11">J74*(1+D74)</f>
        <v>3668.25</v>
      </c>
      <c r="L74" s="285">
        <f t="shared" ref="L74:L80" si="12">K74*(1+D74)</f>
        <v>3668.25</v>
      </c>
      <c r="M74" s="285">
        <f>L74</f>
        <v>3668.25</v>
      </c>
      <c r="N74" s="285">
        <f>M74</f>
        <v>3668.25</v>
      </c>
      <c r="O74" s="285"/>
      <c r="P74" s="285"/>
      <c r="Q74" s="285"/>
      <c r="R74" s="285"/>
    </row>
    <row r="75" spans="1:18">
      <c r="A75" s="67" t="s">
        <v>143</v>
      </c>
      <c r="C75" s="289">
        <f t="shared" si="4"/>
        <v>0.17580919216237886</v>
      </c>
      <c r="D75" s="289"/>
      <c r="E75" s="285">
        <f>E59</f>
        <v>884.33568749999995</v>
      </c>
      <c r="F75" s="285">
        <f t="shared" si="6"/>
        <v>884.33568749999995</v>
      </c>
      <c r="G75" s="285">
        <f t="shared" si="7"/>
        <v>884.33568749999995</v>
      </c>
      <c r="H75" s="285">
        <f t="shared" si="8"/>
        <v>884.33568749999995</v>
      </c>
      <c r="I75" s="285">
        <f t="shared" si="9"/>
        <v>884.33568749999995</v>
      </c>
      <c r="J75" s="285">
        <f t="shared" si="10"/>
        <v>884.33568749999995</v>
      </c>
      <c r="K75" s="285">
        <f t="shared" si="11"/>
        <v>884.33568749999995</v>
      </c>
      <c r="L75" s="285">
        <f t="shared" si="12"/>
        <v>884.33568749999995</v>
      </c>
      <c r="M75" s="285">
        <f t="shared" ref="M75:M80" si="13">L75</f>
        <v>884.33568749999995</v>
      </c>
      <c r="N75" s="285">
        <f t="shared" ref="N75:N80" si="14">M75</f>
        <v>884.33568749999995</v>
      </c>
      <c r="O75" s="285"/>
      <c r="P75" s="285"/>
      <c r="Q75" s="285"/>
      <c r="R75" s="285"/>
    </row>
    <row r="76" spans="1:18">
      <c r="A76" s="67" t="s">
        <v>144</v>
      </c>
      <c r="C76" s="289">
        <f t="shared" si="4"/>
        <v>3.8766718290630872E-2</v>
      </c>
      <c r="D76" s="289"/>
      <c r="E76" s="285">
        <f t="shared" si="5"/>
        <v>195</v>
      </c>
      <c r="F76" s="285">
        <f t="shared" si="6"/>
        <v>195</v>
      </c>
      <c r="G76" s="285">
        <f t="shared" si="7"/>
        <v>195</v>
      </c>
      <c r="H76" s="285">
        <f t="shared" si="8"/>
        <v>195</v>
      </c>
      <c r="I76" s="285">
        <f t="shared" si="9"/>
        <v>195</v>
      </c>
      <c r="J76" s="285">
        <f t="shared" si="10"/>
        <v>195</v>
      </c>
      <c r="K76" s="285">
        <f t="shared" si="11"/>
        <v>195</v>
      </c>
      <c r="L76" s="285">
        <f t="shared" si="12"/>
        <v>195</v>
      </c>
      <c r="M76" s="285">
        <f t="shared" si="13"/>
        <v>195</v>
      </c>
      <c r="N76" s="285">
        <f t="shared" si="14"/>
        <v>195</v>
      </c>
      <c r="O76" s="285"/>
      <c r="P76" s="285"/>
      <c r="Q76" s="285"/>
      <c r="R76" s="285"/>
    </row>
    <row r="77" spans="1:18">
      <c r="A77" s="67" t="str">
        <f>A61</f>
        <v>Fitness Centre</v>
      </c>
      <c r="C77" s="289">
        <f t="shared" si="4"/>
        <v>4.7712884050007233E-3</v>
      </c>
      <c r="D77" s="289"/>
      <c r="E77" s="285">
        <f t="shared" si="5"/>
        <v>24</v>
      </c>
      <c r="F77" s="285">
        <f t="shared" si="6"/>
        <v>24</v>
      </c>
      <c r="G77" s="285">
        <f t="shared" si="7"/>
        <v>24</v>
      </c>
      <c r="H77" s="285">
        <f t="shared" si="8"/>
        <v>24</v>
      </c>
      <c r="I77" s="285">
        <f t="shared" si="9"/>
        <v>24</v>
      </c>
      <c r="J77" s="285">
        <f t="shared" si="10"/>
        <v>24</v>
      </c>
      <c r="K77" s="285">
        <f t="shared" si="11"/>
        <v>24</v>
      </c>
      <c r="L77" s="285">
        <f t="shared" si="12"/>
        <v>24</v>
      </c>
      <c r="M77" s="285">
        <f>L77</f>
        <v>24</v>
      </c>
      <c r="N77" s="285">
        <f t="shared" si="14"/>
        <v>24</v>
      </c>
      <c r="O77" s="285"/>
      <c r="P77" s="285"/>
      <c r="Q77" s="285"/>
      <c r="R77" s="285"/>
    </row>
    <row r="78" spans="1:18">
      <c r="A78" s="67" t="str">
        <f>A62</f>
        <v>Game Parlour</v>
      </c>
      <c r="C78" s="289">
        <f t="shared" si="4"/>
        <v>1.7445023230783892E-2</v>
      </c>
      <c r="D78" s="289"/>
      <c r="E78" s="285">
        <f t="shared" si="5"/>
        <v>87.75</v>
      </c>
      <c r="F78" s="285">
        <f t="shared" si="6"/>
        <v>87.75</v>
      </c>
      <c r="G78" s="285">
        <f t="shared" si="7"/>
        <v>87.75</v>
      </c>
      <c r="H78" s="285">
        <f t="shared" si="8"/>
        <v>87.75</v>
      </c>
      <c r="I78" s="285">
        <f t="shared" si="9"/>
        <v>87.75</v>
      </c>
      <c r="J78" s="285">
        <f t="shared" si="10"/>
        <v>87.75</v>
      </c>
      <c r="K78" s="285">
        <f t="shared" si="11"/>
        <v>87.75</v>
      </c>
      <c r="L78" s="285">
        <f t="shared" si="12"/>
        <v>87.75</v>
      </c>
      <c r="M78" s="285">
        <f>L78</f>
        <v>87.75</v>
      </c>
      <c r="N78" s="285">
        <f t="shared" si="14"/>
        <v>87.75</v>
      </c>
      <c r="O78" s="285"/>
      <c r="P78" s="285"/>
      <c r="Q78" s="285"/>
      <c r="R78" s="285"/>
    </row>
    <row r="79" spans="1:18">
      <c r="A79" s="67" t="s">
        <v>145</v>
      </c>
      <c r="C79" s="289">
        <f t="shared" si="4"/>
        <v>8.9461657593763559E-3</v>
      </c>
      <c r="D79" s="289"/>
      <c r="E79" s="285">
        <f t="shared" si="5"/>
        <v>45</v>
      </c>
      <c r="F79" s="285">
        <f t="shared" si="6"/>
        <v>45</v>
      </c>
      <c r="G79" s="285">
        <f t="shared" si="7"/>
        <v>45</v>
      </c>
      <c r="H79" s="285">
        <f t="shared" si="8"/>
        <v>45</v>
      </c>
      <c r="I79" s="285">
        <f t="shared" si="9"/>
        <v>45</v>
      </c>
      <c r="J79" s="285">
        <f t="shared" si="10"/>
        <v>45</v>
      </c>
      <c r="K79" s="285">
        <f t="shared" si="11"/>
        <v>45</v>
      </c>
      <c r="L79" s="285">
        <f t="shared" si="12"/>
        <v>45</v>
      </c>
      <c r="M79" s="285">
        <f t="shared" si="13"/>
        <v>45</v>
      </c>
      <c r="N79" s="285">
        <f t="shared" si="14"/>
        <v>45</v>
      </c>
      <c r="O79" s="285"/>
      <c r="P79" s="285"/>
      <c r="Q79" s="285"/>
      <c r="R79" s="285"/>
    </row>
    <row r="80" spans="1:18">
      <c r="A80" s="67" t="s">
        <v>146</v>
      </c>
      <c r="C80" s="289">
        <f t="shared" si="4"/>
        <v>2.4999999999999998E-2</v>
      </c>
      <c r="D80" s="289"/>
      <c r="E80" s="285">
        <f>+E67</f>
        <v>125.7521971153846</v>
      </c>
      <c r="F80" s="285">
        <f t="shared" si="6"/>
        <v>125.7521971153846</v>
      </c>
      <c r="G80" s="285">
        <f t="shared" si="7"/>
        <v>125.7521971153846</v>
      </c>
      <c r="H80" s="285">
        <f t="shared" si="8"/>
        <v>125.7521971153846</v>
      </c>
      <c r="I80" s="285">
        <f t="shared" si="9"/>
        <v>125.7521971153846</v>
      </c>
      <c r="J80" s="285">
        <f t="shared" si="10"/>
        <v>125.7521971153846</v>
      </c>
      <c r="K80" s="285">
        <f t="shared" si="11"/>
        <v>125.7521971153846</v>
      </c>
      <c r="L80" s="285">
        <f t="shared" si="12"/>
        <v>125.7521971153846</v>
      </c>
      <c r="M80" s="285">
        <f t="shared" si="13"/>
        <v>125.7521971153846</v>
      </c>
      <c r="N80" s="285">
        <f t="shared" si="14"/>
        <v>125.7521971153846</v>
      </c>
      <c r="O80" s="285"/>
      <c r="P80" s="285"/>
      <c r="Q80" s="285"/>
      <c r="R80" s="285"/>
    </row>
    <row r="81" spans="1:18">
      <c r="A81" s="57" t="s">
        <v>87</v>
      </c>
      <c r="B81" s="57"/>
      <c r="C81" s="284">
        <f>SUM(C74:C80)</f>
        <v>1</v>
      </c>
      <c r="D81" s="284"/>
      <c r="E81" s="995">
        <f>SUM(E74:E80)</f>
        <v>5030.0878846153846</v>
      </c>
      <c r="F81" s="995">
        <f t="shared" ref="F81:N81" si="15">SUM(F74:F80)</f>
        <v>5030.0878846153846</v>
      </c>
      <c r="G81" s="995">
        <f t="shared" si="15"/>
        <v>5030.0878846153846</v>
      </c>
      <c r="H81" s="995">
        <f t="shared" si="15"/>
        <v>5030.0878846153846</v>
      </c>
      <c r="I81" s="995">
        <f t="shared" si="15"/>
        <v>5030.0878846153846</v>
      </c>
      <c r="J81" s="995">
        <f t="shared" si="15"/>
        <v>5030.0878846153846</v>
      </c>
      <c r="K81" s="995">
        <f t="shared" si="15"/>
        <v>5030.0878846153846</v>
      </c>
      <c r="L81" s="995">
        <f t="shared" si="15"/>
        <v>5030.0878846153846</v>
      </c>
      <c r="M81" s="995">
        <f t="shared" si="15"/>
        <v>5030.0878846153846</v>
      </c>
      <c r="N81" s="995">
        <f t="shared" si="15"/>
        <v>5030.0878846153846</v>
      </c>
      <c r="O81" s="995"/>
      <c r="P81" s="995"/>
      <c r="Q81" s="995"/>
      <c r="R81" s="995"/>
    </row>
    <row r="82" spans="1:18">
      <c r="C82" s="287"/>
      <c r="D82" s="287"/>
    </row>
    <row r="83" spans="1:18">
      <c r="A83" s="472" t="s">
        <v>703</v>
      </c>
    </row>
  </sheetData>
  <mergeCells count="5">
    <mergeCell ref="A10:C10"/>
    <mergeCell ref="A6:H6"/>
    <mergeCell ref="A4:H4"/>
    <mergeCell ref="A5:H5"/>
    <mergeCell ref="E54:L54"/>
  </mergeCells>
  <phoneticPr fontId="2" type="noConversion"/>
  <pageMargins left="0.15748031496062992" right="0.11811023622047245" top="0.59055118110236227" bottom="0.15748031496062992" header="0.23622047244094491" footer="0.19685039370078741"/>
  <pageSetup paperSize="9" scale="93" orientation="landscape" r:id="rId1"/>
  <headerFooter alignWithMargins="0">
    <oddHeader>&amp;RHOTEL CITY WALK INTERNATIONAL
GUWAHATI</oddHeader>
  </headerFooter>
  <rowBreaks count="1" manualBreakCount="1">
    <brk id="50" max="15"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4B77-012C-45D6-8A53-C6A92E8B6360}">
  <sheetPr>
    <tabColor rgb="FF92D050"/>
  </sheetPr>
  <dimension ref="A4:R185"/>
  <sheetViews>
    <sheetView view="pageBreakPreview" topLeftCell="A122" zoomScaleNormal="100" zoomScaleSheetLayoutView="100" zoomScalePageLayoutView="40" workbookViewId="0">
      <selection activeCell="E25" sqref="E25"/>
    </sheetView>
  </sheetViews>
  <sheetFormatPr defaultRowHeight="12.75"/>
  <cols>
    <col min="1" max="1" width="9.140625" style="51"/>
    <col min="2" max="2" width="9.5703125" style="139" bestFit="1" customWidth="1"/>
    <col min="3" max="3" width="12.28515625" style="51" bestFit="1" customWidth="1"/>
    <col min="4" max="4" width="10.28515625" style="51" bestFit="1" customWidth="1"/>
    <col min="5" max="5" width="20.85546875" style="51" bestFit="1" customWidth="1"/>
    <col min="6" max="6" width="17.140625" style="51" bestFit="1" customWidth="1"/>
    <col min="7" max="7" width="14.42578125" style="51" customWidth="1"/>
    <col min="8" max="8" width="2.7109375" style="51" customWidth="1"/>
    <col min="9" max="9" width="10.42578125" style="51" bestFit="1" customWidth="1"/>
    <col min="10" max="11" width="12.140625" style="51" bestFit="1" customWidth="1"/>
    <col min="12" max="12" width="10.140625" style="51" customWidth="1"/>
    <col min="13" max="13" width="14" style="51" bestFit="1" customWidth="1"/>
    <col min="14" max="14" width="11.42578125" style="51" bestFit="1" customWidth="1"/>
    <col min="15" max="15" width="9.28515625" style="51" bestFit="1" customWidth="1"/>
    <col min="16" max="16384" width="9.140625" style="51"/>
  </cols>
  <sheetData>
    <row r="4" spans="1:16">
      <c r="E4" s="675">
        <f>Pages!D45</f>
        <v>41</v>
      </c>
    </row>
    <row r="6" spans="1:16">
      <c r="A6" s="1043" t="s">
        <v>704</v>
      </c>
      <c r="B6" s="1043"/>
      <c r="C6" s="1043"/>
      <c r="D6" s="1043"/>
      <c r="E6" s="1043"/>
      <c r="F6" s="1043"/>
      <c r="G6" s="1043"/>
    </row>
    <row r="7" spans="1:16">
      <c r="O7" s="51">
        <v>1</v>
      </c>
      <c r="P7" s="51" t="s">
        <v>705</v>
      </c>
    </row>
    <row r="8" spans="1:16">
      <c r="B8" s="140" t="s">
        <v>706</v>
      </c>
      <c r="C8" s="73"/>
      <c r="D8" s="73"/>
      <c r="E8" s="73"/>
      <c r="F8" s="73"/>
      <c r="G8" s="73"/>
      <c r="O8" s="51">
        <v>2</v>
      </c>
      <c r="P8" s="51" t="s">
        <v>707</v>
      </c>
    </row>
    <row r="9" spans="1:16">
      <c r="B9" s="140"/>
      <c r="C9" s="73"/>
      <c r="D9" s="73"/>
      <c r="E9" s="73"/>
      <c r="F9" s="73"/>
      <c r="G9" s="73"/>
    </row>
    <row r="10" spans="1:16">
      <c r="O10" s="51">
        <v>3</v>
      </c>
      <c r="P10" s="51" t="s">
        <v>708</v>
      </c>
    </row>
    <row r="11" spans="1:16">
      <c r="A11" s="141"/>
      <c r="B11" s="135" t="s">
        <v>709</v>
      </c>
      <c r="C11" s="70" t="s">
        <v>710</v>
      </c>
      <c r="D11" s="70" t="s">
        <v>711</v>
      </c>
      <c r="E11" s="70" t="s">
        <v>712</v>
      </c>
      <c r="F11" s="70" t="s">
        <v>713</v>
      </c>
      <c r="G11" s="70" t="s">
        <v>714</v>
      </c>
      <c r="L11" s="51" t="s">
        <v>715</v>
      </c>
      <c r="M11" s="51" t="s">
        <v>716</v>
      </c>
      <c r="N11" s="51" t="s">
        <v>717</v>
      </c>
      <c r="O11" s="51">
        <v>4</v>
      </c>
      <c r="P11" s="51" t="s">
        <v>718</v>
      </c>
    </row>
    <row r="12" spans="1:16" hidden="1">
      <c r="A12" s="70" t="s">
        <v>719</v>
      </c>
      <c r="B12" s="142">
        <v>4</v>
      </c>
      <c r="C12" s="141">
        <v>0</v>
      </c>
      <c r="D12" s="141">
        <f>C12*0.135/12</f>
        <v>0</v>
      </c>
      <c r="E12" s="141">
        <v>0</v>
      </c>
      <c r="F12" s="141">
        <f>D12+E12</f>
        <v>0</v>
      </c>
      <c r="G12" s="141">
        <f>C12-E12</f>
        <v>0</v>
      </c>
      <c r="N12" s="67">
        <f t="shared" ref="N12:N46" si="0">N13+1</f>
        <v>123</v>
      </c>
      <c r="O12" s="51">
        <v>5</v>
      </c>
      <c r="P12" s="51" t="s">
        <v>720</v>
      </c>
    </row>
    <row r="13" spans="1:16" hidden="1">
      <c r="A13" s="70"/>
      <c r="B13" s="142">
        <f>+B12+1</f>
        <v>5</v>
      </c>
      <c r="C13" s="141">
        <v>0</v>
      </c>
      <c r="D13" s="141">
        <f>C13*0.135/12</f>
        <v>0</v>
      </c>
      <c r="E13" s="141">
        <v>0</v>
      </c>
      <c r="F13" s="141">
        <f>D13+E13</f>
        <v>0</v>
      </c>
      <c r="G13" s="141">
        <f>C13-E13</f>
        <v>0</v>
      </c>
      <c r="N13" s="67">
        <f t="shared" si="0"/>
        <v>122</v>
      </c>
      <c r="O13" s="51">
        <v>6</v>
      </c>
      <c r="P13" s="51" t="s">
        <v>721</v>
      </c>
    </row>
    <row r="14" spans="1:16" hidden="1">
      <c r="A14" s="70"/>
      <c r="B14" s="142">
        <f>+B13+1</f>
        <v>6</v>
      </c>
      <c r="C14" s="141">
        <f>C13</f>
        <v>0</v>
      </c>
      <c r="D14" s="141">
        <f>C14*0.135/12</f>
        <v>0</v>
      </c>
      <c r="E14" s="141">
        <v>0</v>
      </c>
      <c r="F14" s="141">
        <f>D14+E14</f>
        <v>0</v>
      </c>
      <c r="G14" s="141">
        <f>C14-E14</f>
        <v>0</v>
      </c>
      <c r="N14" s="67">
        <f t="shared" si="0"/>
        <v>121</v>
      </c>
      <c r="O14" s="51">
        <v>7</v>
      </c>
      <c r="P14" s="51" t="s">
        <v>722</v>
      </c>
    </row>
    <row r="15" spans="1:16" hidden="1">
      <c r="A15" s="70"/>
      <c r="B15" s="142">
        <f>+B14+1</f>
        <v>7</v>
      </c>
      <c r="C15" s="141">
        <f>C14</f>
        <v>0</v>
      </c>
      <c r="D15" s="141">
        <f>C15*0.135/12</f>
        <v>0</v>
      </c>
      <c r="E15" s="141">
        <v>0</v>
      </c>
      <c r="F15" s="141">
        <f>D15+E15</f>
        <v>0</v>
      </c>
      <c r="G15" s="141">
        <f>C15-E15</f>
        <v>0</v>
      </c>
      <c r="N15" s="67">
        <f>N17+1</f>
        <v>120</v>
      </c>
    </row>
    <row r="16" spans="1:16">
      <c r="A16" s="70"/>
      <c r="B16" s="142"/>
      <c r="C16" s="141"/>
      <c r="D16" s="141"/>
      <c r="E16" s="141"/>
      <c r="F16" s="141"/>
      <c r="G16" s="141"/>
      <c r="N16" s="67"/>
    </row>
    <row r="17" spans="1:14">
      <c r="A17" s="70"/>
      <c r="B17" s="142"/>
      <c r="C17" s="141"/>
      <c r="D17" s="141"/>
      <c r="E17" s="141"/>
      <c r="F17" s="141"/>
      <c r="G17" s="141"/>
      <c r="M17" s="51">
        <v>0</v>
      </c>
      <c r="N17" s="67">
        <f>N31+1</f>
        <v>119</v>
      </c>
    </row>
    <row r="18" spans="1:14">
      <c r="A18" s="70" t="s">
        <v>723</v>
      </c>
      <c r="B18" s="142" t="s">
        <v>724</v>
      </c>
      <c r="C18" s="141">
        <v>0</v>
      </c>
      <c r="D18" s="141">
        <f>C18*0.095/12</f>
        <v>0</v>
      </c>
      <c r="E18" s="141">
        <v>0</v>
      </c>
      <c r="F18" s="141">
        <f>D18+E18</f>
        <v>0</v>
      </c>
      <c r="G18" s="141">
        <f>C18-E18</f>
        <v>0</v>
      </c>
      <c r="N18" s="67"/>
    </row>
    <row r="19" spans="1:14">
      <c r="A19" s="70"/>
      <c r="B19" s="142" t="s">
        <v>707</v>
      </c>
      <c r="C19" s="141">
        <f>G18</f>
        <v>0</v>
      </c>
      <c r="D19" s="141">
        <f t="shared" ref="D19:D82" si="1">C19*0.095/12</f>
        <v>0</v>
      </c>
      <c r="E19" s="141">
        <v>0</v>
      </c>
      <c r="F19" s="141">
        <f>D19+E19</f>
        <v>0</v>
      </c>
      <c r="G19" s="141">
        <f>C19-E19</f>
        <v>0</v>
      </c>
      <c r="N19" s="67"/>
    </row>
    <row r="20" spans="1:14">
      <c r="A20" s="70"/>
      <c r="B20" s="142" t="s">
        <v>708</v>
      </c>
      <c r="C20" s="141">
        <f>G19</f>
        <v>0</v>
      </c>
      <c r="D20" s="141">
        <f t="shared" si="1"/>
        <v>0</v>
      </c>
      <c r="E20" s="141">
        <v>0</v>
      </c>
      <c r="F20" s="141">
        <f>D20+E20</f>
        <v>0</v>
      </c>
      <c r="G20" s="141">
        <f>C20-E20</f>
        <v>0</v>
      </c>
      <c r="N20" s="67"/>
    </row>
    <row r="21" spans="1:14">
      <c r="A21" s="70"/>
      <c r="B21" s="142" t="s">
        <v>718</v>
      </c>
      <c r="C21" s="141">
        <v>200</v>
      </c>
      <c r="D21" s="141">
        <f t="shared" si="1"/>
        <v>1.5833333333333333</v>
      </c>
      <c r="E21" s="141">
        <v>0</v>
      </c>
      <c r="F21" s="141">
        <f t="shared" ref="F21:F29" si="2">D21+E21</f>
        <v>1.5833333333333333</v>
      </c>
      <c r="G21" s="141">
        <f t="shared" ref="G21:G29" si="3">C21-E21</f>
        <v>200</v>
      </c>
      <c r="N21" s="67"/>
    </row>
    <row r="22" spans="1:14">
      <c r="A22" s="70"/>
      <c r="B22" s="142" t="s">
        <v>720</v>
      </c>
      <c r="C22" s="141">
        <f>G21+200</f>
        <v>400</v>
      </c>
      <c r="D22" s="141">
        <f t="shared" si="1"/>
        <v>3.1666666666666665</v>
      </c>
      <c r="E22" s="141">
        <v>0</v>
      </c>
      <c r="F22" s="141">
        <f t="shared" si="2"/>
        <v>3.1666666666666665</v>
      </c>
      <c r="G22" s="141">
        <f t="shared" si="3"/>
        <v>400</v>
      </c>
      <c r="N22" s="67"/>
    </row>
    <row r="23" spans="1:14">
      <c r="A23" s="70"/>
      <c r="B23" s="142" t="s">
        <v>721</v>
      </c>
      <c r="C23" s="141">
        <f t="shared" ref="C23:C30" si="4">G22</f>
        <v>400</v>
      </c>
      <c r="D23" s="141">
        <f t="shared" si="1"/>
        <v>3.1666666666666665</v>
      </c>
      <c r="E23" s="141">
        <v>0</v>
      </c>
      <c r="F23" s="141">
        <f t="shared" si="2"/>
        <v>3.1666666666666665</v>
      </c>
      <c r="G23" s="141">
        <f t="shared" si="3"/>
        <v>400</v>
      </c>
      <c r="N23" s="67"/>
    </row>
    <row r="24" spans="1:14">
      <c r="A24" s="70"/>
      <c r="B24" s="142" t="s">
        <v>722</v>
      </c>
      <c r="C24" s="141">
        <f>G23+200</f>
        <v>600</v>
      </c>
      <c r="D24" s="141">
        <f t="shared" si="1"/>
        <v>4.75</v>
      </c>
      <c r="E24" s="141">
        <v>0</v>
      </c>
      <c r="F24" s="141">
        <f t="shared" si="2"/>
        <v>4.75</v>
      </c>
      <c r="G24" s="141">
        <f t="shared" si="3"/>
        <v>600</v>
      </c>
      <c r="N24" s="67"/>
    </row>
    <row r="25" spans="1:14">
      <c r="A25" s="70"/>
      <c r="B25" s="142" t="s">
        <v>725</v>
      </c>
      <c r="C25" s="141">
        <f t="shared" si="4"/>
        <v>600</v>
      </c>
      <c r="D25" s="141">
        <f t="shared" si="1"/>
        <v>4.75</v>
      </c>
      <c r="E25" s="141">
        <v>0</v>
      </c>
      <c r="F25" s="141">
        <f t="shared" si="2"/>
        <v>4.75</v>
      </c>
      <c r="G25" s="141">
        <f t="shared" si="3"/>
        <v>600</v>
      </c>
      <c r="N25" s="67"/>
    </row>
    <row r="26" spans="1:14">
      <c r="A26" s="70"/>
      <c r="B26" s="142" t="s">
        <v>726</v>
      </c>
      <c r="C26" s="141">
        <f>G25+200</f>
        <v>800</v>
      </c>
      <c r="D26" s="141">
        <f t="shared" si="1"/>
        <v>6.333333333333333</v>
      </c>
      <c r="E26" s="141">
        <v>0</v>
      </c>
      <c r="F26" s="141">
        <f t="shared" si="2"/>
        <v>6.333333333333333</v>
      </c>
      <c r="G26" s="141">
        <f t="shared" si="3"/>
        <v>800</v>
      </c>
      <c r="N26" s="67"/>
    </row>
    <row r="27" spans="1:14">
      <c r="A27" s="70"/>
      <c r="B27" s="142" t="s">
        <v>727</v>
      </c>
      <c r="C27" s="141">
        <f t="shared" si="4"/>
        <v>800</v>
      </c>
      <c r="D27" s="141">
        <f t="shared" si="1"/>
        <v>6.333333333333333</v>
      </c>
      <c r="E27" s="141">
        <v>0</v>
      </c>
      <c r="F27" s="141">
        <f t="shared" si="2"/>
        <v>6.333333333333333</v>
      </c>
      <c r="G27" s="141">
        <f t="shared" si="3"/>
        <v>800</v>
      </c>
      <c r="N27" s="67"/>
    </row>
    <row r="28" spans="1:14">
      <c r="A28" s="70"/>
      <c r="B28" s="142" t="s">
        <v>728</v>
      </c>
      <c r="C28" s="141">
        <f t="shared" si="4"/>
        <v>800</v>
      </c>
      <c r="D28" s="141">
        <f t="shared" si="1"/>
        <v>6.333333333333333</v>
      </c>
      <c r="E28" s="141">
        <v>0</v>
      </c>
      <c r="F28" s="141">
        <f t="shared" si="2"/>
        <v>6.333333333333333</v>
      </c>
      <c r="G28" s="141">
        <f t="shared" si="3"/>
        <v>800</v>
      </c>
      <c r="N28" s="67"/>
    </row>
    <row r="29" spans="1:14">
      <c r="A29" s="70"/>
      <c r="B29" s="142" t="s">
        <v>729</v>
      </c>
      <c r="C29" s="141">
        <f>G28+200</f>
        <v>1000</v>
      </c>
      <c r="D29" s="141">
        <f t="shared" si="1"/>
        <v>7.916666666666667</v>
      </c>
      <c r="E29" s="141">
        <v>0</v>
      </c>
      <c r="F29" s="141">
        <f t="shared" si="2"/>
        <v>7.916666666666667</v>
      </c>
      <c r="G29" s="141">
        <f t="shared" si="3"/>
        <v>1000</v>
      </c>
      <c r="N29" s="67"/>
    </row>
    <row r="30" spans="1:14">
      <c r="A30" s="70" t="s">
        <v>730</v>
      </c>
      <c r="B30" s="142" t="s">
        <v>724</v>
      </c>
      <c r="C30" s="141">
        <f t="shared" si="4"/>
        <v>1000</v>
      </c>
      <c r="D30" s="141">
        <f t="shared" si="1"/>
        <v>7.916666666666667</v>
      </c>
      <c r="E30" s="141">
        <v>0</v>
      </c>
      <c r="F30" s="141">
        <f>D30+E30</f>
        <v>7.916666666666667</v>
      </c>
      <c r="G30" s="141">
        <f>C30-E30</f>
        <v>1000</v>
      </c>
      <c r="N30" s="67"/>
    </row>
    <row r="31" spans="1:14">
      <c r="A31" s="70"/>
      <c r="B31" s="142" t="s">
        <v>707</v>
      </c>
      <c r="C31" s="141">
        <f>C30</f>
        <v>1000</v>
      </c>
      <c r="D31" s="141">
        <f t="shared" si="1"/>
        <v>7.916666666666667</v>
      </c>
      <c r="E31" s="141">
        <v>0</v>
      </c>
      <c r="F31" s="141">
        <f>D31+E31</f>
        <v>7.916666666666667</v>
      </c>
      <c r="G31" s="141">
        <f>C31-E31</f>
        <v>1000</v>
      </c>
      <c r="M31" s="51">
        <f>M17+1</f>
        <v>1</v>
      </c>
      <c r="N31" s="67">
        <f t="shared" si="0"/>
        <v>118</v>
      </c>
    </row>
    <row r="32" spans="1:14">
      <c r="A32" s="70"/>
      <c r="B32" s="142" t="s">
        <v>708</v>
      </c>
      <c r="C32" s="141">
        <f>C31+500</f>
        <v>1500</v>
      </c>
      <c r="D32" s="141">
        <f t="shared" si="1"/>
        <v>11.875</v>
      </c>
      <c r="E32" s="141">
        <v>0</v>
      </c>
      <c r="F32" s="141">
        <f>D32+E32</f>
        <v>11.875</v>
      </c>
      <c r="G32" s="141">
        <f>C32-E32</f>
        <v>1500</v>
      </c>
      <c r="M32" s="51">
        <f t="shared" ref="M32:M52" si="5">M31+1</f>
        <v>2</v>
      </c>
      <c r="N32" s="67">
        <f t="shared" si="0"/>
        <v>117</v>
      </c>
    </row>
    <row r="33" spans="1:14">
      <c r="A33" s="70"/>
      <c r="B33" s="142" t="s">
        <v>718</v>
      </c>
      <c r="C33" s="141">
        <f>C32</f>
        <v>1500</v>
      </c>
      <c r="D33" s="141">
        <f t="shared" si="1"/>
        <v>11.875</v>
      </c>
      <c r="E33" s="141">
        <v>0</v>
      </c>
      <c r="F33" s="141">
        <f>D33+E33</f>
        <v>11.875</v>
      </c>
      <c r="G33" s="141">
        <f>C33-E33</f>
        <v>1500</v>
      </c>
      <c r="I33" s="51" t="s">
        <v>731</v>
      </c>
      <c r="J33" s="51" t="s">
        <v>732</v>
      </c>
      <c r="K33" s="51" t="s">
        <v>733</v>
      </c>
      <c r="M33" s="51">
        <f t="shared" si="5"/>
        <v>3</v>
      </c>
      <c r="N33" s="67">
        <f t="shared" si="0"/>
        <v>116</v>
      </c>
    </row>
    <row r="34" spans="1:14">
      <c r="A34" s="70"/>
      <c r="B34" s="142" t="s">
        <v>720</v>
      </c>
      <c r="C34" s="141">
        <f>C33</f>
        <v>1500</v>
      </c>
      <c r="D34" s="141">
        <f t="shared" si="1"/>
        <v>11.875</v>
      </c>
      <c r="E34" s="141">
        <v>0</v>
      </c>
      <c r="F34" s="141">
        <f>D34+E34</f>
        <v>11.875</v>
      </c>
      <c r="G34" s="141">
        <f>C34-E34</f>
        <v>1500</v>
      </c>
      <c r="I34" s="57">
        <f>SUM(D12:D41)</f>
        <v>231.16666666666663</v>
      </c>
      <c r="J34" s="57">
        <f>SUM(E12:E40)</f>
        <v>0</v>
      </c>
      <c r="K34" s="57">
        <f>SUM(F12:F40)</f>
        <v>209.79166666666663</v>
      </c>
      <c r="L34" s="57"/>
      <c r="M34" s="51">
        <f t="shared" si="5"/>
        <v>4</v>
      </c>
      <c r="N34" s="67">
        <f t="shared" si="0"/>
        <v>115</v>
      </c>
    </row>
    <row r="35" spans="1:14">
      <c r="A35" s="70"/>
      <c r="B35" s="142" t="s">
        <v>721</v>
      </c>
      <c r="C35" s="141">
        <f>C34+500</f>
        <v>2000</v>
      </c>
      <c r="D35" s="141">
        <f t="shared" si="1"/>
        <v>15.833333333333334</v>
      </c>
      <c r="E35" s="141">
        <v>0</v>
      </c>
      <c r="F35" s="141">
        <f t="shared" ref="F35:F46" si="6">D35+E35</f>
        <v>15.833333333333334</v>
      </c>
      <c r="G35" s="141">
        <f t="shared" ref="G35:G46" si="7">C35-E35</f>
        <v>2000</v>
      </c>
      <c r="I35" s="1038" t="s">
        <v>734</v>
      </c>
      <c r="J35" s="1038"/>
      <c r="K35" s="1038"/>
      <c r="L35" s="995"/>
      <c r="M35" s="51">
        <f t="shared" si="5"/>
        <v>5</v>
      </c>
      <c r="N35" s="67">
        <f t="shared" si="0"/>
        <v>114</v>
      </c>
    </row>
    <row r="36" spans="1:14">
      <c r="A36" s="70"/>
      <c r="B36" s="142" t="s">
        <v>722</v>
      </c>
      <c r="C36" s="141">
        <f>C35</f>
        <v>2000</v>
      </c>
      <c r="D36" s="141">
        <f t="shared" si="1"/>
        <v>15.833333333333334</v>
      </c>
      <c r="E36" s="141">
        <v>0</v>
      </c>
      <c r="F36" s="141">
        <f t="shared" si="6"/>
        <v>15.833333333333334</v>
      </c>
      <c r="G36" s="141">
        <f t="shared" si="7"/>
        <v>2000</v>
      </c>
      <c r="I36" s="57"/>
      <c r="J36" s="57"/>
      <c r="K36" s="57"/>
      <c r="L36" s="57"/>
      <c r="M36" s="51">
        <f t="shared" si="5"/>
        <v>6</v>
      </c>
      <c r="N36" s="67">
        <f t="shared" si="0"/>
        <v>113</v>
      </c>
    </row>
    <row r="37" spans="1:14">
      <c r="A37" s="70"/>
      <c r="B37" s="142" t="s">
        <v>725</v>
      </c>
      <c r="C37" s="141">
        <f>C36+500</f>
        <v>2500</v>
      </c>
      <c r="D37" s="141">
        <f t="shared" si="1"/>
        <v>19.791666666666668</v>
      </c>
      <c r="E37" s="141">
        <v>0</v>
      </c>
      <c r="F37" s="141">
        <f t="shared" si="6"/>
        <v>19.791666666666668</v>
      </c>
      <c r="G37" s="141">
        <f t="shared" si="7"/>
        <v>2500</v>
      </c>
      <c r="I37" s="57"/>
      <c r="J37" s="57"/>
      <c r="K37" s="57"/>
      <c r="L37" s="57"/>
      <c r="M37" s="51">
        <f t="shared" si="5"/>
        <v>7</v>
      </c>
      <c r="N37" s="67">
        <f t="shared" si="0"/>
        <v>112</v>
      </c>
    </row>
    <row r="38" spans="1:14">
      <c r="A38" s="70"/>
      <c r="B38" s="142" t="s">
        <v>726</v>
      </c>
      <c r="C38" s="141">
        <f>C37</f>
        <v>2500</v>
      </c>
      <c r="D38" s="141">
        <f t="shared" si="1"/>
        <v>19.791666666666668</v>
      </c>
      <c r="E38" s="141">
        <v>0</v>
      </c>
      <c r="F38" s="141">
        <f t="shared" si="6"/>
        <v>19.791666666666668</v>
      </c>
      <c r="G38" s="141">
        <f t="shared" si="7"/>
        <v>2500</v>
      </c>
      <c r="I38" s="57"/>
      <c r="J38" s="57"/>
      <c r="K38" s="57"/>
      <c r="L38" s="57"/>
      <c r="M38" s="51">
        <f t="shared" si="5"/>
        <v>8</v>
      </c>
      <c r="N38" s="67">
        <f t="shared" si="0"/>
        <v>111</v>
      </c>
    </row>
    <row r="39" spans="1:14">
      <c r="A39" s="70"/>
      <c r="B39" s="142" t="s">
        <v>727</v>
      </c>
      <c r="C39" s="141">
        <f>C38+200</f>
        <v>2700</v>
      </c>
      <c r="D39" s="141">
        <f t="shared" si="1"/>
        <v>21.375</v>
      </c>
      <c r="E39" s="141">
        <v>0</v>
      </c>
      <c r="F39" s="141">
        <f t="shared" si="6"/>
        <v>21.375</v>
      </c>
      <c r="G39" s="141">
        <f t="shared" si="7"/>
        <v>2700</v>
      </c>
      <c r="I39" s="57"/>
      <c r="J39" s="57"/>
      <c r="K39" s="57"/>
      <c r="L39" s="57"/>
      <c r="M39" s="51">
        <f t="shared" si="5"/>
        <v>9</v>
      </c>
      <c r="N39" s="67">
        <f t="shared" si="0"/>
        <v>110</v>
      </c>
    </row>
    <row r="40" spans="1:14">
      <c r="A40" s="70"/>
      <c r="B40" s="142" t="s">
        <v>728</v>
      </c>
      <c r="C40" s="141">
        <f>C39</f>
        <v>2700</v>
      </c>
      <c r="D40" s="141">
        <f t="shared" si="1"/>
        <v>21.375</v>
      </c>
      <c r="E40" s="141">
        <v>0</v>
      </c>
      <c r="F40" s="141">
        <f t="shared" si="6"/>
        <v>21.375</v>
      </c>
      <c r="G40" s="141">
        <f t="shared" si="7"/>
        <v>2700</v>
      </c>
      <c r="I40" s="57"/>
      <c r="J40" s="57"/>
      <c r="K40" s="57"/>
      <c r="L40" s="57"/>
      <c r="M40" s="51">
        <f t="shared" si="5"/>
        <v>10</v>
      </c>
      <c r="N40" s="67">
        <f t="shared" si="0"/>
        <v>109</v>
      </c>
    </row>
    <row r="41" spans="1:14">
      <c r="A41" s="70"/>
      <c r="B41" s="142" t="s">
        <v>729</v>
      </c>
      <c r="C41" s="141">
        <f>C40</f>
        <v>2700</v>
      </c>
      <c r="D41" s="141">
        <f>C41*0.095/12</f>
        <v>21.375</v>
      </c>
      <c r="E41" s="141">
        <v>0</v>
      </c>
      <c r="F41" s="141">
        <f t="shared" si="6"/>
        <v>21.375</v>
      </c>
      <c r="G41" s="141">
        <f t="shared" si="7"/>
        <v>2700</v>
      </c>
      <c r="I41" s="57"/>
      <c r="J41" s="57"/>
      <c r="K41" s="57"/>
      <c r="L41" s="57"/>
      <c r="M41" s="51">
        <f t="shared" si="5"/>
        <v>11</v>
      </c>
      <c r="N41" s="67">
        <f t="shared" si="0"/>
        <v>108</v>
      </c>
    </row>
    <row r="42" spans="1:14">
      <c r="A42" s="70" t="s">
        <v>735</v>
      </c>
      <c r="B42" s="142" t="s">
        <v>724</v>
      </c>
      <c r="C42" s="141">
        <f t="shared" ref="C42:C48" si="8">C41</f>
        <v>2700</v>
      </c>
      <c r="D42" s="141">
        <f>C42*0.095/12</f>
        <v>21.375</v>
      </c>
      <c r="E42" s="141">
        <v>0</v>
      </c>
      <c r="F42" s="141">
        <f>D42+E42</f>
        <v>21.375</v>
      </c>
      <c r="G42" s="141">
        <f t="shared" si="7"/>
        <v>2700</v>
      </c>
      <c r="I42" s="57"/>
      <c r="J42" s="57"/>
      <c r="K42" s="57"/>
      <c r="L42" s="57"/>
      <c r="M42" s="51">
        <f t="shared" si="5"/>
        <v>12</v>
      </c>
      <c r="N42" s="67">
        <f t="shared" si="0"/>
        <v>107</v>
      </c>
    </row>
    <row r="43" spans="1:14">
      <c r="A43" s="70"/>
      <c r="B43" s="142" t="s">
        <v>707</v>
      </c>
      <c r="C43" s="141">
        <f t="shared" si="8"/>
        <v>2700</v>
      </c>
      <c r="D43" s="141">
        <f t="shared" si="1"/>
        <v>21.375</v>
      </c>
      <c r="E43" s="141">
        <v>0</v>
      </c>
      <c r="F43" s="141">
        <f t="shared" si="6"/>
        <v>21.375</v>
      </c>
      <c r="G43" s="141">
        <f t="shared" si="7"/>
        <v>2700</v>
      </c>
      <c r="I43" s="57"/>
      <c r="J43" s="57"/>
      <c r="K43" s="57"/>
      <c r="L43" s="57"/>
      <c r="M43" s="51">
        <f t="shared" si="5"/>
        <v>13</v>
      </c>
      <c r="N43" s="67">
        <f t="shared" si="0"/>
        <v>106</v>
      </c>
    </row>
    <row r="44" spans="1:14">
      <c r="A44" s="70"/>
      <c r="B44" s="142" t="s">
        <v>708</v>
      </c>
      <c r="C44" s="141">
        <f t="shared" si="8"/>
        <v>2700</v>
      </c>
      <c r="D44" s="141">
        <f t="shared" si="1"/>
        <v>21.375</v>
      </c>
      <c r="E44" s="141">
        <v>0</v>
      </c>
      <c r="F44" s="141">
        <f t="shared" si="6"/>
        <v>21.375</v>
      </c>
      <c r="G44" s="141">
        <f t="shared" si="7"/>
        <v>2700</v>
      </c>
      <c r="I44" s="57"/>
      <c r="J44" s="57"/>
      <c r="K44" s="57"/>
      <c r="L44" s="57"/>
      <c r="M44" s="51">
        <f t="shared" si="5"/>
        <v>14</v>
      </c>
      <c r="N44" s="67">
        <f t="shared" si="0"/>
        <v>105</v>
      </c>
    </row>
    <row r="45" spans="1:14">
      <c r="A45" s="70"/>
      <c r="B45" s="142" t="s">
        <v>718</v>
      </c>
      <c r="C45" s="141">
        <f t="shared" si="8"/>
        <v>2700</v>
      </c>
      <c r="D45" s="141">
        <f t="shared" si="1"/>
        <v>21.375</v>
      </c>
      <c r="E45" s="141">
        <v>0</v>
      </c>
      <c r="F45" s="141">
        <f t="shared" si="6"/>
        <v>21.375</v>
      </c>
      <c r="G45" s="141">
        <f t="shared" si="7"/>
        <v>2700</v>
      </c>
      <c r="I45" s="51" t="s">
        <v>731</v>
      </c>
      <c r="J45" s="51" t="s">
        <v>732</v>
      </c>
      <c r="K45" s="51" t="s">
        <v>733</v>
      </c>
      <c r="L45" s="57"/>
      <c r="M45" s="51">
        <f t="shared" si="5"/>
        <v>15</v>
      </c>
      <c r="N45" s="67">
        <f t="shared" si="0"/>
        <v>104</v>
      </c>
    </row>
    <row r="46" spans="1:14">
      <c r="A46" s="70"/>
      <c r="B46" s="142" t="s">
        <v>720</v>
      </c>
      <c r="C46" s="141">
        <f t="shared" si="8"/>
        <v>2700</v>
      </c>
      <c r="D46" s="141">
        <f t="shared" si="1"/>
        <v>21.375</v>
      </c>
      <c r="E46" s="141">
        <v>0</v>
      </c>
      <c r="F46" s="141">
        <f t="shared" si="6"/>
        <v>21.375</v>
      </c>
      <c r="G46" s="141">
        <f t="shared" si="7"/>
        <v>2700</v>
      </c>
      <c r="I46" s="57">
        <f>SUM(D42:D53)</f>
        <v>254.71875</v>
      </c>
      <c r="J46" s="57">
        <f>SUM(E42:E53)</f>
        <v>90</v>
      </c>
      <c r="K46" s="57">
        <f>SUM(F42:F53)</f>
        <v>344.71875</v>
      </c>
      <c r="L46" s="57"/>
      <c r="M46" s="51">
        <f t="shared" si="5"/>
        <v>16</v>
      </c>
      <c r="N46" s="67">
        <f t="shared" si="0"/>
        <v>103</v>
      </c>
    </row>
    <row r="47" spans="1:14" s="50" customFormat="1">
      <c r="A47" s="70"/>
      <c r="B47" s="142" t="s">
        <v>721</v>
      </c>
      <c r="C47" s="141">
        <f t="shared" si="8"/>
        <v>2700</v>
      </c>
      <c r="D47" s="141">
        <f t="shared" si="1"/>
        <v>21.375</v>
      </c>
      <c r="E47" s="141">
        <v>0</v>
      </c>
      <c r="F47" s="141">
        <f t="shared" ref="F47:F78" si="9">D47+E47</f>
        <v>21.375</v>
      </c>
      <c r="G47" s="141">
        <f t="shared" ref="G47:G78" si="10">C47-E47</f>
        <v>2700</v>
      </c>
      <c r="M47" s="51">
        <f t="shared" si="5"/>
        <v>17</v>
      </c>
      <c r="N47" s="67">
        <f t="shared" ref="N47:N110" si="11">N48+1</f>
        <v>102</v>
      </c>
    </row>
    <row r="48" spans="1:14">
      <c r="A48" s="70"/>
      <c r="B48" s="142" t="s">
        <v>722</v>
      </c>
      <c r="C48" s="141">
        <f t="shared" si="8"/>
        <v>2700</v>
      </c>
      <c r="D48" s="141">
        <f t="shared" si="1"/>
        <v>21.375</v>
      </c>
      <c r="E48" s="141">
        <v>15</v>
      </c>
      <c r="F48" s="141">
        <f t="shared" si="9"/>
        <v>36.375</v>
      </c>
      <c r="G48" s="141">
        <f t="shared" si="10"/>
        <v>2685</v>
      </c>
      <c r="M48" s="51">
        <f t="shared" si="5"/>
        <v>18</v>
      </c>
      <c r="N48" s="67">
        <f t="shared" si="11"/>
        <v>101</v>
      </c>
    </row>
    <row r="49" spans="1:16">
      <c r="A49" s="70"/>
      <c r="B49" s="142" t="s">
        <v>725</v>
      </c>
      <c r="C49" s="141">
        <f>G48</f>
        <v>2685</v>
      </c>
      <c r="D49" s="141">
        <f t="shared" si="1"/>
        <v>21.256250000000001</v>
      </c>
      <c r="E49" s="141">
        <f>E48</f>
        <v>15</v>
      </c>
      <c r="F49" s="141">
        <f t="shared" si="9"/>
        <v>36.256250000000001</v>
      </c>
      <c r="G49" s="141">
        <f t="shared" si="10"/>
        <v>2670</v>
      </c>
      <c r="I49" s="139"/>
      <c r="M49" s="51">
        <f t="shared" si="5"/>
        <v>19</v>
      </c>
      <c r="N49" s="67">
        <f t="shared" si="11"/>
        <v>100</v>
      </c>
    </row>
    <row r="50" spans="1:16">
      <c r="A50" s="70"/>
      <c r="B50" s="142" t="s">
        <v>726</v>
      </c>
      <c r="C50" s="141">
        <f t="shared" ref="C50:C113" si="12">G49</f>
        <v>2670</v>
      </c>
      <c r="D50" s="141">
        <f t="shared" si="1"/>
        <v>21.137499999999999</v>
      </c>
      <c r="E50" s="141">
        <f t="shared" ref="E50:E65" si="13">E49</f>
        <v>15</v>
      </c>
      <c r="F50" s="141">
        <f t="shared" si="9"/>
        <v>36.137500000000003</v>
      </c>
      <c r="G50" s="141">
        <f t="shared" si="10"/>
        <v>2655</v>
      </c>
      <c r="M50" s="51">
        <f t="shared" si="5"/>
        <v>20</v>
      </c>
      <c r="N50" s="67">
        <f t="shared" si="11"/>
        <v>99</v>
      </c>
    </row>
    <row r="51" spans="1:16">
      <c r="A51" s="70"/>
      <c r="B51" s="142" t="s">
        <v>727</v>
      </c>
      <c r="C51" s="141">
        <f t="shared" si="12"/>
        <v>2655</v>
      </c>
      <c r="D51" s="141">
        <f t="shared" si="1"/>
        <v>21.018750000000001</v>
      </c>
      <c r="E51" s="141">
        <f t="shared" si="13"/>
        <v>15</v>
      </c>
      <c r="F51" s="141">
        <f t="shared" si="9"/>
        <v>36.018749999999997</v>
      </c>
      <c r="G51" s="141">
        <f t="shared" si="10"/>
        <v>2640</v>
      </c>
      <c r="M51" s="51">
        <f t="shared" si="5"/>
        <v>21</v>
      </c>
      <c r="N51" s="67">
        <f t="shared" si="11"/>
        <v>98</v>
      </c>
    </row>
    <row r="52" spans="1:16">
      <c r="A52" s="70"/>
      <c r="B52" s="142" t="s">
        <v>728</v>
      </c>
      <c r="C52" s="141">
        <f t="shared" si="12"/>
        <v>2640</v>
      </c>
      <c r="D52" s="141">
        <f t="shared" si="1"/>
        <v>20.900000000000002</v>
      </c>
      <c r="E52" s="141">
        <f t="shared" si="13"/>
        <v>15</v>
      </c>
      <c r="F52" s="141">
        <f t="shared" si="9"/>
        <v>35.900000000000006</v>
      </c>
      <c r="G52" s="141">
        <f t="shared" si="10"/>
        <v>2625</v>
      </c>
      <c r="M52" s="51">
        <f t="shared" si="5"/>
        <v>22</v>
      </c>
      <c r="N52" s="67">
        <f t="shared" si="11"/>
        <v>97</v>
      </c>
    </row>
    <row r="53" spans="1:16">
      <c r="A53" s="70"/>
      <c r="B53" s="142" t="s">
        <v>729</v>
      </c>
      <c r="C53" s="141">
        <f t="shared" si="12"/>
        <v>2625</v>
      </c>
      <c r="D53" s="141">
        <f t="shared" si="1"/>
        <v>20.78125</v>
      </c>
      <c r="E53" s="141">
        <f t="shared" si="13"/>
        <v>15</v>
      </c>
      <c r="F53" s="141">
        <f t="shared" si="9"/>
        <v>35.78125</v>
      </c>
      <c r="G53" s="141">
        <f t="shared" si="10"/>
        <v>2610</v>
      </c>
      <c r="L53" s="51">
        <f>1</f>
        <v>1</v>
      </c>
      <c r="N53" s="67">
        <f t="shared" si="11"/>
        <v>96</v>
      </c>
    </row>
    <row r="54" spans="1:16">
      <c r="A54" s="70" t="s">
        <v>736</v>
      </c>
      <c r="B54" s="142" t="s">
        <v>724</v>
      </c>
      <c r="C54" s="141">
        <f t="shared" si="12"/>
        <v>2610</v>
      </c>
      <c r="D54" s="141">
        <f t="shared" si="1"/>
        <v>20.662500000000001</v>
      </c>
      <c r="E54" s="141">
        <f t="shared" si="13"/>
        <v>15</v>
      </c>
      <c r="F54" s="141">
        <f t="shared" si="9"/>
        <v>35.662500000000001</v>
      </c>
      <c r="G54" s="141">
        <f t="shared" si="10"/>
        <v>2595</v>
      </c>
      <c r="L54" s="51">
        <f>L53+1</f>
        <v>2</v>
      </c>
      <c r="N54" s="67">
        <f t="shared" si="11"/>
        <v>95</v>
      </c>
    </row>
    <row r="55" spans="1:16">
      <c r="A55" s="70"/>
      <c r="B55" s="142" t="s">
        <v>707</v>
      </c>
      <c r="C55" s="141">
        <f t="shared" si="12"/>
        <v>2595</v>
      </c>
      <c r="D55" s="141">
        <f t="shared" si="1"/>
        <v>20.543749999999999</v>
      </c>
      <c r="E55" s="141">
        <f t="shared" si="13"/>
        <v>15</v>
      </c>
      <c r="F55" s="141">
        <f t="shared" si="9"/>
        <v>35.543750000000003</v>
      </c>
      <c r="G55" s="141">
        <f t="shared" si="10"/>
        <v>2580</v>
      </c>
      <c r="I55" s="139"/>
      <c r="J55" s="139"/>
      <c r="K55" s="139"/>
      <c r="L55" s="51">
        <f t="shared" ref="L55:L64" si="14">L54+1</f>
        <v>3</v>
      </c>
      <c r="M55" s="139"/>
      <c r="N55" s="67">
        <f t="shared" si="11"/>
        <v>94</v>
      </c>
      <c r="O55" s="139"/>
      <c r="P55" s="139"/>
    </row>
    <row r="56" spans="1:16">
      <c r="A56" s="70"/>
      <c r="B56" s="142" t="s">
        <v>708</v>
      </c>
      <c r="C56" s="141">
        <f t="shared" si="12"/>
        <v>2580</v>
      </c>
      <c r="D56" s="141">
        <f t="shared" si="1"/>
        <v>20.425000000000001</v>
      </c>
      <c r="E56" s="141">
        <f t="shared" si="13"/>
        <v>15</v>
      </c>
      <c r="F56" s="141">
        <f t="shared" si="9"/>
        <v>35.424999999999997</v>
      </c>
      <c r="G56" s="141">
        <f t="shared" si="10"/>
        <v>2565</v>
      </c>
      <c r="I56" s="139"/>
      <c r="L56" s="51">
        <f t="shared" si="14"/>
        <v>4</v>
      </c>
      <c r="N56" s="67">
        <f t="shared" si="11"/>
        <v>93</v>
      </c>
    </row>
    <row r="57" spans="1:16">
      <c r="A57" s="70"/>
      <c r="B57" s="142" t="s">
        <v>718</v>
      </c>
      <c r="C57" s="141">
        <f t="shared" si="12"/>
        <v>2565</v>
      </c>
      <c r="D57" s="141">
        <f t="shared" si="1"/>
        <v>20.306250000000002</v>
      </c>
      <c r="E57" s="141">
        <f t="shared" si="13"/>
        <v>15</v>
      </c>
      <c r="F57" s="141">
        <f t="shared" si="9"/>
        <v>35.306250000000006</v>
      </c>
      <c r="G57" s="141">
        <f t="shared" si="10"/>
        <v>2550</v>
      </c>
      <c r="I57" s="51" t="s">
        <v>731</v>
      </c>
      <c r="J57" s="51" t="s">
        <v>732</v>
      </c>
      <c r="K57" s="51" t="s">
        <v>733</v>
      </c>
      <c r="L57" s="51">
        <f t="shared" si="14"/>
        <v>5</v>
      </c>
      <c r="N57" s="67">
        <f t="shared" si="11"/>
        <v>92</v>
      </c>
    </row>
    <row r="58" spans="1:16">
      <c r="A58" s="70"/>
      <c r="B58" s="142" t="s">
        <v>720</v>
      </c>
      <c r="C58" s="141">
        <f t="shared" si="12"/>
        <v>2550</v>
      </c>
      <c r="D58" s="141">
        <f t="shared" si="1"/>
        <v>20.1875</v>
      </c>
      <c r="E58" s="141">
        <f t="shared" si="13"/>
        <v>15</v>
      </c>
      <c r="F58" s="141">
        <f t="shared" si="9"/>
        <v>35.1875</v>
      </c>
      <c r="G58" s="141">
        <f t="shared" si="10"/>
        <v>2535</v>
      </c>
      <c r="I58" s="57">
        <f>SUM(D54:D65)</f>
        <v>240.11249999999998</v>
      </c>
      <c r="J58" s="57">
        <f>SUM(E54:E65)</f>
        <v>180</v>
      </c>
      <c r="K58" s="57">
        <f>SUM(F54:F65)</f>
        <v>420.11250000000001</v>
      </c>
      <c r="L58" s="51">
        <f t="shared" si="14"/>
        <v>6</v>
      </c>
      <c r="M58" s="57"/>
      <c r="N58" s="67">
        <f t="shared" si="11"/>
        <v>91</v>
      </c>
    </row>
    <row r="59" spans="1:16">
      <c r="A59" s="70"/>
      <c r="B59" s="142" t="s">
        <v>721</v>
      </c>
      <c r="C59" s="141">
        <f t="shared" si="12"/>
        <v>2535</v>
      </c>
      <c r="D59" s="141">
        <f t="shared" si="1"/>
        <v>20.068749999999998</v>
      </c>
      <c r="E59" s="141">
        <f t="shared" si="13"/>
        <v>15</v>
      </c>
      <c r="F59" s="70">
        <f t="shared" si="9"/>
        <v>35.068749999999994</v>
      </c>
      <c r="G59" s="70">
        <f t="shared" si="10"/>
        <v>2520</v>
      </c>
      <c r="I59" s="139"/>
      <c r="L59" s="51">
        <f t="shared" si="14"/>
        <v>7</v>
      </c>
      <c r="N59" s="67">
        <f t="shared" si="11"/>
        <v>90</v>
      </c>
    </row>
    <row r="60" spans="1:16">
      <c r="A60" s="70"/>
      <c r="B60" s="142" t="s">
        <v>722</v>
      </c>
      <c r="C60" s="141">
        <f t="shared" si="12"/>
        <v>2520</v>
      </c>
      <c r="D60" s="141">
        <f t="shared" si="1"/>
        <v>19.95</v>
      </c>
      <c r="E60" s="141">
        <f t="shared" si="13"/>
        <v>15</v>
      </c>
      <c r="F60" s="141">
        <f t="shared" si="9"/>
        <v>34.950000000000003</v>
      </c>
      <c r="G60" s="141">
        <f t="shared" si="10"/>
        <v>2505</v>
      </c>
      <c r="I60" s="139"/>
      <c r="L60" s="51">
        <f t="shared" si="14"/>
        <v>8</v>
      </c>
      <c r="N60" s="67">
        <f t="shared" si="11"/>
        <v>89</v>
      </c>
    </row>
    <row r="61" spans="1:16">
      <c r="A61" s="70"/>
      <c r="B61" s="142" t="s">
        <v>725</v>
      </c>
      <c r="C61" s="141">
        <f t="shared" si="12"/>
        <v>2505</v>
      </c>
      <c r="D61" s="141">
        <f t="shared" si="1"/>
        <v>19.831250000000001</v>
      </c>
      <c r="E61" s="141">
        <f t="shared" si="13"/>
        <v>15</v>
      </c>
      <c r="F61" s="141">
        <f t="shared" si="9"/>
        <v>34.831249999999997</v>
      </c>
      <c r="G61" s="141">
        <f t="shared" si="10"/>
        <v>2490</v>
      </c>
      <c r="L61" s="51">
        <f t="shared" si="14"/>
        <v>9</v>
      </c>
      <c r="N61" s="67">
        <f t="shared" si="11"/>
        <v>88</v>
      </c>
    </row>
    <row r="62" spans="1:16">
      <c r="A62" s="70"/>
      <c r="B62" s="142" t="s">
        <v>726</v>
      </c>
      <c r="C62" s="141">
        <f t="shared" si="12"/>
        <v>2490</v>
      </c>
      <c r="D62" s="141">
        <f t="shared" si="1"/>
        <v>19.712500000000002</v>
      </c>
      <c r="E62" s="141">
        <f t="shared" si="13"/>
        <v>15</v>
      </c>
      <c r="F62" s="141">
        <f t="shared" si="9"/>
        <v>34.712500000000006</v>
      </c>
      <c r="G62" s="141">
        <f t="shared" si="10"/>
        <v>2475</v>
      </c>
      <c r="L62" s="51">
        <f t="shared" si="14"/>
        <v>10</v>
      </c>
      <c r="N62" s="67">
        <f t="shared" si="11"/>
        <v>87</v>
      </c>
    </row>
    <row r="63" spans="1:16">
      <c r="A63" s="70"/>
      <c r="B63" s="142" t="s">
        <v>727</v>
      </c>
      <c r="C63" s="141">
        <f t="shared" si="12"/>
        <v>2475</v>
      </c>
      <c r="D63" s="141">
        <f t="shared" si="1"/>
        <v>19.59375</v>
      </c>
      <c r="E63" s="141">
        <f t="shared" si="13"/>
        <v>15</v>
      </c>
      <c r="F63" s="141">
        <f t="shared" si="9"/>
        <v>34.59375</v>
      </c>
      <c r="G63" s="141">
        <f t="shared" si="10"/>
        <v>2460</v>
      </c>
      <c r="L63" s="51">
        <f t="shared" si="14"/>
        <v>11</v>
      </c>
      <c r="N63" s="67">
        <f t="shared" si="11"/>
        <v>86</v>
      </c>
    </row>
    <row r="64" spans="1:16">
      <c r="A64" s="70"/>
      <c r="B64" s="142" t="s">
        <v>728</v>
      </c>
      <c r="C64" s="141">
        <f t="shared" si="12"/>
        <v>2460</v>
      </c>
      <c r="D64" s="141">
        <f t="shared" si="1"/>
        <v>19.474999999999998</v>
      </c>
      <c r="E64" s="141">
        <f t="shared" si="13"/>
        <v>15</v>
      </c>
      <c r="F64" s="141">
        <f t="shared" si="9"/>
        <v>34.474999999999994</v>
      </c>
      <c r="G64" s="141">
        <f t="shared" si="10"/>
        <v>2445</v>
      </c>
      <c r="L64" s="51">
        <f t="shared" si="14"/>
        <v>12</v>
      </c>
      <c r="N64" s="67">
        <f t="shared" si="11"/>
        <v>85</v>
      </c>
    </row>
    <row r="65" spans="1:14">
      <c r="A65" s="70"/>
      <c r="B65" s="142" t="s">
        <v>729</v>
      </c>
      <c r="C65" s="141">
        <f t="shared" si="12"/>
        <v>2445</v>
      </c>
      <c r="D65" s="141">
        <f t="shared" si="1"/>
        <v>19.356249999999999</v>
      </c>
      <c r="E65" s="141">
        <f t="shared" si="13"/>
        <v>15</v>
      </c>
      <c r="F65" s="141">
        <f t="shared" si="9"/>
        <v>34.356250000000003</v>
      </c>
      <c r="G65" s="141">
        <f t="shared" si="10"/>
        <v>2430</v>
      </c>
      <c r="N65" s="67">
        <f t="shared" si="11"/>
        <v>84</v>
      </c>
    </row>
    <row r="66" spans="1:14">
      <c r="A66" s="70" t="s">
        <v>737</v>
      </c>
      <c r="B66" s="142" t="s">
        <v>724</v>
      </c>
      <c r="C66" s="141">
        <f t="shared" si="12"/>
        <v>2430</v>
      </c>
      <c r="D66" s="141">
        <f t="shared" si="1"/>
        <v>19.237500000000001</v>
      </c>
      <c r="E66" s="141">
        <f>E65+10</f>
        <v>25</v>
      </c>
      <c r="F66" s="141">
        <f t="shared" si="9"/>
        <v>44.237499999999997</v>
      </c>
      <c r="G66" s="141">
        <f t="shared" si="10"/>
        <v>2405</v>
      </c>
      <c r="N66" s="67">
        <f t="shared" si="11"/>
        <v>83</v>
      </c>
    </row>
    <row r="67" spans="1:14">
      <c r="A67" s="70"/>
      <c r="B67" s="142" t="s">
        <v>707</v>
      </c>
      <c r="C67" s="141">
        <f t="shared" si="12"/>
        <v>2405</v>
      </c>
      <c r="D67" s="141">
        <f t="shared" si="1"/>
        <v>19.039583333333333</v>
      </c>
      <c r="E67" s="141">
        <f>E66</f>
        <v>25</v>
      </c>
      <c r="F67" s="141">
        <f t="shared" si="9"/>
        <v>44.039583333333333</v>
      </c>
      <c r="G67" s="141">
        <f t="shared" si="10"/>
        <v>2380</v>
      </c>
      <c r="N67" s="67">
        <f t="shared" si="11"/>
        <v>82</v>
      </c>
    </row>
    <row r="68" spans="1:14">
      <c r="A68" s="70"/>
      <c r="B68" s="142" t="s">
        <v>708</v>
      </c>
      <c r="C68" s="141">
        <f t="shared" si="12"/>
        <v>2380</v>
      </c>
      <c r="D68" s="141">
        <f t="shared" si="1"/>
        <v>18.841666666666665</v>
      </c>
      <c r="E68" s="141">
        <f t="shared" ref="E68:E89" si="15">E67</f>
        <v>25</v>
      </c>
      <c r="F68" s="141">
        <f t="shared" si="9"/>
        <v>43.841666666666669</v>
      </c>
      <c r="G68" s="141">
        <f t="shared" si="10"/>
        <v>2355</v>
      </c>
      <c r="N68" s="67">
        <f t="shared" si="11"/>
        <v>81</v>
      </c>
    </row>
    <row r="69" spans="1:14">
      <c r="A69" s="70"/>
      <c r="B69" s="142" t="s">
        <v>718</v>
      </c>
      <c r="C69" s="141">
        <f t="shared" si="12"/>
        <v>2355</v>
      </c>
      <c r="D69" s="141">
        <f t="shared" si="1"/>
        <v>18.643750000000001</v>
      </c>
      <c r="E69" s="141">
        <f t="shared" si="15"/>
        <v>25</v>
      </c>
      <c r="F69" s="141">
        <f t="shared" si="9"/>
        <v>43.643749999999997</v>
      </c>
      <c r="G69" s="141">
        <f t="shared" si="10"/>
        <v>2330</v>
      </c>
      <c r="N69" s="67">
        <f t="shared" si="11"/>
        <v>80</v>
      </c>
    </row>
    <row r="70" spans="1:14">
      <c r="A70" s="136"/>
      <c r="B70" s="142" t="s">
        <v>720</v>
      </c>
      <c r="C70" s="141">
        <f t="shared" si="12"/>
        <v>2330</v>
      </c>
      <c r="D70" s="141">
        <f t="shared" si="1"/>
        <v>18.445833333333333</v>
      </c>
      <c r="E70" s="141">
        <f t="shared" si="15"/>
        <v>25</v>
      </c>
      <c r="F70" s="141">
        <f t="shared" si="9"/>
        <v>43.445833333333333</v>
      </c>
      <c r="G70" s="141">
        <f t="shared" si="10"/>
        <v>2305</v>
      </c>
      <c r="I70" s="57">
        <f>SUM(D66:D77)</f>
        <v>217.78750000000002</v>
      </c>
      <c r="J70" s="57">
        <f>SUM(E66:E77)</f>
        <v>300</v>
      </c>
      <c r="K70" s="57">
        <f>SUM(F66:F77)</f>
        <v>517.78749999999991</v>
      </c>
      <c r="L70" s="57"/>
      <c r="M70" s="57"/>
      <c r="N70" s="67">
        <f t="shared" si="11"/>
        <v>79</v>
      </c>
    </row>
    <row r="71" spans="1:14">
      <c r="A71" s="136"/>
      <c r="B71" s="142" t="s">
        <v>721</v>
      </c>
      <c r="C71" s="141">
        <f t="shared" si="12"/>
        <v>2305</v>
      </c>
      <c r="D71" s="141">
        <f t="shared" si="1"/>
        <v>18.247916666666665</v>
      </c>
      <c r="E71" s="141">
        <f t="shared" si="15"/>
        <v>25</v>
      </c>
      <c r="F71" s="141">
        <f t="shared" si="9"/>
        <v>43.247916666666669</v>
      </c>
      <c r="G71" s="141">
        <f t="shared" si="10"/>
        <v>2280</v>
      </c>
      <c r="I71" s="67"/>
      <c r="J71" s="67"/>
      <c r="K71" s="67"/>
      <c r="L71" s="67"/>
      <c r="M71" s="67"/>
      <c r="N71" s="67">
        <f t="shared" si="11"/>
        <v>78</v>
      </c>
    </row>
    <row r="72" spans="1:14">
      <c r="A72" s="136"/>
      <c r="B72" s="142" t="s">
        <v>722</v>
      </c>
      <c r="C72" s="141">
        <f t="shared" si="12"/>
        <v>2280</v>
      </c>
      <c r="D72" s="141">
        <f t="shared" si="1"/>
        <v>18.05</v>
      </c>
      <c r="E72" s="141">
        <f t="shared" si="15"/>
        <v>25</v>
      </c>
      <c r="F72" s="141">
        <f t="shared" si="9"/>
        <v>43.05</v>
      </c>
      <c r="G72" s="141">
        <f t="shared" si="10"/>
        <v>2255</v>
      </c>
      <c r="I72" s="67"/>
      <c r="J72" s="67"/>
      <c r="K72" s="67"/>
      <c r="L72" s="67"/>
      <c r="M72" s="67"/>
      <c r="N72" s="67">
        <f t="shared" si="11"/>
        <v>77</v>
      </c>
    </row>
    <row r="73" spans="1:14">
      <c r="A73" s="136"/>
      <c r="B73" s="142" t="s">
        <v>725</v>
      </c>
      <c r="C73" s="141">
        <f t="shared" si="12"/>
        <v>2255</v>
      </c>
      <c r="D73" s="141">
        <f t="shared" si="1"/>
        <v>17.852083333333333</v>
      </c>
      <c r="E73" s="141">
        <f t="shared" si="15"/>
        <v>25</v>
      </c>
      <c r="F73" s="141">
        <f t="shared" si="9"/>
        <v>42.852083333333333</v>
      </c>
      <c r="G73" s="141">
        <f t="shared" si="10"/>
        <v>2230</v>
      </c>
      <c r="I73" s="67"/>
      <c r="J73" s="67"/>
      <c r="K73" s="67"/>
      <c r="L73" s="67"/>
      <c r="M73" s="67"/>
      <c r="N73" s="67">
        <f t="shared" si="11"/>
        <v>76</v>
      </c>
    </row>
    <row r="74" spans="1:14">
      <c r="A74" s="136"/>
      <c r="B74" s="142" t="s">
        <v>726</v>
      </c>
      <c r="C74" s="141">
        <f t="shared" si="12"/>
        <v>2230</v>
      </c>
      <c r="D74" s="141">
        <f t="shared" si="1"/>
        <v>17.654166666666665</v>
      </c>
      <c r="E74" s="141">
        <f t="shared" si="15"/>
        <v>25</v>
      </c>
      <c r="F74" s="141">
        <f t="shared" si="9"/>
        <v>42.654166666666669</v>
      </c>
      <c r="G74" s="141">
        <f t="shared" si="10"/>
        <v>2205</v>
      </c>
      <c r="I74" s="67"/>
      <c r="J74" s="67"/>
      <c r="K74" s="67"/>
      <c r="L74" s="67"/>
      <c r="M74" s="67"/>
      <c r="N74" s="67">
        <f t="shared" si="11"/>
        <v>75</v>
      </c>
    </row>
    <row r="75" spans="1:14">
      <c r="A75" s="136"/>
      <c r="B75" s="142" t="s">
        <v>727</v>
      </c>
      <c r="C75" s="141">
        <f t="shared" si="12"/>
        <v>2205</v>
      </c>
      <c r="D75" s="141">
        <f t="shared" si="1"/>
        <v>17.456250000000001</v>
      </c>
      <c r="E75" s="141">
        <f t="shared" si="15"/>
        <v>25</v>
      </c>
      <c r="F75" s="141">
        <f t="shared" si="9"/>
        <v>42.456249999999997</v>
      </c>
      <c r="G75" s="141">
        <f t="shared" si="10"/>
        <v>2180</v>
      </c>
      <c r="I75" s="67"/>
      <c r="J75" s="67"/>
      <c r="K75" s="67"/>
      <c r="L75" s="67"/>
      <c r="M75" s="67"/>
      <c r="N75" s="67">
        <f t="shared" si="11"/>
        <v>74</v>
      </c>
    </row>
    <row r="76" spans="1:14">
      <c r="A76" s="136"/>
      <c r="B76" s="142" t="s">
        <v>728</v>
      </c>
      <c r="C76" s="141">
        <f t="shared" si="12"/>
        <v>2180</v>
      </c>
      <c r="D76" s="141">
        <f t="shared" si="1"/>
        <v>17.258333333333333</v>
      </c>
      <c r="E76" s="141">
        <f t="shared" si="15"/>
        <v>25</v>
      </c>
      <c r="F76" s="141">
        <f t="shared" si="9"/>
        <v>42.258333333333333</v>
      </c>
      <c r="G76" s="141">
        <f t="shared" si="10"/>
        <v>2155</v>
      </c>
      <c r="I76" s="67"/>
      <c r="J76" s="67"/>
      <c r="K76" s="67"/>
      <c r="L76" s="67"/>
      <c r="M76" s="67"/>
      <c r="N76" s="67">
        <f t="shared" si="11"/>
        <v>73</v>
      </c>
    </row>
    <row r="77" spans="1:14">
      <c r="A77" s="136"/>
      <c r="B77" s="142" t="s">
        <v>729</v>
      </c>
      <c r="C77" s="141">
        <f t="shared" si="12"/>
        <v>2155</v>
      </c>
      <c r="D77" s="141">
        <f t="shared" si="1"/>
        <v>17.060416666666665</v>
      </c>
      <c r="E77" s="141">
        <f t="shared" si="15"/>
        <v>25</v>
      </c>
      <c r="F77" s="141">
        <f t="shared" si="9"/>
        <v>42.060416666666669</v>
      </c>
      <c r="G77" s="141">
        <f t="shared" si="10"/>
        <v>2130</v>
      </c>
      <c r="I77" s="67"/>
      <c r="J77" s="67"/>
      <c r="K77" s="67"/>
      <c r="L77" s="67"/>
      <c r="M77" s="67"/>
      <c r="N77" s="67">
        <f>N78+1</f>
        <v>72</v>
      </c>
    </row>
    <row r="78" spans="1:14">
      <c r="A78" s="136" t="s">
        <v>738</v>
      </c>
      <c r="B78" s="142" t="s">
        <v>724</v>
      </c>
      <c r="C78" s="141">
        <f t="shared" si="12"/>
        <v>2130</v>
      </c>
      <c r="D78" s="141">
        <f t="shared" si="1"/>
        <v>16.862500000000001</v>
      </c>
      <c r="E78" s="141">
        <f>E77+5</f>
        <v>30</v>
      </c>
      <c r="F78" s="141">
        <f t="shared" si="9"/>
        <v>46.862499999999997</v>
      </c>
      <c r="G78" s="141">
        <f t="shared" si="10"/>
        <v>2100</v>
      </c>
      <c r="I78" s="67"/>
      <c r="J78" s="67"/>
      <c r="K78" s="67"/>
      <c r="L78" s="67"/>
      <c r="M78" s="67"/>
      <c r="N78" s="67">
        <f t="shared" si="11"/>
        <v>71</v>
      </c>
    </row>
    <row r="79" spans="1:14">
      <c r="A79" s="136"/>
      <c r="B79" s="142" t="s">
        <v>707</v>
      </c>
      <c r="C79" s="141">
        <f t="shared" si="12"/>
        <v>2100</v>
      </c>
      <c r="D79" s="141">
        <f t="shared" si="1"/>
        <v>16.625</v>
      </c>
      <c r="E79" s="141">
        <f t="shared" si="15"/>
        <v>30</v>
      </c>
      <c r="F79" s="141">
        <f t="shared" ref="F79:F106" si="16">D79+E79</f>
        <v>46.625</v>
      </c>
      <c r="G79" s="141">
        <f t="shared" ref="G79:G106" si="17">C79-E79</f>
        <v>2070</v>
      </c>
      <c r="I79" s="67"/>
      <c r="J79" s="67"/>
      <c r="K79" s="67"/>
      <c r="L79" s="67"/>
      <c r="M79" s="67"/>
      <c r="N79" s="67">
        <f t="shared" si="11"/>
        <v>70</v>
      </c>
    </row>
    <row r="80" spans="1:14">
      <c r="A80" s="136"/>
      <c r="B80" s="142" t="s">
        <v>708</v>
      </c>
      <c r="C80" s="141">
        <f t="shared" si="12"/>
        <v>2070</v>
      </c>
      <c r="D80" s="141">
        <f t="shared" si="1"/>
        <v>16.387499999999999</v>
      </c>
      <c r="E80" s="141">
        <f t="shared" si="15"/>
        <v>30</v>
      </c>
      <c r="F80" s="141">
        <f t="shared" si="16"/>
        <v>46.387500000000003</v>
      </c>
      <c r="G80" s="141">
        <f t="shared" si="17"/>
        <v>2040</v>
      </c>
      <c r="I80" s="67"/>
      <c r="J80" s="67"/>
      <c r="K80" s="67"/>
      <c r="L80" s="67"/>
      <c r="M80" s="67"/>
      <c r="N80" s="67">
        <f t="shared" si="11"/>
        <v>69</v>
      </c>
    </row>
    <row r="81" spans="1:14">
      <c r="A81" s="136"/>
      <c r="B81" s="142" t="s">
        <v>718</v>
      </c>
      <c r="C81" s="141">
        <f t="shared" si="12"/>
        <v>2040</v>
      </c>
      <c r="D81" s="141">
        <f t="shared" si="1"/>
        <v>16.150000000000002</v>
      </c>
      <c r="E81" s="141">
        <f t="shared" si="15"/>
        <v>30</v>
      </c>
      <c r="F81" s="141">
        <f t="shared" si="16"/>
        <v>46.150000000000006</v>
      </c>
      <c r="G81" s="141">
        <f t="shared" si="17"/>
        <v>2010</v>
      </c>
      <c r="I81" s="67"/>
      <c r="J81" s="67"/>
      <c r="K81" s="67"/>
      <c r="L81" s="67"/>
      <c r="M81" s="67"/>
      <c r="N81" s="67">
        <f t="shared" si="11"/>
        <v>68</v>
      </c>
    </row>
    <row r="82" spans="1:14">
      <c r="A82" s="136"/>
      <c r="B82" s="142" t="s">
        <v>720</v>
      </c>
      <c r="C82" s="141">
        <f t="shared" si="12"/>
        <v>2010</v>
      </c>
      <c r="D82" s="141">
        <f t="shared" si="1"/>
        <v>15.9125</v>
      </c>
      <c r="E82" s="141">
        <f t="shared" si="15"/>
        <v>30</v>
      </c>
      <c r="F82" s="141">
        <f t="shared" si="16"/>
        <v>45.912500000000001</v>
      </c>
      <c r="G82" s="141">
        <f t="shared" si="17"/>
        <v>1980</v>
      </c>
      <c r="I82" s="57">
        <f>SUM(D78:D89)</f>
        <v>186.67500000000001</v>
      </c>
      <c r="J82" s="57">
        <f>SUM(E78:E89)</f>
        <v>360</v>
      </c>
      <c r="K82" s="57">
        <f>SUM(F78:F89)</f>
        <v>546.67499999999995</v>
      </c>
      <c r="L82" s="57"/>
      <c r="M82" s="57"/>
      <c r="N82" s="67">
        <f t="shared" si="11"/>
        <v>67</v>
      </c>
    </row>
    <row r="83" spans="1:14">
      <c r="A83" s="136"/>
      <c r="B83" s="142" t="s">
        <v>721</v>
      </c>
      <c r="C83" s="141">
        <f t="shared" si="12"/>
        <v>1980</v>
      </c>
      <c r="D83" s="141">
        <f t="shared" ref="D83:D146" si="18">C83*0.095/12</f>
        <v>15.674999999999999</v>
      </c>
      <c r="E83" s="141">
        <f t="shared" si="15"/>
        <v>30</v>
      </c>
      <c r="F83" s="141">
        <f t="shared" si="16"/>
        <v>45.674999999999997</v>
      </c>
      <c r="G83" s="141">
        <f t="shared" si="17"/>
        <v>1950</v>
      </c>
      <c r="I83" s="67"/>
      <c r="J83" s="67"/>
      <c r="K83" s="67"/>
      <c r="L83" s="67"/>
      <c r="M83" s="67"/>
      <c r="N83" s="67">
        <f t="shared" si="11"/>
        <v>66</v>
      </c>
    </row>
    <row r="84" spans="1:14">
      <c r="A84" s="136"/>
      <c r="B84" s="142" t="s">
        <v>722</v>
      </c>
      <c r="C84" s="141">
        <f t="shared" si="12"/>
        <v>1950</v>
      </c>
      <c r="D84" s="141">
        <f t="shared" si="18"/>
        <v>15.4375</v>
      </c>
      <c r="E84" s="141">
        <f t="shared" si="15"/>
        <v>30</v>
      </c>
      <c r="F84" s="141">
        <f t="shared" si="16"/>
        <v>45.4375</v>
      </c>
      <c r="G84" s="141">
        <f t="shared" si="17"/>
        <v>1920</v>
      </c>
      <c r="I84" s="67"/>
      <c r="J84" s="67"/>
      <c r="K84" s="67"/>
      <c r="L84" s="67"/>
      <c r="M84" s="67"/>
      <c r="N84" s="67">
        <f t="shared" si="11"/>
        <v>65</v>
      </c>
    </row>
    <row r="85" spans="1:14">
      <c r="A85" s="136"/>
      <c r="B85" s="142" t="s">
        <v>725</v>
      </c>
      <c r="C85" s="141">
        <f t="shared" si="12"/>
        <v>1920</v>
      </c>
      <c r="D85" s="141">
        <f t="shared" si="18"/>
        <v>15.200000000000001</v>
      </c>
      <c r="E85" s="141">
        <f t="shared" si="15"/>
        <v>30</v>
      </c>
      <c r="F85" s="141">
        <f t="shared" si="16"/>
        <v>45.2</v>
      </c>
      <c r="G85" s="141">
        <f t="shared" si="17"/>
        <v>1890</v>
      </c>
      <c r="I85" s="67"/>
      <c r="J85" s="67"/>
      <c r="K85" s="67"/>
      <c r="L85" s="67"/>
      <c r="M85" s="67"/>
      <c r="N85" s="67">
        <f t="shared" si="11"/>
        <v>64</v>
      </c>
    </row>
    <row r="86" spans="1:14">
      <c r="A86" s="136"/>
      <c r="B86" s="142" t="s">
        <v>726</v>
      </c>
      <c r="C86" s="141">
        <f t="shared" si="12"/>
        <v>1890</v>
      </c>
      <c r="D86" s="141">
        <f t="shared" si="18"/>
        <v>14.9625</v>
      </c>
      <c r="E86" s="141">
        <f t="shared" si="15"/>
        <v>30</v>
      </c>
      <c r="F86" s="141">
        <f t="shared" si="16"/>
        <v>44.962499999999999</v>
      </c>
      <c r="G86" s="141">
        <f t="shared" si="17"/>
        <v>1860</v>
      </c>
      <c r="I86" s="67"/>
      <c r="J86" s="67"/>
      <c r="K86" s="67"/>
      <c r="L86" s="67"/>
      <c r="M86" s="67"/>
      <c r="N86" s="67">
        <f t="shared" si="11"/>
        <v>63</v>
      </c>
    </row>
    <row r="87" spans="1:14">
      <c r="A87" s="136"/>
      <c r="B87" s="142" t="s">
        <v>727</v>
      </c>
      <c r="C87" s="141">
        <f t="shared" si="12"/>
        <v>1860</v>
      </c>
      <c r="D87" s="141">
        <f t="shared" si="18"/>
        <v>14.725</v>
      </c>
      <c r="E87" s="141">
        <f t="shared" si="15"/>
        <v>30</v>
      </c>
      <c r="F87" s="141">
        <f t="shared" si="16"/>
        <v>44.725000000000001</v>
      </c>
      <c r="G87" s="141">
        <f t="shared" si="17"/>
        <v>1830</v>
      </c>
      <c r="I87" s="67"/>
      <c r="J87" s="67"/>
      <c r="K87" s="67"/>
      <c r="L87" s="67"/>
      <c r="M87" s="67"/>
      <c r="N87" s="67">
        <f t="shared" si="11"/>
        <v>62</v>
      </c>
    </row>
    <row r="88" spans="1:14">
      <c r="A88" s="136"/>
      <c r="B88" s="142" t="s">
        <v>728</v>
      </c>
      <c r="C88" s="141">
        <f t="shared" si="12"/>
        <v>1830</v>
      </c>
      <c r="D88" s="141">
        <f t="shared" si="18"/>
        <v>14.487499999999999</v>
      </c>
      <c r="E88" s="141">
        <f t="shared" si="15"/>
        <v>30</v>
      </c>
      <c r="F88" s="141">
        <f t="shared" si="16"/>
        <v>44.487499999999997</v>
      </c>
      <c r="G88" s="141">
        <f t="shared" si="17"/>
        <v>1800</v>
      </c>
      <c r="I88" s="67"/>
      <c r="J88" s="67"/>
      <c r="K88" s="67"/>
      <c r="L88" s="67"/>
      <c r="M88" s="67"/>
      <c r="N88" s="67">
        <f t="shared" si="11"/>
        <v>61</v>
      </c>
    </row>
    <row r="89" spans="1:14">
      <c r="A89" s="136"/>
      <c r="B89" s="142" t="s">
        <v>729</v>
      </c>
      <c r="C89" s="141">
        <f t="shared" si="12"/>
        <v>1800</v>
      </c>
      <c r="D89" s="141">
        <f t="shared" si="18"/>
        <v>14.25</v>
      </c>
      <c r="E89" s="141">
        <f t="shared" si="15"/>
        <v>30</v>
      </c>
      <c r="F89" s="141">
        <f t="shared" si="16"/>
        <v>44.25</v>
      </c>
      <c r="G89" s="141">
        <f t="shared" si="17"/>
        <v>1770</v>
      </c>
      <c r="I89" s="67"/>
      <c r="J89" s="67"/>
      <c r="K89" s="67"/>
      <c r="L89" s="67"/>
      <c r="M89" s="67"/>
      <c r="N89" s="67">
        <f t="shared" si="11"/>
        <v>60</v>
      </c>
    </row>
    <row r="90" spans="1:14">
      <c r="A90" s="136" t="s">
        <v>739</v>
      </c>
      <c r="B90" s="142" t="s">
        <v>724</v>
      </c>
      <c r="C90" s="141">
        <f t="shared" si="12"/>
        <v>1770</v>
      </c>
      <c r="D90" s="141">
        <f t="shared" si="18"/>
        <v>14.012500000000001</v>
      </c>
      <c r="E90" s="141">
        <f>E89+10</f>
        <v>40</v>
      </c>
      <c r="F90" s="141">
        <f t="shared" si="16"/>
        <v>54.012500000000003</v>
      </c>
      <c r="G90" s="141">
        <f t="shared" si="17"/>
        <v>1730</v>
      </c>
      <c r="I90" s="67"/>
      <c r="J90" s="67"/>
      <c r="K90" s="67"/>
      <c r="L90" s="67"/>
      <c r="M90" s="67"/>
      <c r="N90" s="67">
        <f t="shared" si="11"/>
        <v>59</v>
      </c>
    </row>
    <row r="91" spans="1:14">
      <c r="A91" s="136"/>
      <c r="B91" s="142" t="s">
        <v>707</v>
      </c>
      <c r="C91" s="141">
        <f t="shared" si="12"/>
        <v>1730</v>
      </c>
      <c r="D91" s="141">
        <f t="shared" si="18"/>
        <v>13.695833333333333</v>
      </c>
      <c r="E91" s="141">
        <f>E90</f>
        <v>40</v>
      </c>
      <c r="F91" s="141">
        <f t="shared" si="16"/>
        <v>53.695833333333333</v>
      </c>
      <c r="G91" s="141">
        <f t="shared" si="17"/>
        <v>1690</v>
      </c>
      <c r="I91" s="67"/>
      <c r="J91" s="67"/>
      <c r="K91" s="67"/>
      <c r="L91" s="67"/>
      <c r="M91" s="67"/>
      <c r="N91" s="67">
        <f t="shared" si="11"/>
        <v>58</v>
      </c>
    </row>
    <row r="92" spans="1:14">
      <c r="A92" s="136"/>
      <c r="B92" s="142" t="s">
        <v>708</v>
      </c>
      <c r="C92" s="141">
        <f t="shared" si="12"/>
        <v>1690</v>
      </c>
      <c r="D92" s="141">
        <f t="shared" si="18"/>
        <v>13.379166666666668</v>
      </c>
      <c r="E92" s="141">
        <f t="shared" ref="E92:E128" si="19">E91</f>
        <v>40</v>
      </c>
      <c r="F92" s="141">
        <f t="shared" si="16"/>
        <v>53.37916666666667</v>
      </c>
      <c r="G92" s="141">
        <f t="shared" si="17"/>
        <v>1650</v>
      </c>
      <c r="I92" s="67"/>
      <c r="J92" s="67"/>
      <c r="K92" s="67"/>
      <c r="L92" s="67"/>
      <c r="M92" s="67"/>
      <c r="N92" s="67">
        <f t="shared" si="11"/>
        <v>57</v>
      </c>
    </row>
    <row r="93" spans="1:14">
      <c r="A93" s="136"/>
      <c r="B93" s="142" t="s">
        <v>718</v>
      </c>
      <c r="C93" s="141">
        <f t="shared" si="12"/>
        <v>1650</v>
      </c>
      <c r="D93" s="141">
        <f t="shared" si="18"/>
        <v>13.0625</v>
      </c>
      <c r="E93" s="141">
        <f t="shared" si="19"/>
        <v>40</v>
      </c>
      <c r="F93" s="141">
        <f t="shared" si="16"/>
        <v>53.0625</v>
      </c>
      <c r="G93" s="141">
        <f t="shared" si="17"/>
        <v>1610</v>
      </c>
      <c r="I93" s="67"/>
      <c r="J93" s="67"/>
      <c r="K93" s="67"/>
      <c r="L93" s="67"/>
      <c r="M93" s="67"/>
      <c r="N93" s="67">
        <f t="shared" si="11"/>
        <v>56</v>
      </c>
    </row>
    <row r="94" spans="1:14">
      <c r="A94" s="70"/>
      <c r="B94" s="142" t="s">
        <v>720</v>
      </c>
      <c r="C94" s="141">
        <f t="shared" si="12"/>
        <v>1610</v>
      </c>
      <c r="D94" s="141">
        <f t="shared" si="18"/>
        <v>12.745833333333332</v>
      </c>
      <c r="E94" s="141">
        <f t="shared" si="19"/>
        <v>40</v>
      </c>
      <c r="F94" s="141">
        <f t="shared" si="16"/>
        <v>52.74583333333333</v>
      </c>
      <c r="G94" s="141">
        <f t="shared" si="17"/>
        <v>1570</v>
      </c>
      <c r="I94" s="57">
        <f>SUM(D90:D101)</f>
        <v>147.25000000000003</v>
      </c>
      <c r="J94" s="57">
        <f>SUM(E90:E101)</f>
        <v>480</v>
      </c>
      <c r="K94" s="57">
        <f>SUM(F90:F101)</f>
        <v>627.25</v>
      </c>
      <c r="L94" s="57"/>
      <c r="M94" s="57"/>
      <c r="N94" s="67">
        <f t="shared" si="11"/>
        <v>55</v>
      </c>
    </row>
    <row r="95" spans="1:14">
      <c r="A95" s="136"/>
      <c r="B95" s="142" t="s">
        <v>721</v>
      </c>
      <c r="C95" s="141">
        <f t="shared" si="12"/>
        <v>1570</v>
      </c>
      <c r="D95" s="141">
        <f t="shared" si="18"/>
        <v>12.429166666666667</v>
      </c>
      <c r="E95" s="141">
        <f t="shared" si="19"/>
        <v>40</v>
      </c>
      <c r="F95" s="141">
        <f t="shared" si="16"/>
        <v>52.429166666666667</v>
      </c>
      <c r="G95" s="141">
        <f t="shared" si="17"/>
        <v>1530</v>
      </c>
      <c r="I95" s="67"/>
      <c r="J95" s="67"/>
      <c r="K95" s="67"/>
      <c r="L95" s="67"/>
      <c r="M95" s="67"/>
      <c r="N95" s="67">
        <f t="shared" si="11"/>
        <v>54</v>
      </c>
    </row>
    <row r="96" spans="1:14">
      <c r="A96" s="136"/>
      <c r="B96" s="142" t="s">
        <v>722</v>
      </c>
      <c r="C96" s="141">
        <f t="shared" si="12"/>
        <v>1530</v>
      </c>
      <c r="D96" s="141">
        <f t="shared" si="18"/>
        <v>12.112499999999999</v>
      </c>
      <c r="E96" s="141">
        <f t="shared" si="19"/>
        <v>40</v>
      </c>
      <c r="F96" s="141">
        <f t="shared" si="16"/>
        <v>52.112499999999997</v>
      </c>
      <c r="G96" s="141">
        <f t="shared" si="17"/>
        <v>1490</v>
      </c>
      <c r="I96" s="67"/>
      <c r="J96" s="67"/>
      <c r="K96" s="67"/>
      <c r="L96" s="67"/>
      <c r="M96" s="67"/>
      <c r="N96" s="67">
        <f t="shared" si="11"/>
        <v>53</v>
      </c>
    </row>
    <row r="97" spans="1:14">
      <c r="A97" s="136"/>
      <c r="B97" s="142" t="s">
        <v>725</v>
      </c>
      <c r="C97" s="141">
        <f t="shared" si="12"/>
        <v>1490</v>
      </c>
      <c r="D97" s="141">
        <f t="shared" si="18"/>
        <v>11.795833333333334</v>
      </c>
      <c r="E97" s="141">
        <f t="shared" si="19"/>
        <v>40</v>
      </c>
      <c r="F97" s="141">
        <f t="shared" si="16"/>
        <v>51.795833333333334</v>
      </c>
      <c r="G97" s="141">
        <f t="shared" si="17"/>
        <v>1450</v>
      </c>
      <c r="I97" s="67"/>
      <c r="J97" s="67"/>
      <c r="K97" s="67"/>
      <c r="L97" s="67"/>
      <c r="M97" s="67"/>
      <c r="N97" s="67">
        <f t="shared" si="11"/>
        <v>52</v>
      </c>
    </row>
    <row r="98" spans="1:14">
      <c r="A98" s="136"/>
      <c r="B98" s="142" t="s">
        <v>726</v>
      </c>
      <c r="C98" s="141">
        <f t="shared" si="12"/>
        <v>1450</v>
      </c>
      <c r="D98" s="141">
        <f t="shared" si="18"/>
        <v>11.479166666666666</v>
      </c>
      <c r="E98" s="141">
        <f t="shared" si="19"/>
        <v>40</v>
      </c>
      <c r="F98" s="141">
        <f t="shared" si="16"/>
        <v>51.479166666666664</v>
      </c>
      <c r="G98" s="141">
        <f t="shared" si="17"/>
        <v>1410</v>
      </c>
      <c r="I98" s="67"/>
      <c r="J98" s="67"/>
      <c r="K98" s="67"/>
      <c r="L98" s="67"/>
      <c r="M98" s="67"/>
      <c r="N98" s="67">
        <f t="shared" si="11"/>
        <v>51</v>
      </c>
    </row>
    <row r="99" spans="1:14">
      <c r="A99" s="136"/>
      <c r="B99" s="142" t="s">
        <v>727</v>
      </c>
      <c r="C99" s="141">
        <f t="shared" si="12"/>
        <v>1410</v>
      </c>
      <c r="D99" s="141">
        <f t="shared" si="18"/>
        <v>11.1625</v>
      </c>
      <c r="E99" s="141">
        <f t="shared" si="19"/>
        <v>40</v>
      </c>
      <c r="F99" s="141">
        <f t="shared" si="16"/>
        <v>51.162500000000001</v>
      </c>
      <c r="G99" s="141">
        <f t="shared" si="17"/>
        <v>1370</v>
      </c>
      <c r="I99" s="67"/>
      <c r="J99" s="67"/>
      <c r="K99" s="67"/>
      <c r="L99" s="67"/>
      <c r="M99" s="67"/>
      <c r="N99" s="67">
        <f t="shared" si="11"/>
        <v>50</v>
      </c>
    </row>
    <row r="100" spans="1:14">
      <c r="A100" s="136"/>
      <c r="B100" s="142" t="s">
        <v>728</v>
      </c>
      <c r="C100" s="141">
        <f t="shared" si="12"/>
        <v>1370</v>
      </c>
      <c r="D100" s="141">
        <f t="shared" si="18"/>
        <v>10.845833333333333</v>
      </c>
      <c r="E100" s="141">
        <f t="shared" si="19"/>
        <v>40</v>
      </c>
      <c r="F100" s="141">
        <f t="shared" si="16"/>
        <v>50.845833333333331</v>
      </c>
      <c r="G100" s="141">
        <f t="shared" si="17"/>
        <v>1330</v>
      </c>
      <c r="I100" s="67"/>
      <c r="J100" s="67"/>
      <c r="K100" s="67"/>
      <c r="L100" s="67"/>
      <c r="M100" s="67"/>
      <c r="N100" s="67">
        <f t="shared" si="11"/>
        <v>49</v>
      </c>
    </row>
    <row r="101" spans="1:14">
      <c r="A101" s="136"/>
      <c r="B101" s="142" t="s">
        <v>729</v>
      </c>
      <c r="C101" s="141">
        <f t="shared" si="12"/>
        <v>1330</v>
      </c>
      <c r="D101" s="141">
        <f t="shared" si="18"/>
        <v>10.529166666666667</v>
      </c>
      <c r="E101" s="141">
        <f t="shared" si="19"/>
        <v>40</v>
      </c>
      <c r="F101" s="141">
        <f t="shared" si="16"/>
        <v>50.529166666666669</v>
      </c>
      <c r="G101" s="141">
        <f t="shared" si="17"/>
        <v>1290</v>
      </c>
      <c r="I101" s="67"/>
      <c r="J101" s="67"/>
      <c r="K101" s="67"/>
      <c r="L101" s="67"/>
      <c r="M101" s="67"/>
      <c r="N101" s="67">
        <f t="shared" si="11"/>
        <v>48</v>
      </c>
    </row>
    <row r="102" spans="1:14">
      <c r="A102" s="136" t="s">
        <v>740</v>
      </c>
      <c r="B102" s="142" t="s">
        <v>724</v>
      </c>
      <c r="C102" s="141">
        <f t="shared" si="12"/>
        <v>1290</v>
      </c>
      <c r="D102" s="141">
        <f t="shared" si="18"/>
        <v>10.2125</v>
      </c>
      <c r="E102" s="141">
        <f>E101+5</f>
        <v>45</v>
      </c>
      <c r="F102" s="141">
        <f t="shared" si="16"/>
        <v>55.212499999999999</v>
      </c>
      <c r="G102" s="141">
        <f t="shared" si="17"/>
        <v>1245</v>
      </c>
      <c r="I102" s="67"/>
      <c r="J102" s="67"/>
      <c r="K102" s="67"/>
      <c r="L102" s="67"/>
      <c r="M102" s="67"/>
      <c r="N102" s="67">
        <f t="shared" si="11"/>
        <v>47</v>
      </c>
    </row>
    <row r="103" spans="1:14">
      <c r="A103" s="136"/>
      <c r="B103" s="142" t="s">
        <v>707</v>
      </c>
      <c r="C103" s="141">
        <f t="shared" si="12"/>
        <v>1245</v>
      </c>
      <c r="D103" s="141">
        <f t="shared" si="18"/>
        <v>9.8562500000000011</v>
      </c>
      <c r="E103" s="141">
        <f t="shared" si="19"/>
        <v>45</v>
      </c>
      <c r="F103" s="141">
        <f t="shared" si="16"/>
        <v>54.856250000000003</v>
      </c>
      <c r="G103" s="141">
        <f t="shared" si="17"/>
        <v>1200</v>
      </c>
      <c r="I103" s="67"/>
      <c r="J103" s="67"/>
      <c r="K103" s="67"/>
      <c r="L103" s="67"/>
      <c r="M103" s="67"/>
      <c r="N103" s="67">
        <f t="shared" si="11"/>
        <v>46</v>
      </c>
    </row>
    <row r="104" spans="1:14">
      <c r="A104" s="136"/>
      <c r="B104" s="142" t="s">
        <v>708</v>
      </c>
      <c r="C104" s="141">
        <f t="shared" si="12"/>
        <v>1200</v>
      </c>
      <c r="D104" s="141">
        <f t="shared" si="18"/>
        <v>9.5</v>
      </c>
      <c r="E104" s="141">
        <f t="shared" si="19"/>
        <v>45</v>
      </c>
      <c r="F104" s="141">
        <f t="shared" si="16"/>
        <v>54.5</v>
      </c>
      <c r="G104" s="141">
        <f t="shared" si="17"/>
        <v>1155</v>
      </c>
      <c r="I104" s="67"/>
      <c r="J104" s="67"/>
      <c r="K104" s="67"/>
      <c r="L104" s="67"/>
      <c r="M104" s="67"/>
      <c r="N104" s="67">
        <f t="shared" si="11"/>
        <v>45</v>
      </c>
    </row>
    <row r="105" spans="1:14">
      <c r="A105" s="136"/>
      <c r="B105" s="142" t="s">
        <v>718</v>
      </c>
      <c r="C105" s="141">
        <f t="shared" si="12"/>
        <v>1155</v>
      </c>
      <c r="D105" s="141">
        <f t="shared" si="18"/>
        <v>9.1437499999999989</v>
      </c>
      <c r="E105" s="141">
        <f t="shared" si="19"/>
        <v>45</v>
      </c>
      <c r="F105" s="141">
        <f t="shared" si="16"/>
        <v>54.143749999999997</v>
      </c>
      <c r="G105" s="141">
        <f t="shared" si="17"/>
        <v>1110</v>
      </c>
      <c r="I105" s="67"/>
      <c r="J105" s="67"/>
      <c r="K105" s="67"/>
      <c r="L105" s="67"/>
      <c r="M105" s="67"/>
      <c r="N105" s="67">
        <f t="shared" si="11"/>
        <v>44</v>
      </c>
    </row>
    <row r="106" spans="1:14">
      <c r="A106" s="70"/>
      <c r="B106" s="142" t="s">
        <v>720</v>
      </c>
      <c r="C106" s="141">
        <f t="shared" si="12"/>
        <v>1110</v>
      </c>
      <c r="D106" s="141">
        <f t="shared" si="18"/>
        <v>8.7874999999999996</v>
      </c>
      <c r="E106" s="141">
        <f>E105</f>
        <v>45</v>
      </c>
      <c r="F106" s="141">
        <f t="shared" si="16"/>
        <v>53.787500000000001</v>
      </c>
      <c r="G106" s="141">
        <f t="shared" si="17"/>
        <v>1065</v>
      </c>
      <c r="I106" s="57">
        <f>SUM(D102:D113)</f>
        <v>99.037499999999994</v>
      </c>
      <c r="J106" s="57">
        <f>SUM(E102:E113)</f>
        <v>540</v>
      </c>
      <c r="K106" s="57">
        <f>SUM(F102:F113)</f>
        <v>639.03750000000002</v>
      </c>
      <c r="L106" s="57"/>
      <c r="M106" s="57"/>
      <c r="N106" s="67">
        <f t="shared" si="11"/>
        <v>43</v>
      </c>
    </row>
    <row r="107" spans="1:14">
      <c r="B107" s="142" t="s">
        <v>721</v>
      </c>
      <c r="C107" s="141">
        <f t="shared" si="12"/>
        <v>1065</v>
      </c>
      <c r="D107" s="141">
        <f t="shared" si="18"/>
        <v>8.4312500000000004</v>
      </c>
      <c r="E107" s="141">
        <f t="shared" si="19"/>
        <v>45</v>
      </c>
      <c r="F107" s="141">
        <f t="shared" ref="F107:F118" si="20">D107+E107</f>
        <v>53.431249999999999</v>
      </c>
      <c r="G107" s="141">
        <f t="shared" ref="G107:G118" si="21">C107-E107</f>
        <v>1020</v>
      </c>
      <c r="I107" s="67"/>
      <c r="J107" s="67"/>
      <c r="K107" s="67"/>
      <c r="L107" s="67"/>
      <c r="M107" s="67"/>
      <c r="N107" s="67">
        <f t="shared" si="11"/>
        <v>42</v>
      </c>
    </row>
    <row r="108" spans="1:14">
      <c r="A108" s="136"/>
      <c r="B108" s="142" t="s">
        <v>722</v>
      </c>
      <c r="C108" s="141">
        <f t="shared" si="12"/>
        <v>1020</v>
      </c>
      <c r="D108" s="141">
        <f t="shared" si="18"/>
        <v>8.0750000000000011</v>
      </c>
      <c r="E108" s="141">
        <f t="shared" si="19"/>
        <v>45</v>
      </c>
      <c r="F108" s="141">
        <f t="shared" si="20"/>
        <v>53.075000000000003</v>
      </c>
      <c r="G108" s="141">
        <f t="shared" si="21"/>
        <v>975</v>
      </c>
      <c r="I108" s="67"/>
      <c r="J108" s="67"/>
      <c r="K108" s="67"/>
      <c r="L108" s="67"/>
      <c r="M108" s="67"/>
      <c r="N108" s="67">
        <f t="shared" si="11"/>
        <v>41</v>
      </c>
    </row>
    <row r="109" spans="1:14">
      <c r="A109" s="136"/>
      <c r="B109" s="142" t="s">
        <v>725</v>
      </c>
      <c r="C109" s="141">
        <f t="shared" si="12"/>
        <v>975</v>
      </c>
      <c r="D109" s="141">
        <f t="shared" si="18"/>
        <v>7.71875</v>
      </c>
      <c r="E109" s="141">
        <f t="shared" si="19"/>
        <v>45</v>
      </c>
      <c r="F109" s="141">
        <f t="shared" si="20"/>
        <v>52.71875</v>
      </c>
      <c r="G109" s="141">
        <f t="shared" si="21"/>
        <v>930</v>
      </c>
      <c r="I109" s="67"/>
      <c r="J109" s="67"/>
      <c r="K109" s="67"/>
      <c r="L109" s="67"/>
      <c r="M109" s="67"/>
      <c r="N109" s="67">
        <f t="shared" si="11"/>
        <v>40</v>
      </c>
    </row>
    <row r="110" spans="1:14">
      <c r="A110" s="136"/>
      <c r="B110" s="142" t="s">
        <v>726</v>
      </c>
      <c r="C110" s="141">
        <f t="shared" si="12"/>
        <v>930</v>
      </c>
      <c r="D110" s="141">
        <f t="shared" si="18"/>
        <v>7.3624999999999998</v>
      </c>
      <c r="E110" s="141">
        <f t="shared" si="19"/>
        <v>45</v>
      </c>
      <c r="F110" s="141">
        <f t="shared" si="20"/>
        <v>52.362499999999997</v>
      </c>
      <c r="G110" s="141">
        <f t="shared" si="21"/>
        <v>885</v>
      </c>
      <c r="I110" s="67"/>
      <c r="J110" s="67"/>
      <c r="K110" s="67"/>
      <c r="L110" s="67"/>
      <c r="M110" s="67"/>
      <c r="N110" s="67">
        <f t="shared" si="11"/>
        <v>39</v>
      </c>
    </row>
    <row r="111" spans="1:14">
      <c r="A111" s="136"/>
      <c r="B111" s="142" t="s">
        <v>727</v>
      </c>
      <c r="C111" s="141">
        <f t="shared" si="12"/>
        <v>885</v>
      </c>
      <c r="D111" s="141">
        <f t="shared" si="18"/>
        <v>7.0062500000000005</v>
      </c>
      <c r="E111" s="141">
        <f t="shared" si="19"/>
        <v>45</v>
      </c>
      <c r="F111" s="141">
        <f t="shared" si="20"/>
        <v>52.006250000000001</v>
      </c>
      <c r="G111" s="141">
        <f t="shared" si="21"/>
        <v>840</v>
      </c>
      <c r="I111" s="67"/>
      <c r="J111" s="67"/>
      <c r="K111" s="67"/>
      <c r="L111" s="67"/>
      <c r="M111" s="67"/>
      <c r="N111" s="67">
        <f t="shared" ref="N111:N147" si="22">N112+1</f>
        <v>38</v>
      </c>
    </row>
    <row r="112" spans="1:14">
      <c r="A112" s="136"/>
      <c r="B112" s="142" t="s">
        <v>728</v>
      </c>
      <c r="C112" s="141">
        <f t="shared" si="12"/>
        <v>840</v>
      </c>
      <c r="D112" s="141">
        <f t="shared" si="18"/>
        <v>6.6499999999999995</v>
      </c>
      <c r="E112" s="141">
        <f t="shared" si="19"/>
        <v>45</v>
      </c>
      <c r="F112" s="141">
        <f t="shared" si="20"/>
        <v>51.65</v>
      </c>
      <c r="G112" s="141">
        <f t="shared" si="21"/>
        <v>795</v>
      </c>
      <c r="I112" s="67"/>
      <c r="J112" s="67"/>
      <c r="K112" s="67"/>
      <c r="L112" s="67"/>
      <c r="M112" s="67"/>
      <c r="N112" s="67">
        <f t="shared" si="22"/>
        <v>37</v>
      </c>
    </row>
    <row r="113" spans="1:18">
      <c r="A113" s="136"/>
      <c r="B113" s="142" t="s">
        <v>729</v>
      </c>
      <c r="C113" s="141">
        <f t="shared" si="12"/>
        <v>795</v>
      </c>
      <c r="D113" s="141">
        <f t="shared" si="18"/>
        <v>6.2937500000000002</v>
      </c>
      <c r="E113" s="141">
        <f t="shared" si="19"/>
        <v>45</v>
      </c>
      <c r="F113" s="141">
        <f t="shared" si="20"/>
        <v>51.293750000000003</v>
      </c>
      <c r="G113" s="141">
        <f t="shared" si="21"/>
        <v>750</v>
      </c>
      <c r="I113" s="67"/>
      <c r="J113" s="67"/>
      <c r="K113" s="67"/>
      <c r="L113" s="67"/>
      <c r="M113" s="67"/>
      <c r="N113" s="67">
        <f t="shared" si="22"/>
        <v>36</v>
      </c>
    </row>
    <row r="114" spans="1:18">
      <c r="A114" s="136" t="s">
        <v>741</v>
      </c>
      <c r="B114" s="142" t="s">
        <v>724</v>
      </c>
      <c r="C114" s="141">
        <f t="shared" ref="C114:C162" si="23">G113</f>
        <v>750</v>
      </c>
      <c r="D114" s="141">
        <f t="shared" si="18"/>
        <v>5.9375</v>
      </c>
      <c r="E114" s="141">
        <f>E113+5</f>
        <v>50</v>
      </c>
      <c r="F114" s="141">
        <f t="shared" si="20"/>
        <v>55.9375</v>
      </c>
      <c r="G114" s="141">
        <f t="shared" si="21"/>
        <v>700</v>
      </c>
      <c r="I114" s="67"/>
      <c r="J114" s="67"/>
      <c r="K114" s="67"/>
      <c r="L114" s="67"/>
      <c r="M114" s="67"/>
      <c r="N114" s="67">
        <f t="shared" si="22"/>
        <v>35</v>
      </c>
    </row>
    <row r="115" spans="1:18">
      <c r="A115" s="136"/>
      <c r="B115" s="142" t="s">
        <v>707</v>
      </c>
      <c r="C115" s="141">
        <f t="shared" si="23"/>
        <v>700</v>
      </c>
      <c r="D115" s="141">
        <f t="shared" si="18"/>
        <v>5.541666666666667</v>
      </c>
      <c r="E115" s="141">
        <f t="shared" si="19"/>
        <v>50</v>
      </c>
      <c r="F115" s="141">
        <f t="shared" si="20"/>
        <v>55.541666666666664</v>
      </c>
      <c r="G115" s="141">
        <f t="shared" si="21"/>
        <v>650</v>
      </c>
      <c r="I115" s="67"/>
      <c r="J115" s="67"/>
      <c r="K115" s="67"/>
      <c r="L115" s="67"/>
      <c r="M115" s="67"/>
      <c r="N115" s="67">
        <f t="shared" si="22"/>
        <v>34</v>
      </c>
    </row>
    <row r="116" spans="1:18">
      <c r="A116" s="136"/>
      <c r="B116" s="142" t="s">
        <v>708</v>
      </c>
      <c r="C116" s="141">
        <f t="shared" si="23"/>
        <v>650</v>
      </c>
      <c r="D116" s="141">
        <f t="shared" si="18"/>
        <v>5.145833333333333</v>
      </c>
      <c r="E116" s="141">
        <f t="shared" si="19"/>
        <v>50</v>
      </c>
      <c r="F116" s="141">
        <f t="shared" si="20"/>
        <v>55.145833333333336</v>
      </c>
      <c r="G116" s="141">
        <f t="shared" si="21"/>
        <v>600</v>
      </c>
      <c r="I116" s="57"/>
      <c r="J116" s="57"/>
      <c r="K116" s="57"/>
      <c r="L116" s="67"/>
      <c r="M116" s="67"/>
      <c r="N116" s="67">
        <f t="shared" si="22"/>
        <v>33</v>
      </c>
    </row>
    <row r="117" spans="1:18" ht="12" customHeight="1">
      <c r="A117" s="136"/>
      <c r="B117" s="142" t="s">
        <v>718</v>
      </c>
      <c r="C117" s="141">
        <f t="shared" si="23"/>
        <v>600</v>
      </c>
      <c r="D117" s="141">
        <f t="shared" si="18"/>
        <v>4.75</v>
      </c>
      <c r="E117" s="141">
        <f t="shared" si="19"/>
        <v>50</v>
      </c>
      <c r="F117" s="141">
        <f t="shared" si="20"/>
        <v>54.75</v>
      </c>
      <c r="G117" s="141">
        <f t="shared" si="21"/>
        <v>550</v>
      </c>
      <c r="I117" s="67"/>
      <c r="J117" s="67"/>
      <c r="K117" s="67"/>
      <c r="L117" s="67"/>
      <c r="M117" s="67"/>
      <c r="N117" s="67">
        <f t="shared" si="22"/>
        <v>32</v>
      </c>
    </row>
    <row r="118" spans="1:18">
      <c r="A118" s="70"/>
      <c r="B118" s="142" t="s">
        <v>720</v>
      </c>
      <c r="C118" s="141">
        <f t="shared" si="23"/>
        <v>550</v>
      </c>
      <c r="D118" s="141">
        <f t="shared" si="18"/>
        <v>4.354166666666667</v>
      </c>
      <c r="E118" s="141">
        <f t="shared" si="19"/>
        <v>50</v>
      </c>
      <c r="F118" s="143">
        <f t="shared" si="20"/>
        <v>54.354166666666664</v>
      </c>
      <c r="G118" s="143">
        <f t="shared" si="21"/>
        <v>500</v>
      </c>
      <c r="I118" s="57">
        <f>SUM(D114:D125)</f>
        <v>45.125</v>
      </c>
      <c r="J118" s="57">
        <f>SUM(E114:E125)</f>
        <v>600</v>
      </c>
      <c r="K118" s="57">
        <f>SUM(F114:F125)</f>
        <v>645.125</v>
      </c>
      <c r="L118" s="57"/>
      <c r="M118" s="57"/>
      <c r="N118" s="67">
        <f t="shared" si="22"/>
        <v>31</v>
      </c>
    </row>
    <row r="119" spans="1:18">
      <c r="B119" s="142" t="s">
        <v>721</v>
      </c>
      <c r="C119" s="141">
        <f t="shared" si="23"/>
        <v>500</v>
      </c>
      <c r="D119" s="141">
        <f t="shared" si="18"/>
        <v>3.9583333333333335</v>
      </c>
      <c r="E119" s="141">
        <f t="shared" si="19"/>
        <v>50</v>
      </c>
      <c r="F119" s="143">
        <f t="shared" ref="F119:F130" si="24">D119+E119</f>
        <v>53.958333333333336</v>
      </c>
      <c r="G119" s="143">
        <f t="shared" ref="G119:G130" si="25">C119-E119</f>
        <v>450</v>
      </c>
      <c r="I119" s="67"/>
      <c r="J119" s="67"/>
      <c r="K119" s="67"/>
      <c r="L119" s="67"/>
      <c r="M119" s="67"/>
      <c r="N119" s="67">
        <f t="shared" si="22"/>
        <v>30</v>
      </c>
      <c r="Q119" s="51">
        <f>96+12</f>
        <v>108</v>
      </c>
    </row>
    <row r="120" spans="1:18">
      <c r="A120" s="136"/>
      <c r="B120" s="142" t="s">
        <v>722</v>
      </c>
      <c r="C120" s="141">
        <f t="shared" si="23"/>
        <v>450</v>
      </c>
      <c r="D120" s="141">
        <f t="shared" si="18"/>
        <v>3.5625</v>
      </c>
      <c r="E120" s="141">
        <f t="shared" si="19"/>
        <v>50</v>
      </c>
      <c r="F120" s="143">
        <f t="shared" si="24"/>
        <v>53.5625</v>
      </c>
      <c r="G120" s="143">
        <f t="shared" si="25"/>
        <v>400</v>
      </c>
      <c r="I120" s="67"/>
      <c r="J120" s="67"/>
      <c r="K120" s="67"/>
      <c r="L120" s="67"/>
      <c r="M120" s="67"/>
      <c r="N120" s="67">
        <f t="shared" si="22"/>
        <v>29</v>
      </c>
      <c r="R120" s="51">
        <f>96/12</f>
        <v>8</v>
      </c>
    </row>
    <row r="121" spans="1:18">
      <c r="A121" s="136"/>
      <c r="B121" s="142" t="s">
        <v>725</v>
      </c>
      <c r="C121" s="141">
        <f t="shared" si="23"/>
        <v>400</v>
      </c>
      <c r="D121" s="141">
        <f t="shared" si="18"/>
        <v>3.1666666666666665</v>
      </c>
      <c r="E121" s="141">
        <f t="shared" si="19"/>
        <v>50</v>
      </c>
      <c r="F121" s="143">
        <f t="shared" si="24"/>
        <v>53.166666666666664</v>
      </c>
      <c r="G121" s="143">
        <f t="shared" si="25"/>
        <v>350</v>
      </c>
      <c r="I121" s="67"/>
      <c r="J121" s="67"/>
      <c r="K121" s="67"/>
      <c r="L121" s="67"/>
      <c r="M121" s="67"/>
      <c r="N121" s="67">
        <f t="shared" si="22"/>
        <v>28</v>
      </c>
    </row>
    <row r="122" spans="1:18">
      <c r="A122" s="136"/>
      <c r="B122" s="142" t="s">
        <v>726</v>
      </c>
      <c r="C122" s="141">
        <f t="shared" si="23"/>
        <v>350</v>
      </c>
      <c r="D122" s="141">
        <f t="shared" si="18"/>
        <v>2.7708333333333335</v>
      </c>
      <c r="E122" s="141">
        <f t="shared" si="19"/>
        <v>50</v>
      </c>
      <c r="F122" s="143">
        <f t="shared" si="24"/>
        <v>52.770833333333336</v>
      </c>
      <c r="G122" s="143">
        <f t="shared" si="25"/>
        <v>300</v>
      </c>
      <c r="I122" s="67"/>
      <c r="J122" s="67"/>
      <c r="K122" s="67"/>
      <c r="L122" s="67"/>
      <c r="M122" s="67"/>
      <c r="N122" s="67">
        <f t="shared" si="22"/>
        <v>27</v>
      </c>
    </row>
    <row r="123" spans="1:18">
      <c r="A123" s="136"/>
      <c r="B123" s="142" t="s">
        <v>727</v>
      </c>
      <c r="C123" s="141">
        <f t="shared" si="23"/>
        <v>300</v>
      </c>
      <c r="D123" s="141">
        <f t="shared" si="18"/>
        <v>2.375</v>
      </c>
      <c r="E123" s="141">
        <f t="shared" si="19"/>
        <v>50</v>
      </c>
      <c r="F123" s="143">
        <f t="shared" si="24"/>
        <v>52.375</v>
      </c>
      <c r="G123" s="143">
        <f t="shared" si="25"/>
        <v>250</v>
      </c>
      <c r="I123" s="67"/>
      <c r="J123" s="67"/>
      <c r="K123" s="67"/>
      <c r="L123" s="67"/>
      <c r="M123" s="67"/>
      <c r="N123" s="67">
        <f t="shared" si="22"/>
        <v>26</v>
      </c>
    </row>
    <row r="124" spans="1:18">
      <c r="A124" s="136"/>
      <c r="B124" s="142" t="s">
        <v>728</v>
      </c>
      <c r="C124" s="141">
        <f t="shared" si="23"/>
        <v>250</v>
      </c>
      <c r="D124" s="141">
        <f t="shared" si="18"/>
        <v>1.9791666666666667</v>
      </c>
      <c r="E124" s="141">
        <f t="shared" si="19"/>
        <v>50</v>
      </c>
      <c r="F124" s="143">
        <f t="shared" si="24"/>
        <v>51.979166666666664</v>
      </c>
      <c r="G124" s="143">
        <f t="shared" si="25"/>
        <v>200</v>
      </c>
      <c r="I124" s="67"/>
      <c r="J124" s="67"/>
      <c r="K124" s="67"/>
      <c r="L124" s="67"/>
      <c r="M124" s="67"/>
      <c r="N124" s="67">
        <f t="shared" si="22"/>
        <v>25</v>
      </c>
    </row>
    <row r="125" spans="1:18">
      <c r="A125" s="136"/>
      <c r="B125" s="142" t="s">
        <v>729</v>
      </c>
      <c r="C125" s="141">
        <f t="shared" si="23"/>
        <v>200</v>
      </c>
      <c r="D125" s="141">
        <f t="shared" si="18"/>
        <v>1.5833333333333333</v>
      </c>
      <c r="E125" s="141">
        <f t="shared" si="19"/>
        <v>50</v>
      </c>
      <c r="F125" s="143">
        <f t="shared" si="24"/>
        <v>51.583333333333336</v>
      </c>
      <c r="G125" s="143">
        <f t="shared" si="25"/>
        <v>150</v>
      </c>
      <c r="I125" s="67"/>
      <c r="J125" s="67"/>
      <c r="K125" s="67"/>
      <c r="L125" s="67"/>
      <c r="M125" s="67"/>
      <c r="N125" s="67">
        <f t="shared" si="22"/>
        <v>24</v>
      </c>
    </row>
    <row r="126" spans="1:18">
      <c r="A126" s="136" t="s">
        <v>742</v>
      </c>
      <c r="B126" s="142" t="s">
        <v>724</v>
      </c>
      <c r="C126" s="141">
        <f t="shared" si="23"/>
        <v>150</v>
      </c>
      <c r="D126" s="141">
        <f t="shared" si="18"/>
        <v>1.1875</v>
      </c>
      <c r="E126" s="141">
        <f t="shared" si="19"/>
        <v>50</v>
      </c>
      <c r="F126" s="143">
        <f t="shared" si="24"/>
        <v>51.1875</v>
      </c>
      <c r="G126" s="143">
        <f t="shared" si="25"/>
        <v>100</v>
      </c>
      <c r="I126" s="67"/>
      <c r="J126" s="67"/>
      <c r="K126" s="67"/>
      <c r="L126" s="67"/>
      <c r="M126" s="67"/>
      <c r="N126" s="67">
        <f t="shared" si="22"/>
        <v>23</v>
      </c>
    </row>
    <row r="127" spans="1:18">
      <c r="A127" s="136"/>
      <c r="B127" s="142" t="s">
        <v>707</v>
      </c>
      <c r="C127" s="141">
        <f t="shared" si="23"/>
        <v>100</v>
      </c>
      <c r="D127" s="141">
        <f t="shared" si="18"/>
        <v>0.79166666666666663</v>
      </c>
      <c r="E127" s="141">
        <f t="shared" si="19"/>
        <v>50</v>
      </c>
      <c r="F127" s="143">
        <f t="shared" si="24"/>
        <v>50.791666666666664</v>
      </c>
      <c r="G127" s="143">
        <f t="shared" si="25"/>
        <v>50</v>
      </c>
      <c r="I127" s="67"/>
      <c r="J127" s="67"/>
      <c r="K127" s="67"/>
      <c r="L127" s="67"/>
      <c r="M127" s="67"/>
      <c r="N127" s="67">
        <f t="shared" si="22"/>
        <v>22</v>
      </c>
    </row>
    <row r="128" spans="1:18">
      <c r="A128" s="136"/>
      <c r="B128" s="142" t="s">
        <v>708</v>
      </c>
      <c r="C128" s="141">
        <f t="shared" si="23"/>
        <v>50</v>
      </c>
      <c r="D128" s="141">
        <f t="shared" si="18"/>
        <v>0.39583333333333331</v>
      </c>
      <c r="E128" s="141">
        <f t="shared" si="19"/>
        <v>50</v>
      </c>
      <c r="F128" s="143">
        <f t="shared" si="24"/>
        <v>50.395833333333336</v>
      </c>
      <c r="G128" s="143">
        <f t="shared" si="25"/>
        <v>0</v>
      </c>
      <c r="I128" s="67"/>
      <c r="J128" s="67"/>
      <c r="K128" s="67"/>
      <c r="L128" s="67"/>
      <c r="M128" s="67"/>
      <c r="N128" s="67">
        <f t="shared" si="22"/>
        <v>21</v>
      </c>
    </row>
    <row r="129" spans="1:14">
      <c r="A129" s="136"/>
      <c r="B129" s="142" t="s">
        <v>718</v>
      </c>
      <c r="C129" s="141">
        <f t="shared" si="23"/>
        <v>0</v>
      </c>
      <c r="D129" s="141">
        <f t="shared" si="18"/>
        <v>0</v>
      </c>
      <c r="E129" s="143">
        <v>0</v>
      </c>
      <c r="F129" s="143">
        <f t="shared" si="24"/>
        <v>0</v>
      </c>
      <c r="G129" s="143">
        <f t="shared" si="25"/>
        <v>0</v>
      </c>
      <c r="I129" s="67"/>
      <c r="J129" s="67"/>
      <c r="K129" s="67"/>
      <c r="L129" s="67"/>
      <c r="M129" s="67"/>
      <c r="N129" s="67">
        <f t="shared" si="22"/>
        <v>20</v>
      </c>
    </row>
    <row r="130" spans="1:14">
      <c r="A130" s="70"/>
      <c r="B130" s="142" t="s">
        <v>720</v>
      </c>
      <c r="C130" s="141">
        <f t="shared" si="23"/>
        <v>0</v>
      </c>
      <c r="D130" s="141">
        <f t="shared" si="18"/>
        <v>0</v>
      </c>
      <c r="E130" s="143">
        <f>E129</f>
        <v>0</v>
      </c>
      <c r="F130" s="143">
        <f t="shared" si="24"/>
        <v>0</v>
      </c>
      <c r="G130" s="141">
        <f t="shared" si="25"/>
        <v>0</v>
      </c>
      <c r="I130" s="57">
        <f>SUM(D126:D137)</f>
        <v>2.375</v>
      </c>
      <c r="J130" s="57">
        <f>SUM(E126:E137)</f>
        <v>150</v>
      </c>
      <c r="K130" s="57">
        <f>SUM(F126:F137)</f>
        <v>152.375</v>
      </c>
      <c r="L130" s="57"/>
      <c r="M130" s="57"/>
      <c r="N130" s="67">
        <f t="shared" si="22"/>
        <v>19</v>
      </c>
    </row>
    <row r="131" spans="1:14">
      <c r="A131" s="136"/>
      <c r="B131" s="142" t="s">
        <v>721</v>
      </c>
      <c r="C131" s="141">
        <f t="shared" si="23"/>
        <v>0</v>
      </c>
      <c r="D131" s="141">
        <f t="shared" si="18"/>
        <v>0</v>
      </c>
      <c r="E131" s="143">
        <f>E130</f>
        <v>0</v>
      </c>
      <c r="F131" s="143">
        <f t="shared" ref="F131:F142" si="26">D131+E131</f>
        <v>0</v>
      </c>
      <c r="G131" s="141">
        <f t="shared" ref="G131:G142" si="27">C131-E131</f>
        <v>0</v>
      </c>
      <c r="I131" s="57"/>
      <c r="J131" s="57"/>
      <c r="K131" s="57"/>
      <c r="L131" s="57"/>
      <c r="M131" s="57"/>
      <c r="N131" s="67">
        <f t="shared" si="22"/>
        <v>18</v>
      </c>
    </row>
    <row r="132" spans="1:14">
      <c r="A132" s="136"/>
      <c r="B132" s="142" t="s">
        <v>722</v>
      </c>
      <c r="C132" s="141">
        <f t="shared" si="23"/>
        <v>0</v>
      </c>
      <c r="D132" s="141">
        <f t="shared" si="18"/>
        <v>0</v>
      </c>
      <c r="E132" s="143">
        <f>E131</f>
        <v>0</v>
      </c>
      <c r="F132" s="143">
        <f t="shared" si="26"/>
        <v>0</v>
      </c>
      <c r="G132" s="141">
        <f t="shared" si="27"/>
        <v>0</v>
      </c>
      <c r="I132" s="57"/>
      <c r="J132" s="57"/>
      <c r="K132" s="57"/>
      <c r="L132" s="57"/>
      <c r="M132" s="57"/>
      <c r="N132" s="67">
        <f t="shared" si="22"/>
        <v>17</v>
      </c>
    </row>
    <row r="133" spans="1:14">
      <c r="A133" s="136"/>
      <c r="B133" s="142" t="s">
        <v>725</v>
      </c>
      <c r="C133" s="141">
        <f t="shared" si="23"/>
        <v>0</v>
      </c>
      <c r="D133" s="141">
        <f t="shared" si="18"/>
        <v>0</v>
      </c>
      <c r="E133" s="143">
        <f>E132</f>
        <v>0</v>
      </c>
      <c r="F133" s="143">
        <f t="shared" si="26"/>
        <v>0</v>
      </c>
      <c r="G133" s="141">
        <f t="shared" si="27"/>
        <v>0</v>
      </c>
      <c r="I133" s="57"/>
      <c r="J133" s="57"/>
      <c r="K133" s="57"/>
      <c r="L133" s="57"/>
      <c r="M133" s="57"/>
      <c r="N133" s="67">
        <f t="shared" si="22"/>
        <v>16</v>
      </c>
    </row>
    <row r="134" spans="1:14">
      <c r="A134" s="136"/>
      <c r="B134" s="142" t="s">
        <v>726</v>
      </c>
      <c r="C134" s="141">
        <f t="shared" si="23"/>
        <v>0</v>
      </c>
      <c r="D134" s="141">
        <f t="shared" si="18"/>
        <v>0</v>
      </c>
      <c r="E134" s="143">
        <f>E133</f>
        <v>0</v>
      </c>
      <c r="F134" s="143">
        <f t="shared" si="26"/>
        <v>0</v>
      </c>
      <c r="G134" s="141">
        <f t="shared" si="27"/>
        <v>0</v>
      </c>
      <c r="I134" s="57"/>
      <c r="J134" s="57"/>
      <c r="K134" s="57"/>
      <c r="L134" s="57"/>
      <c r="M134" s="57"/>
      <c r="N134" s="67">
        <f t="shared" si="22"/>
        <v>15</v>
      </c>
    </row>
    <row r="135" spans="1:14">
      <c r="A135" s="136"/>
      <c r="B135" s="142" t="s">
        <v>727</v>
      </c>
      <c r="C135" s="141">
        <f t="shared" si="23"/>
        <v>0</v>
      </c>
      <c r="D135" s="141">
        <f t="shared" si="18"/>
        <v>0</v>
      </c>
      <c r="E135" s="143">
        <f t="shared" ref="E135:E162" si="28">E134</f>
        <v>0</v>
      </c>
      <c r="F135" s="143">
        <f t="shared" si="26"/>
        <v>0</v>
      </c>
      <c r="G135" s="141">
        <f t="shared" si="27"/>
        <v>0</v>
      </c>
      <c r="I135" s="57"/>
      <c r="J135" s="57"/>
      <c r="K135" s="57"/>
      <c r="L135" s="57"/>
      <c r="M135" s="57"/>
      <c r="N135" s="67">
        <f t="shared" si="22"/>
        <v>14</v>
      </c>
    </row>
    <row r="136" spans="1:14">
      <c r="A136" s="136"/>
      <c r="B136" s="142" t="s">
        <v>728</v>
      </c>
      <c r="C136" s="141">
        <f t="shared" si="23"/>
        <v>0</v>
      </c>
      <c r="D136" s="141">
        <f t="shared" si="18"/>
        <v>0</v>
      </c>
      <c r="E136" s="143">
        <f t="shared" si="28"/>
        <v>0</v>
      </c>
      <c r="F136" s="143">
        <f t="shared" si="26"/>
        <v>0</v>
      </c>
      <c r="G136" s="141">
        <f t="shared" si="27"/>
        <v>0</v>
      </c>
      <c r="I136" s="57"/>
      <c r="J136" s="57"/>
      <c r="K136" s="57"/>
      <c r="L136" s="57"/>
      <c r="M136" s="57"/>
      <c r="N136" s="67">
        <f t="shared" si="22"/>
        <v>13</v>
      </c>
    </row>
    <row r="137" spans="1:14" s="169" customFormat="1" ht="13.5" thickBot="1">
      <c r="A137" s="471"/>
      <c r="B137" s="773" t="s">
        <v>729</v>
      </c>
      <c r="C137" s="141">
        <f t="shared" si="23"/>
        <v>0</v>
      </c>
      <c r="D137" s="141">
        <f t="shared" si="18"/>
        <v>0</v>
      </c>
      <c r="E137" s="143">
        <f t="shared" si="28"/>
        <v>0</v>
      </c>
      <c r="F137" s="774">
        <f t="shared" si="26"/>
        <v>0</v>
      </c>
      <c r="G137" s="774">
        <f t="shared" si="27"/>
        <v>0</v>
      </c>
      <c r="I137" s="59"/>
      <c r="J137" s="59"/>
      <c r="K137" s="59"/>
      <c r="L137" s="59"/>
      <c r="M137" s="59"/>
      <c r="N137" s="170">
        <f t="shared" si="22"/>
        <v>12</v>
      </c>
    </row>
    <row r="138" spans="1:14" hidden="1">
      <c r="A138" s="301" t="s">
        <v>743</v>
      </c>
      <c r="B138" s="772" t="s">
        <v>724</v>
      </c>
      <c r="C138" s="141">
        <f t="shared" si="23"/>
        <v>0</v>
      </c>
      <c r="D138" s="141">
        <f t="shared" si="18"/>
        <v>0</v>
      </c>
      <c r="E138" s="143">
        <f t="shared" si="28"/>
        <v>0</v>
      </c>
      <c r="F138" s="299">
        <f t="shared" si="26"/>
        <v>0</v>
      </c>
      <c r="G138" s="770">
        <f t="shared" si="27"/>
        <v>0</v>
      </c>
      <c r="I138" s="57"/>
      <c r="J138" s="57"/>
      <c r="K138" s="57"/>
      <c r="L138" s="57"/>
      <c r="M138" s="57"/>
      <c r="N138" s="67">
        <f t="shared" si="22"/>
        <v>11</v>
      </c>
    </row>
    <row r="139" spans="1:14" hidden="1">
      <c r="A139" s="136"/>
      <c r="B139" s="142" t="s">
        <v>707</v>
      </c>
      <c r="C139" s="141">
        <f t="shared" si="23"/>
        <v>0</v>
      </c>
      <c r="D139" s="141">
        <f t="shared" si="18"/>
        <v>0</v>
      </c>
      <c r="E139" s="143">
        <f t="shared" si="28"/>
        <v>0</v>
      </c>
      <c r="F139" s="143">
        <f t="shared" si="26"/>
        <v>0</v>
      </c>
      <c r="G139" s="141">
        <f t="shared" si="27"/>
        <v>0</v>
      </c>
      <c r="I139" s="57"/>
      <c r="J139" s="57"/>
      <c r="K139" s="57"/>
      <c r="L139" s="57"/>
      <c r="M139" s="57"/>
      <c r="N139" s="67">
        <f t="shared" si="22"/>
        <v>10</v>
      </c>
    </row>
    <row r="140" spans="1:14" hidden="1">
      <c r="A140" s="136"/>
      <c r="B140" s="142" t="s">
        <v>708</v>
      </c>
      <c r="C140" s="141">
        <f t="shared" si="23"/>
        <v>0</v>
      </c>
      <c r="D140" s="141">
        <f t="shared" si="18"/>
        <v>0</v>
      </c>
      <c r="E140" s="143">
        <f t="shared" si="28"/>
        <v>0</v>
      </c>
      <c r="F140" s="143">
        <f t="shared" si="26"/>
        <v>0</v>
      </c>
      <c r="G140" s="141">
        <f t="shared" si="27"/>
        <v>0</v>
      </c>
      <c r="I140" s="57"/>
      <c r="J140" s="57"/>
      <c r="K140" s="57"/>
      <c r="L140" s="57"/>
      <c r="M140" s="57"/>
      <c r="N140" s="67">
        <f t="shared" si="22"/>
        <v>9</v>
      </c>
    </row>
    <row r="141" spans="1:14" hidden="1">
      <c r="A141" s="136"/>
      <c r="B141" s="142" t="s">
        <v>718</v>
      </c>
      <c r="C141" s="141">
        <f t="shared" si="23"/>
        <v>0</v>
      </c>
      <c r="D141" s="141">
        <f t="shared" si="18"/>
        <v>0</v>
      </c>
      <c r="E141" s="143">
        <f t="shared" si="28"/>
        <v>0</v>
      </c>
      <c r="F141" s="143">
        <f t="shared" si="26"/>
        <v>0</v>
      </c>
      <c r="G141" s="141">
        <f t="shared" si="27"/>
        <v>0</v>
      </c>
      <c r="I141" s="57"/>
      <c r="J141" s="57"/>
      <c r="K141" s="57"/>
      <c r="L141" s="57"/>
      <c r="M141" s="57"/>
      <c r="N141" s="67">
        <f t="shared" si="22"/>
        <v>8</v>
      </c>
    </row>
    <row r="142" spans="1:14" hidden="1">
      <c r="A142" s="70"/>
      <c r="B142" s="142" t="s">
        <v>720</v>
      </c>
      <c r="C142" s="141">
        <f t="shared" si="23"/>
        <v>0</v>
      </c>
      <c r="D142" s="141">
        <f t="shared" si="18"/>
        <v>0</v>
      </c>
      <c r="E142" s="143">
        <f t="shared" si="28"/>
        <v>0</v>
      </c>
      <c r="F142" s="141">
        <f t="shared" si="26"/>
        <v>0</v>
      </c>
      <c r="G142" s="141">
        <f t="shared" si="27"/>
        <v>0</v>
      </c>
      <c r="I142" s="57">
        <f>SUM(D138:D149)</f>
        <v>0</v>
      </c>
      <c r="J142" s="57">
        <f>SUM(E138:E149)</f>
        <v>0</v>
      </c>
      <c r="K142" s="57">
        <f>SUM(F138:F149)</f>
        <v>0</v>
      </c>
      <c r="L142" s="57"/>
      <c r="M142" s="57"/>
      <c r="N142" s="67">
        <f t="shared" si="22"/>
        <v>7</v>
      </c>
    </row>
    <row r="143" spans="1:14" hidden="1">
      <c r="B143" s="142" t="s">
        <v>721</v>
      </c>
      <c r="C143" s="141">
        <f t="shared" si="23"/>
        <v>0</v>
      </c>
      <c r="D143" s="141">
        <f t="shared" si="18"/>
        <v>0</v>
      </c>
      <c r="E143" s="143">
        <f t="shared" si="28"/>
        <v>0</v>
      </c>
      <c r="F143" s="141">
        <f t="shared" ref="F143:F153" si="29">D143+E143</f>
        <v>0</v>
      </c>
      <c r="G143" s="141">
        <f t="shared" ref="G143:G153" si="30">C143-E143</f>
        <v>0</v>
      </c>
      <c r="I143" s="57"/>
      <c r="J143" s="57"/>
      <c r="K143" s="57"/>
      <c r="L143" s="57"/>
      <c r="M143" s="57"/>
      <c r="N143" s="67">
        <f t="shared" si="22"/>
        <v>6</v>
      </c>
    </row>
    <row r="144" spans="1:14" hidden="1">
      <c r="A144" s="136"/>
      <c r="B144" s="142" t="s">
        <v>722</v>
      </c>
      <c r="C144" s="141">
        <f t="shared" si="23"/>
        <v>0</v>
      </c>
      <c r="D144" s="141">
        <f t="shared" si="18"/>
        <v>0</v>
      </c>
      <c r="E144" s="143">
        <f t="shared" si="28"/>
        <v>0</v>
      </c>
      <c r="F144" s="141">
        <f t="shared" si="29"/>
        <v>0</v>
      </c>
      <c r="G144" s="141">
        <f t="shared" si="30"/>
        <v>0</v>
      </c>
      <c r="I144" s="57"/>
      <c r="J144" s="57"/>
      <c r="K144" s="57"/>
      <c r="L144" s="57"/>
      <c r="M144" s="57"/>
      <c r="N144" s="67">
        <f t="shared" si="22"/>
        <v>5</v>
      </c>
    </row>
    <row r="145" spans="1:14" hidden="1">
      <c r="A145" s="136"/>
      <c r="B145" s="142" t="s">
        <v>725</v>
      </c>
      <c r="C145" s="141">
        <f t="shared" si="23"/>
        <v>0</v>
      </c>
      <c r="D145" s="141">
        <f t="shared" si="18"/>
        <v>0</v>
      </c>
      <c r="E145" s="143">
        <f t="shared" si="28"/>
        <v>0</v>
      </c>
      <c r="F145" s="141">
        <f t="shared" si="29"/>
        <v>0</v>
      </c>
      <c r="G145" s="141">
        <f t="shared" si="30"/>
        <v>0</v>
      </c>
      <c r="I145" s="57"/>
      <c r="J145" s="57"/>
      <c r="K145" s="57"/>
      <c r="L145" s="57"/>
      <c r="M145" s="57"/>
      <c r="N145" s="67">
        <f t="shared" si="22"/>
        <v>4</v>
      </c>
    </row>
    <row r="146" spans="1:14" hidden="1">
      <c r="A146" s="136"/>
      <c r="B146" s="142" t="s">
        <v>726</v>
      </c>
      <c r="C146" s="141">
        <f t="shared" si="23"/>
        <v>0</v>
      </c>
      <c r="D146" s="141">
        <f t="shared" si="18"/>
        <v>0</v>
      </c>
      <c r="E146" s="143">
        <f t="shared" si="28"/>
        <v>0</v>
      </c>
      <c r="F146" s="141">
        <f t="shared" si="29"/>
        <v>0</v>
      </c>
      <c r="G146" s="141">
        <f t="shared" si="30"/>
        <v>0</v>
      </c>
      <c r="I146" s="57"/>
      <c r="J146" s="57"/>
      <c r="K146" s="57"/>
      <c r="L146" s="57"/>
      <c r="M146" s="57"/>
      <c r="N146" s="67">
        <f t="shared" si="22"/>
        <v>3</v>
      </c>
    </row>
    <row r="147" spans="1:14" hidden="1">
      <c r="A147" s="136"/>
      <c r="B147" s="142" t="s">
        <v>727</v>
      </c>
      <c r="C147" s="141">
        <f t="shared" si="23"/>
        <v>0</v>
      </c>
      <c r="D147" s="141">
        <f t="shared" ref="D147:D162" si="31">C147*0.095/12</f>
        <v>0</v>
      </c>
      <c r="E147" s="143">
        <f t="shared" si="28"/>
        <v>0</v>
      </c>
      <c r="F147" s="141">
        <f t="shared" si="29"/>
        <v>0</v>
      </c>
      <c r="G147" s="141">
        <f t="shared" si="30"/>
        <v>0</v>
      </c>
      <c r="I147" s="57"/>
      <c r="J147" s="57"/>
      <c r="K147" s="57"/>
      <c r="L147" s="57"/>
      <c r="M147" s="57"/>
      <c r="N147" s="67">
        <f t="shared" si="22"/>
        <v>2</v>
      </c>
    </row>
    <row r="148" spans="1:14" hidden="1">
      <c r="A148" s="136"/>
      <c r="B148" s="142" t="s">
        <v>728</v>
      </c>
      <c r="C148" s="141">
        <f t="shared" si="23"/>
        <v>0</v>
      </c>
      <c r="D148" s="141">
        <f t="shared" si="31"/>
        <v>0</v>
      </c>
      <c r="E148" s="143">
        <f t="shared" si="28"/>
        <v>0</v>
      </c>
      <c r="F148" s="141">
        <f t="shared" si="29"/>
        <v>0</v>
      </c>
      <c r="G148" s="141">
        <f t="shared" si="30"/>
        <v>0</v>
      </c>
      <c r="I148" s="57"/>
      <c r="J148" s="57"/>
      <c r="K148" s="57"/>
      <c r="L148" s="57"/>
      <c r="M148" s="57"/>
      <c r="N148" s="67">
        <v>1</v>
      </c>
    </row>
    <row r="149" spans="1:14" hidden="1">
      <c r="A149" s="136"/>
      <c r="B149" s="142" t="s">
        <v>729</v>
      </c>
      <c r="C149" s="141">
        <f t="shared" si="23"/>
        <v>0</v>
      </c>
      <c r="D149" s="141">
        <f t="shared" si="31"/>
        <v>0</v>
      </c>
      <c r="E149" s="143">
        <f t="shared" si="28"/>
        <v>0</v>
      </c>
      <c r="F149" s="141">
        <f t="shared" si="29"/>
        <v>0</v>
      </c>
      <c r="G149" s="141">
        <f>C149-E149</f>
        <v>0</v>
      </c>
      <c r="I149" s="57"/>
      <c r="J149" s="57"/>
      <c r="K149" s="57"/>
      <c r="L149" s="57"/>
      <c r="M149" s="57"/>
      <c r="N149" s="67"/>
    </row>
    <row r="150" spans="1:14" hidden="1">
      <c r="A150" s="136" t="s">
        <v>744</v>
      </c>
      <c r="B150" s="142" t="s">
        <v>724</v>
      </c>
      <c r="C150" s="141">
        <f t="shared" si="23"/>
        <v>0</v>
      </c>
      <c r="D150" s="141">
        <f t="shared" si="31"/>
        <v>0</v>
      </c>
      <c r="E150" s="143">
        <f t="shared" si="28"/>
        <v>0</v>
      </c>
      <c r="F150" s="141">
        <f t="shared" si="29"/>
        <v>0</v>
      </c>
      <c r="G150" s="141">
        <f t="shared" si="30"/>
        <v>0</v>
      </c>
      <c r="I150" s="57">
        <f>SUM(D150:D153)</f>
        <v>0</v>
      </c>
      <c r="J150" s="57">
        <f>SUM(E150:E153)</f>
        <v>0</v>
      </c>
      <c r="K150" s="57">
        <f>SUM(F150:F153)</f>
        <v>0</v>
      </c>
      <c r="L150" s="57"/>
      <c r="M150" s="57"/>
    </row>
    <row r="151" spans="1:14" hidden="1">
      <c r="A151" s="136"/>
      <c r="B151" s="142" t="s">
        <v>707</v>
      </c>
      <c r="C151" s="141">
        <f t="shared" si="23"/>
        <v>0</v>
      </c>
      <c r="D151" s="141">
        <f t="shared" si="31"/>
        <v>0</v>
      </c>
      <c r="E151" s="143">
        <f t="shared" si="28"/>
        <v>0</v>
      </c>
      <c r="F151" s="141">
        <f t="shared" si="29"/>
        <v>0</v>
      </c>
      <c r="G151" s="141">
        <f t="shared" si="30"/>
        <v>0</v>
      </c>
      <c r="I151" s="57"/>
      <c r="J151" s="57"/>
      <c r="K151" s="57"/>
      <c r="L151" s="57"/>
      <c r="M151" s="57"/>
    </row>
    <row r="152" spans="1:14" hidden="1">
      <c r="A152" s="136"/>
      <c r="B152" s="142" t="s">
        <v>708</v>
      </c>
      <c r="C152" s="141">
        <f t="shared" si="23"/>
        <v>0</v>
      </c>
      <c r="D152" s="141">
        <f t="shared" si="31"/>
        <v>0</v>
      </c>
      <c r="E152" s="143">
        <f t="shared" si="28"/>
        <v>0</v>
      </c>
      <c r="F152" s="141">
        <f t="shared" si="29"/>
        <v>0</v>
      </c>
      <c r="G152" s="141">
        <f t="shared" si="30"/>
        <v>0</v>
      </c>
      <c r="I152" s="57"/>
      <c r="J152" s="57"/>
      <c r="K152" s="57"/>
      <c r="L152" s="57"/>
      <c r="M152" s="57"/>
    </row>
    <row r="153" spans="1:14" hidden="1">
      <c r="A153" s="136"/>
      <c r="B153" s="142" t="s">
        <v>718</v>
      </c>
      <c r="C153" s="141">
        <f t="shared" si="23"/>
        <v>0</v>
      </c>
      <c r="D153" s="141">
        <f t="shared" si="31"/>
        <v>0</v>
      </c>
      <c r="E153" s="143">
        <f t="shared" si="28"/>
        <v>0</v>
      </c>
      <c r="F153" s="141">
        <f t="shared" si="29"/>
        <v>0</v>
      </c>
      <c r="G153" s="141">
        <f t="shared" si="30"/>
        <v>0</v>
      </c>
      <c r="I153" s="57"/>
      <c r="J153" s="57"/>
      <c r="K153" s="57"/>
      <c r="L153" s="57"/>
      <c r="M153" s="57"/>
    </row>
    <row r="154" spans="1:14" hidden="1">
      <c r="A154" s="136"/>
      <c r="B154" s="753" t="s">
        <v>720</v>
      </c>
      <c r="C154" s="141">
        <f t="shared" si="23"/>
        <v>0</v>
      </c>
      <c r="D154" s="141">
        <f t="shared" si="31"/>
        <v>0</v>
      </c>
      <c r="E154" s="143">
        <f t="shared" si="28"/>
        <v>0</v>
      </c>
      <c r="F154" s="141">
        <f t="shared" ref="F154:F162" si="32">D154+E154</f>
        <v>0</v>
      </c>
      <c r="G154" s="141">
        <f t="shared" ref="G154:G162" si="33">C154-E154</f>
        <v>0</v>
      </c>
      <c r="I154" s="57"/>
      <c r="J154" s="57"/>
      <c r="K154" s="57"/>
      <c r="L154" s="57"/>
      <c r="M154" s="57"/>
    </row>
    <row r="155" spans="1:14" hidden="1">
      <c r="A155" s="136"/>
      <c r="B155" s="142" t="s">
        <v>720</v>
      </c>
      <c r="C155" s="141">
        <f t="shared" si="23"/>
        <v>0</v>
      </c>
      <c r="D155" s="141">
        <f t="shared" si="31"/>
        <v>0</v>
      </c>
      <c r="E155" s="143">
        <f t="shared" si="28"/>
        <v>0</v>
      </c>
      <c r="F155" s="141">
        <f t="shared" si="32"/>
        <v>0</v>
      </c>
      <c r="G155" s="141">
        <f t="shared" si="33"/>
        <v>0</v>
      </c>
      <c r="I155" s="57"/>
      <c r="J155" s="57"/>
      <c r="K155" s="57"/>
      <c r="L155" s="57"/>
      <c r="M155" s="57"/>
    </row>
    <row r="156" spans="1:14" hidden="1">
      <c r="A156" s="136"/>
      <c r="B156" s="142" t="s">
        <v>721</v>
      </c>
      <c r="C156" s="141">
        <f t="shared" si="23"/>
        <v>0</v>
      </c>
      <c r="D156" s="141">
        <f t="shared" si="31"/>
        <v>0</v>
      </c>
      <c r="E156" s="143">
        <f t="shared" si="28"/>
        <v>0</v>
      </c>
      <c r="F156" s="141">
        <f t="shared" si="32"/>
        <v>0</v>
      </c>
      <c r="G156" s="141">
        <f t="shared" si="33"/>
        <v>0</v>
      </c>
      <c r="I156" s="57"/>
      <c r="J156" s="57"/>
      <c r="K156" s="57"/>
      <c r="L156" s="57"/>
      <c r="M156" s="57"/>
    </row>
    <row r="157" spans="1:14" hidden="1">
      <c r="A157" s="136"/>
      <c r="B157" s="142" t="s">
        <v>722</v>
      </c>
      <c r="C157" s="141">
        <f t="shared" si="23"/>
        <v>0</v>
      </c>
      <c r="D157" s="141">
        <f t="shared" si="31"/>
        <v>0</v>
      </c>
      <c r="E157" s="143">
        <f t="shared" si="28"/>
        <v>0</v>
      </c>
      <c r="F157" s="141">
        <f t="shared" si="32"/>
        <v>0</v>
      </c>
      <c r="G157" s="141">
        <f t="shared" si="33"/>
        <v>0</v>
      </c>
      <c r="I157" s="57"/>
      <c r="J157" s="57"/>
      <c r="K157" s="57"/>
      <c r="L157" s="57"/>
      <c r="M157" s="57"/>
    </row>
    <row r="158" spans="1:14" ht="13.5" hidden="1" thickBot="1">
      <c r="A158" s="136"/>
      <c r="B158" s="142" t="s">
        <v>725</v>
      </c>
      <c r="C158" s="141">
        <f t="shared" si="23"/>
        <v>0</v>
      </c>
      <c r="D158" s="141">
        <f t="shared" si="31"/>
        <v>0</v>
      </c>
      <c r="E158" s="774">
        <f t="shared" si="28"/>
        <v>0</v>
      </c>
      <c r="F158" s="141">
        <f t="shared" si="32"/>
        <v>0</v>
      </c>
      <c r="G158" s="141">
        <f t="shared" si="33"/>
        <v>0</v>
      </c>
      <c r="I158" s="57"/>
      <c r="J158" s="57"/>
      <c r="K158" s="57"/>
      <c r="L158" s="57"/>
      <c r="M158" s="57"/>
    </row>
    <row r="159" spans="1:14" ht="13.5" hidden="1" thickBot="1">
      <c r="A159" s="136"/>
      <c r="B159" s="142" t="s">
        <v>726</v>
      </c>
      <c r="C159" s="141">
        <f t="shared" si="23"/>
        <v>0</v>
      </c>
      <c r="D159" s="141">
        <f t="shared" si="31"/>
        <v>0</v>
      </c>
      <c r="E159" s="774">
        <f t="shared" si="28"/>
        <v>0</v>
      </c>
      <c r="F159" s="141">
        <f t="shared" si="32"/>
        <v>0</v>
      </c>
      <c r="G159" s="141">
        <f t="shared" si="33"/>
        <v>0</v>
      </c>
      <c r="I159" s="57"/>
      <c r="J159" s="57"/>
      <c r="K159" s="57"/>
      <c r="L159" s="57"/>
      <c r="M159" s="57"/>
    </row>
    <row r="160" spans="1:14" ht="13.5" hidden="1" thickBot="1">
      <c r="A160" s="136"/>
      <c r="B160" s="142" t="s">
        <v>727</v>
      </c>
      <c r="C160" s="141">
        <f t="shared" si="23"/>
        <v>0</v>
      </c>
      <c r="D160" s="141">
        <f t="shared" si="31"/>
        <v>0</v>
      </c>
      <c r="E160" s="774">
        <f t="shared" si="28"/>
        <v>0</v>
      </c>
      <c r="F160" s="141">
        <f t="shared" si="32"/>
        <v>0</v>
      </c>
      <c r="G160" s="141">
        <f t="shared" si="33"/>
        <v>0</v>
      </c>
      <c r="I160" s="57"/>
      <c r="J160" s="57"/>
      <c r="K160" s="57"/>
      <c r="L160" s="57"/>
      <c r="M160" s="57"/>
    </row>
    <row r="161" spans="1:13" ht="13.5" hidden="1" thickBot="1">
      <c r="A161" s="136"/>
      <c r="B161" s="142" t="s">
        <v>728</v>
      </c>
      <c r="C161" s="141">
        <f t="shared" si="23"/>
        <v>0</v>
      </c>
      <c r="D161" s="141">
        <f t="shared" si="31"/>
        <v>0</v>
      </c>
      <c r="E161" s="774">
        <f t="shared" si="28"/>
        <v>0</v>
      </c>
      <c r="F161" s="141">
        <f t="shared" si="32"/>
        <v>0</v>
      </c>
      <c r="G161" s="141">
        <f t="shared" si="33"/>
        <v>0</v>
      </c>
      <c r="I161" s="57"/>
      <c r="J161" s="57"/>
      <c r="K161" s="57"/>
      <c r="L161" s="57"/>
      <c r="M161" s="57"/>
    </row>
    <row r="162" spans="1:13" ht="13.5" hidden="1" thickBot="1">
      <c r="A162" s="136"/>
      <c r="B162" s="142" t="s">
        <v>729</v>
      </c>
      <c r="C162" s="141">
        <f t="shared" si="23"/>
        <v>0</v>
      </c>
      <c r="D162" s="141">
        <f t="shared" si="31"/>
        <v>0</v>
      </c>
      <c r="E162" s="774">
        <f t="shared" si="28"/>
        <v>0</v>
      </c>
      <c r="F162" s="141">
        <f t="shared" si="32"/>
        <v>0</v>
      </c>
      <c r="G162" s="141">
        <f t="shared" si="33"/>
        <v>0</v>
      </c>
      <c r="I162" s="57"/>
      <c r="J162" s="57"/>
      <c r="K162" s="57"/>
      <c r="L162" s="57"/>
      <c r="M162" s="57"/>
    </row>
    <row r="163" spans="1:13" ht="13.5" thickBot="1">
      <c r="A163" s="137" t="s">
        <v>347</v>
      </c>
      <c r="B163" s="144"/>
      <c r="C163" s="754"/>
      <c r="D163" s="138">
        <f>SUM(D18:D154)</f>
        <v>1424.2479166666667</v>
      </c>
      <c r="E163" s="138">
        <f>SUM(E18:E154)</f>
        <v>2700</v>
      </c>
      <c r="F163" s="138">
        <f>SUM(F18:F154)</f>
        <v>4124.2479166666662</v>
      </c>
      <c r="G163" s="755"/>
      <c r="H163" s="6"/>
      <c r="I163" s="752">
        <f>SUM(I33:I154)</f>
        <v>1424.2479166666665</v>
      </c>
      <c r="J163" s="138">
        <f>SUM(J33:J154)</f>
        <v>2700</v>
      </c>
      <c r="K163" s="138">
        <f>SUM(K33:K154)</f>
        <v>4102.8729166666672</v>
      </c>
      <c r="L163" s="6"/>
      <c r="M163" s="6"/>
    </row>
    <row r="164" spans="1:13">
      <c r="A164" s="6"/>
      <c r="B164" s="145"/>
      <c r="C164" s="43"/>
      <c r="D164" s="43"/>
      <c r="E164" s="43"/>
      <c r="F164" s="43"/>
      <c r="G164" s="43"/>
      <c r="H164" s="84"/>
      <c r="I164" s="67"/>
      <c r="J164" s="67"/>
      <c r="K164" s="67"/>
      <c r="L164" s="67"/>
      <c r="M164" s="67"/>
    </row>
    <row r="165" spans="1:13">
      <c r="A165" s="6"/>
      <c r="B165" s="145"/>
      <c r="C165" s="43"/>
      <c r="D165" s="43"/>
      <c r="E165" s="43"/>
      <c r="F165" s="43"/>
      <c r="G165" s="43"/>
      <c r="H165" s="84"/>
      <c r="I165" s="67"/>
      <c r="J165" s="67"/>
      <c r="K165" s="67"/>
      <c r="L165" s="67"/>
      <c r="M165" s="67"/>
    </row>
    <row r="166" spans="1:13">
      <c r="A166" s="6"/>
      <c r="B166" s="145"/>
      <c r="C166" s="43"/>
      <c r="D166" s="43"/>
      <c r="E166" s="43"/>
      <c r="F166" s="43"/>
      <c r="G166" s="43"/>
      <c r="H166" s="84"/>
      <c r="I166" s="67"/>
      <c r="J166" s="67"/>
      <c r="K166" s="67"/>
      <c r="L166" s="67"/>
      <c r="M166" s="67"/>
    </row>
    <row r="167" spans="1:13">
      <c r="A167" s="6"/>
      <c r="B167" s="145"/>
      <c r="C167" s="43"/>
      <c r="D167" s="43"/>
      <c r="E167" s="43"/>
      <c r="F167" s="43"/>
      <c r="G167" s="43"/>
      <c r="H167" s="84"/>
      <c r="I167" s="67"/>
      <c r="J167" s="67"/>
      <c r="K167" s="67"/>
      <c r="L167" s="67"/>
      <c r="M167" s="67"/>
    </row>
    <row r="168" spans="1:13">
      <c r="A168" s="84"/>
      <c r="B168" s="145"/>
      <c r="C168" s="84"/>
      <c r="D168" s="84"/>
      <c r="E168" s="84"/>
      <c r="F168" s="84"/>
      <c r="G168" s="84"/>
      <c r="H168" s="84"/>
      <c r="I168" s="67"/>
      <c r="J168" s="67"/>
      <c r="K168" s="67"/>
      <c r="L168" s="67"/>
      <c r="M168" s="67"/>
    </row>
    <row r="169" spans="1:13">
      <c r="A169" s="84"/>
      <c r="B169" s="145"/>
      <c r="C169" s="84"/>
      <c r="D169" s="84"/>
      <c r="E169" s="84"/>
      <c r="F169" s="84"/>
      <c r="G169" s="84"/>
      <c r="H169" s="84"/>
      <c r="I169" s="67"/>
      <c r="J169" s="67"/>
      <c r="K169" s="67"/>
      <c r="L169" s="67"/>
      <c r="M169" s="67"/>
    </row>
    <row r="170" spans="1:13">
      <c r="I170" s="67"/>
      <c r="J170" s="67"/>
      <c r="K170" s="67"/>
      <c r="L170" s="67"/>
      <c r="M170" s="67"/>
    </row>
    <row r="171" spans="1:13">
      <c r="I171" s="67"/>
      <c r="J171" s="67"/>
      <c r="K171" s="67"/>
      <c r="L171" s="67"/>
      <c r="M171" s="67"/>
    </row>
    <row r="172" spans="1:13">
      <c r="I172" s="67"/>
      <c r="J172" s="67"/>
      <c r="K172" s="67"/>
      <c r="L172" s="67"/>
      <c r="M172" s="67"/>
    </row>
    <row r="173" spans="1:13">
      <c r="I173" s="67"/>
      <c r="J173" s="67"/>
      <c r="K173" s="67"/>
      <c r="L173" s="67"/>
      <c r="M173" s="67"/>
    </row>
    <row r="174" spans="1:13">
      <c r="I174" s="67"/>
      <c r="J174" s="67"/>
      <c r="K174" s="67"/>
      <c r="L174" s="67"/>
      <c r="M174" s="67"/>
    </row>
    <row r="175" spans="1:13">
      <c r="I175" s="67"/>
      <c r="J175" s="67"/>
      <c r="K175" s="67"/>
      <c r="L175" s="67"/>
      <c r="M175" s="67"/>
    </row>
    <row r="176" spans="1:13">
      <c r="F176" s="51">
        <f>250.38-82.38</f>
        <v>168</v>
      </c>
      <c r="I176" s="67"/>
      <c r="J176" s="67"/>
      <c r="K176" s="67"/>
      <c r="L176" s="67"/>
      <c r="M176" s="67"/>
    </row>
    <row r="177" spans="6:7">
      <c r="F177" s="51">
        <f>+F176/12</f>
        <v>14</v>
      </c>
    </row>
    <row r="178" spans="6:7">
      <c r="F178" s="51">
        <f>241.06-61.06</f>
        <v>180</v>
      </c>
    </row>
    <row r="180" spans="6:7">
      <c r="G180" s="51">
        <f>229.5-37.5</f>
        <v>192</v>
      </c>
    </row>
    <row r="181" spans="6:7">
      <c r="G181" s="51">
        <f>+G180/12</f>
        <v>16</v>
      </c>
    </row>
    <row r="184" spans="6:7">
      <c r="G184" s="51">
        <f>209.44-13.44</f>
        <v>196</v>
      </c>
    </row>
    <row r="185" spans="6:7">
      <c r="G185" s="51">
        <f>+G184/12</f>
        <v>16.333333333333332</v>
      </c>
    </row>
  </sheetData>
  <mergeCells count="2">
    <mergeCell ref="A6:G6"/>
    <mergeCell ref="I35:K35"/>
  </mergeCells>
  <phoneticPr fontId="2" type="noConversion"/>
  <pageMargins left="0.47244094488188981" right="0.11811023622047245" top="0.59055118110236227" bottom="0.15748031496062992" header="0.23622047244094491" footer="0.19685039370078741"/>
  <pageSetup paperSize="9" scale="69" orientation="portrait" r:id="rId1"/>
  <headerFooter alignWithMargins="0">
    <oddHeader>&amp;RHOTEL CITY WALK INTERNATIONAL
GUWAHATI</oddHeader>
  </headerFooter>
  <rowBreaks count="1" manualBreakCount="1">
    <brk id="77" max="7"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F351-8245-4DB8-89F6-99D07F5ECE8D}">
  <dimension ref="A2:W157"/>
  <sheetViews>
    <sheetView view="pageBreakPreview" topLeftCell="A7" zoomScale="117" zoomScaleNormal="100" zoomScaleSheetLayoutView="90" zoomScalePageLayoutView="40" workbookViewId="0">
      <selection activeCell="E137" sqref="E137"/>
    </sheetView>
  </sheetViews>
  <sheetFormatPr defaultRowHeight="12.75"/>
  <cols>
    <col min="1" max="1" width="12.7109375" style="51" customWidth="1"/>
    <col min="2" max="2" width="9.140625" style="51"/>
    <col min="3" max="3" width="10.42578125" style="51" bestFit="1" customWidth="1"/>
    <col min="4" max="4" width="10.5703125" style="51" customWidth="1"/>
    <col min="5" max="5" width="11.85546875" style="51" customWidth="1"/>
    <col min="6" max="6" width="12.28515625" style="51" customWidth="1"/>
    <col min="7" max="7" width="11.28515625" style="51" customWidth="1"/>
    <col min="8" max="8" width="11.7109375" style="51" bestFit="1" customWidth="1"/>
    <col min="9" max="10" width="9.28515625" style="51" bestFit="1" customWidth="1"/>
    <col min="11" max="11" width="9.28515625" style="51" customWidth="1"/>
    <col min="12" max="13" width="9.140625" style="51" hidden="1" customWidth="1"/>
    <col min="14" max="23" width="9.28515625" style="51" bestFit="1" customWidth="1"/>
    <col min="24" max="16384" width="9.140625" style="51"/>
  </cols>
  <sheetData>
    <row r="2" spans="1:16">
      <c r="F2" s="1009">
        <v>42</v>
      </c>
    </row>
    <row r="3" spans="1:16">
      <c r="K3" s="84"/>
      <c r="L3" s="84"/>
      <c r="M3" s="84"/>
    </row>
    <row r="4" spans="1:16">
      <c r="A4" s="1094" t="s">
        <v>745</v>
      </c>
      <c r="B4" s="1094"/>
      <c r="C4" s="1094"/>
      <c r="D4" s="1094"/>
      <c r="E4" s="1094"/>
      <c r="F4" s="1094"/>
      <c r="G4" s="1094"/>
      <c r="H4" s="1094"/>
      <c r="I4" s="1094"/>
      <c r="J4" s="1094"/>
      <c r="K4" s="1094"/>
      <c r="L4" s="84"/>
      <c r="M4" s="84"/>
    </row>
    <row r="5" spans="1:16">
      <c r="A5" s="1021" t="s">
        <v>746</v>
      </c>
      <c r="B5" s="1021"/>
      <c r="C5" s="1021"/>
      <c r="D5" s="1021"/>
      <c r="E5" s="1021"/>
      <c r="F5" s="1021"/>
      <c r="G5" s="1021"/>
      <c r="H5" s="1021"/>
      <c r="I5" s="1021"/>
      <c r="J5" s="1021"/>
      <c r="K5" s="1021"/>
      <c r="L5" s="84"/>
      <c r="M5" s="84"/>
    </row>
    <row r="6" spans="1:16">
      <c r="C6" s="50"/>
      <c r="D6" s="50"/>
      <c r="G6" s="999"/>
      <c r="H6" s="999"/>
      <c r="I6" s="50"/>
      <c r="J6" s="50"/>
      <c r="K6" s="84"/>
      <c r="L6" s="84"/>
      <c r="M6" s="84"/>
    </row>
    <row r="7" spans="1:16">
      <c r="A7" s="73" t="s">
        <v>747</v>
      </c>
      <c r="K7" s="84"/>
      <c r="L7" s="84"/>
      <c r="M7" s="84"/>
    </row>
    <row r="8" spans="1:16" ht="3" customHeight="1">
      <c r="A8" s="50"/>
      <c r="K8" s="84"/>
      <c r="L8" s="84"/>
      <c r="M8" s="84"/>
    </row>
    <row r="9" spans="1:16" ht="13.5" thickBot="1">
      <c r="J9" s="999" t="s">
        <v>92</v>
      </c>
      <c r="K9" s="84"/>
      <c r="L9" s="84"/>
      <c r="M9" s="84"/>
    </row>
    <row r="10" spans="1:16" ht="13.5" thickBot="1">
      <c r="A10" s="148"/>
      <c r="B10" s="149"/>
      <c r="C10" s="149"/>
      <c r="D10" s="146" t="s">
        <v>95</v>
      </c>
      <c r="E10" s="146" t="s">
        <v>96</v>
      </c>
      <c r="F10" s="146" t="s">
        <v>97</v>
      </c>
      <c r="G10" s="146" t="s">
        <v>98</v>
      </c>
      <c r="H10" s="146" t="s">
        <v>99</v>
      </c>
      <c r="I10" s="146" t="s">
        <v>100</v>
      </c>
      <c r="J10" s="146" t="s">
        <v>101</v>
      </c>
      <c r="K10" s="146" t="s">
        <v>102</v>
      </c>
      <c r="L10" s="146" t="s">
        <v>103</v>
      </c>
      <c r="M10" s="146" t="s">
        <v>452</v>
      </c>
      <c r="O10" s="1002" t="s">
        <v>748</v>
      </c>
    </row>
    <row r="11" spans="1:16" ht="5.25" customHeight="1"/>
    <row r="12" spans="1:16">
      <c r="A12" s="147" t="s">
        <v>749</v>
      </c>
    </row>
    <row r="13" spans="1:16" ht="4.5" customHeight="1">
      <c r="G13" s="139"/>
      <c r="H13" s="139"/>
    </row>
    <row r="14" spans="1:16">
      <c r="A14" s="51" t="s">
        <v>750</v>
      </c>
      <c r="D14" s="67">
        <f>D129</f>
        <v>0</v>
      </c>
      <c r="E14" s="67">
        <f t="shared" ref="E14:M14" si="0">+D18</f>
        <v>0</v>
      </c>
      <c r="F14" s="67">
        <f t="shared" si="0"/>
        <v>0</v>
      </c>
      <c r="G14" s="67">
        <f t="shared" si="0"/>
        <v>0</v>
      </c>
      <c r="H14" s="67">
        <f t="shared" si="0"/>
        <v>0</v>
      </c>
      <c r="I14" s="67">
        <f t="shared" si="0"/>
        <v>0</v>
      </c>
      <c r="J14" s="67">
        <f t="shared" si="0"/>
        <v>0</v>
      </c>
      <c r="K14" s="67">
        <f t="shared" si="0"/>
        <v>0</v>
      </c>
      <c r="L14" s="67">
        <f t="shared" si="0"/>
        <v>0</v>
      </c>
      <c r="M14" s="67">
        <f t="shared" si="0"/>
        <v>0</v>
      </c>
      <c r="N14" s="67"/>
      <c r="O14" s="67"/>
      <c r="P14" s="67"/>
    </row>
    <row r="15" spans="1:16" ht="6" customHeight="1">
      <c r="D15" s="67"/>
      <c r="E15" s="67"/>
      <c r="F15" s="67"/>
      <c r="G15" s="67"/>
      <c r="H15" s="67"/>
      <c r="I15" s="67"/>
      <c r="J15" s="67"/>
      <c r="K15" s="67"/>
      <c r="L15" s="67"/>
      <c r="M15" s="67"/>
    </row>
    <row r="16" spans="1:16">
      <c r="A16" s="51" t="s">
        <v>751</v>
      </c>
      <c r="D16" s="67">
        <v>0</v>
      </c>
      <c r="E16" s="67">
        <v>0</v>
      </c>
      <c r="F16" s="67">
        <v>0</v>
      </c>
      <c r="G16" s="67">
        <v>0</v>
      </c>
      <c r="H16" s="67">
        <v>0</v>
      </c>
      <c r="I16" s="67">
        <v>0</v>
      </c>
      <c r="J16" s="67">
        <v>0</v>
      </c>
      <c r="K16" s="67">
        <v>0</v>
      </c>
      <c r="L16" s="67">
        <v>0</v>
      </c>
      <c r="M16" s="67">
        <v>0</v>
      </c>
    </row>
    <row r="17" spans="1:16" ht="4.5" customHeight="1">
      <c r="D17" s="67"/>
      <c r="E17" s="67"/>
      <c r="F17" s="67"/>
      <c r="G17" s="67"/>
      <c r="H17" s="67"/>
      <c r="I17" s="67"/>
      <c r="J17" s="67"/>
      <c r="K17" s="67"/>
      <c r="L17" s="67"/>
      <c r="M17" s="67"/>
    </row>
    <row r="18" spans="1:16" ht="13.5" thickBot="1">
      <c r="A18" s="54" t="s">
        <v>752</v>
      </c>
      <c r="B18" s="54"/>
      <c r="C18" s="54"/>
      <c r="D18" s="90">
        <f t="shared" ref="D18:J18" si="1">D14-D16</f>
        <v>0</v>
      </c>
      <c r="E18" s="90">
        <f t="shared" si="1"/>
        <v>0</v>
      </c>
      <c r="F18" s="90">
        <f t="shared" si="1"/>
        <v>0</v>
      </c>
      <c r="G18" s="90">
        <f t="shared" si="1"/>
        <v>0</v>
      </c>
      <c r="H18" s="90">
        <f t="shared" si="1"/>
        <v>0</v>
      </c>
      <c r="I18" s="90">
        <f t="shared" si="1"/>
        <v>0</v>
      </c>
      <c r="J18" s="90">
        <f t="shared" si="1"/>
        <v>0</v>
      </c>
      <c r="K18" s="90">
        <f>K14-K16</f>
        <v>0</v>
      </c>
      <c r="L18" s="90">
        <f>L14-L16</f>
        <v>0</v>
      </c>
      <c r="M18" s="90">
        <f>M14-M16</f>
        <v>0</v>
      </c>
    </row>
    <row r="19" spans="1:16" ht="13.5" thickTop="1"/>
    <row r="20" spans="1:16">
      <c r="A20" s="147" t="s">
        <v>753</v>
      </c>
    </row>
    <row r="21" spans="1:16" ht="4.5" customHeight="1">
      <c r="G21" s="139"/>
      <c r="H21" s="139"/>
      <c r="O21" s="67"/>
    </row>
    <row r="22" spans="1:16">
      <c r="A22" s="51" t="s">
        <v>750</v>
      </c>
      <c r="D22" s="67">
        <f>E128</f>
        <v>414.32260772626023</v>
      </c>
      <c r="E22" s="67">
        <f>+D26+'CASH FLOW'!F26</f>
        <v>372.89034695363421</v>
      </c>
      <c r="F22" s="67">
        <f>+E26+'CASH FLOW'!G26</f>
        <v>366.45808618100818</v>
      </c>
      <c r="G22" s="67">
        <f>+F26+'CASH FLOW'!H26</f>
        <v>325.02582540838216</v>
      </c>
      <c r="H22" s="67">
        <f>+G26+'CASH FLOW'!I26</f>
        <v>328.59356463575614</v>
      </c>
      <c r="I22" s="67">
        <f>+H26+'CASH FLOW'!J26</f>
        <v>332.16130386313012</v>
      </c>
      <c r="J22" s="67">
        <f>+I26+'CASH FLOW'!K26</f>
        <v>335.72904309050409</v>
      </c>
      <c r="K22" s="67">
        <f>+J26+'CASH FLOW'!L26</f>
        <v>334.29678231787807</v>
      </c>
      <c r="L22" s="67">
        <f>+K26+'CASH FLOW'!M26</f>
        <v>327.86452154525205</v>
      </c>
      <c r="M22" s="67">
        <f>+L26+'CASH FLOW'!N26</f>
        <v>331.43226077262602</v>
      </c>
    </row>
    <row r="23" spans="1:16" ht="4.5" customHeight="1">
      <c r="D23" s="67"/>
      <c r="E23" s="67"/>
      <c r="F23" s="67"/>
      <c r="G23" s="67"/>
      <c r="H23" s="67"/>
      <c r="I23" s="67"/>
      <c r="J23" s="67"/>
      <c r="K23" s="67"/>
      <c r="L23" s="67"/>
      <c r="M23" s="67"/>
      <c r="O23" s="67"/>
      <c r="P23" s="313"/>
    </row>
    <row r="24" spans="1:16">
      <c r="A24" s="51" t="s">
        <v>754</v>
      </c>
      <c r="D24" s="67">
        <f>0.1*D22</f>
        <v>41.432260772626023</v>
      </c>
      <c r="E24" s="67">
        <f>0.1*D22</f>
        <v>41.432260772626023</v>
      </c>
      <c r="F24" s="67">
        <f>0.1*D22</f>
        <v>41.432260772626023</v>
      </c>
      <c r="G24" s="67">
        <f>0.1*D22</f>
        <v>41.432260772626023</v>
      </c>
      <c r="H24" s="67">
        <f>0.1*D22</f>
        <v>41.432260772626023</v>
      </c>
      <c r="I24" s="67">
        <f>0.1*D22</f>
        <v>41.432260772626023</v>
      </c>
      <c r="J24" s="67">
        <f>0.1*D22</f>
        <v>41.432260772626023</v>
      </c>
      <c r="K24" s="67">
        <f>0.1*D22</f>
        <v>41.432260772626023</v>
      </c>
      <c r="L24" s="67">
        <f>0.1*D22</f>
        <v>41.432260772626023</v>
      </c>
      <c r="M24" s="67">
        <f>0.1*D22</f>
        <v>41.432260772626023</v>
      </c>
    </row>
    <row r="25" spans="1:16" ht="4.5" customHeight="1">
      <c r="D25" s="67"/>
      <c r="E25" s="67"/>
      <c r="F25" s="67"/>
      <c r="G25" s="67"/>
      <c r="H25" s="67"/>
      <c r="I25" s="67"/>
      <c r="J25" s="67"/>
      <c r="K25" s="67"/>
      <c r="L25" s="67"/>
      <c r="M25" s="67"/>
    </row>
    <row r="26" spans="1:16" ht="13.5" thickBot="1">
      <c r="A26" s="54" t="s">
        <v>752</v>
      </c>
      <c r="B26" s="54"/>
      <c r="C26" s="54"/>
      <c r="D26" s="90">
        <f t="shared" ref="D26:J26" si="2">D22-D24</f>
        <v>372.89034695363421</v>
      </c>
      <c r="E26" s="90">
        <f t="shared" si="2"/>
        <v>331.45808618100818</v>
      </c>
      <c r="F26" s="90">
        <f t="shared" si="2"/>
        <v>325.02582540838216</v>
      </c>
      <c r="G26" s="90">
        <f t="shared" si="2"/>
        <v>283.59356463575614</v>
      </c>
      <c r="H26" s="90">
        <f t="shared" si="2"/>
        <v>287.16130386313012</v>
      </c>
      <c r="I26" s="90">
        <f t="shared" si="2"/>
        <v>290.72904309050409</v>
      </c>
      <c r="J26" s="90">
        <f t="shared" si="2"/>
        <v>294.29678231787807</v>
      </c>
      <c r="K26" s="90">
        <f>K22-K24</f>
        <v>292.86452154525205</v>
      </c>
      <c r="L26" s="90">
        <f>L22-L24</f>
        <v>286.43226077262602</v>
      </c>
      <c r="M26" s="90">
        <f>M22-M24</f>
        <v>290</v>
      </c>
    </row>
    <row r="27" spans="1:16" ht="6" customHeight="1" thickTop="1">
      <c r="D27" s="67"/>
      <c r="E27" s="67"/>
      <c r="F27" s="67"/>
      <c r="G27" s="67"/>
      <c r="H27" s="67"/>
      <c r="I27" s="67"/>
      <c r="J27" s="67"/>
      <c r="K27" s="67"/>
      <c r="L27" s="67"/>
      <c r="M27" s="67"/>
    </row>
    <row r="28" spans="1:16">
      <c r="A28" s="73" t="s">
        <v>755</v>
      </c>
      <c r="D28" s="67"/>
      <c r="E28" s="67"/>
      <c r="F28" s="67"/>
      <c r="G28" s="67"/>
      <c r="H28" s="67"/>
      <c r="I28" s="67"/>
      <c r="J28" s="67"/>
      <c r="K28" s="67"/>
      <c r="L28" s="67"/>
      <c r="M28" s="67"/>
    </row>
    <row r="29" spans="1:16" ht="6" customHeight="1">
      <c r="D29" s="67"/>
      <c r="E29" s="67"/>
      <c r="F29" s="67"/>
      <c r="G29" s="67"/>
      <c r="H29" s="67"/>
      <c r="I29" s="67"/>
      <c r="J29" s="67"/>
      <c r="K29" s="67"/>
      <c r="L29" s="67"/>
      <c r="M29" s="67"/>
    </row>
    <row r="30" spans="1:16">
      <c r="A30" s="51" t="s">
        <v>750</v>
      </c>
      <c r="D30" s="67">
        <f>D128</f>
        <v>3178.2802778717332</v>
      </c>
      <c r="E30" s="67">
        <f>+D34+'CASH FLOW'!F25</f>
        <v>2860.4522500845596</v>
      </c>
      <c r="F30" s="67">
        <f>+E34+'CASH FLOW'!G25</f>
        <v>2592.624222297386</v>
      </c>
      <c r="G30" s="67">
        <f>+F34+'CASH FLOW'!H25</f>
        <v>2274.7961945102124</v>
      </c>
      <c r="H30" s="67">
        <f>+G34+'CASH FLOW'!I25</f>
        <v>2016.9681667230391</v>
      </c>
      <c r="I30" s="67">
        <f>+H34+'CASH FLOW'!J25</f>
        <v>1749.1401389358657</v>
      </c>
      <c r="J30" s="67">
        <f>+I34+'CASH FLOW'!K25</f>
        <v>1486.3121111486923</v>
      </c>
      <c r="K30" s="67">
        <f>+J34+'CASH FLOW'!L25</f>
        <v>1213.484083361519</v>
      </c>
      <c r="L30" s="67">
        <f>+K34+'CASH FLOW'!M25</f>
        <v>935.6560555743456</v>
      </c>
      <c r="M30" s="67">
        <f>+L34+'CASH FLOW'!N25</f>
        <v>667.82802778717223</v>
      </c>
      <c r="N30" s="67"/>
      <c r="O30" s="67"/>
    </row>
    <row r="31" spans="1:16" ht="6" customHeight="1">
      <c r="D31" s="67"/>
      <c r="E31" s="67"/>
      <c r="F31" s="67"/>
      <c r="G31" s="67"/>
      <c r="H31" s="67"/>
      <c r="I31" s="67"/>
      <c r="J31" s="67"/>
      <c r="K31" s="67"/>
      <c r="L31" s="67"/>
      <c r="M31" s="67"/>
    </row>
    <row r="32" spans="1:16">
      <c r="A32" s="51" t="s">
        <v>754</v>
      </c>
      <c r="D32" s="67">
        <f>0.1*D30</f>
        <v>317.82802778717337</v>
      </c>
      <c r="E32" s="67">
        <f>0.1*D30</f>
        <v>317.82802778717337</v>
      </c>
      <c r="F32" s="67">
        <f>0.1*D30</f>
        <v>317.82802778717337</v>
      </c>
      <c r="G32" s="67">
        <f>0.1*D30</f>
        <v>317.82802778717337</v>
      </c>
      <c r="H32" s="67">
        <f>0.1*D30</f>
        <v>317.82802778717337</v>
      </c>
      <c r="I32" s="67">
        <f>0.1*D30</f>
        <v>317.82802778717337</v>
      </c>
      <c r="J32" s="67">
        <f>0.1*D30</f>
        <v>317.82802778717337</v>
      </c>
      <c r="K32" s="67">
        <f>0.1*D30</f>
        <v>317.82802778717337</v>
      </c>
      <c r="L32" s="67">
        <f>0.1*D30</f>
        <v>317.82802778717337</v>
      </c>
      <c r="M32" s="67">
        <f>0.1*D30</f>
        <v>317.82802778717337</v>
      </c>
    </row>
    <row r="33" spans="1:22" ht="4.5" customHeight="1">
      <c r="D33" s="67"/>
      <c r="E33" s="67"/>
      <c r="F33" s="67"/>
      <c r="G33" s="67"/>
      <c r="H33" s="67"/>
      <c r="I33" s="67"/>
      <c r="J33" s="67"/>
      <c r="K33" s="67"/>
      <c r="L33" s="67"/>
      <c r="M33" s="67"/>
    </row>
    <row r="34" spans="1:22" ht="13.5" thickBot="1">
      <c r="A34" s="54" t="s">
        <v>752</v>
      </c>
      <c r="B34" s="54"/>
      <c r="C34" s="54"/>
      <c r="D34" s="90">
        <f t="shared" ref="D34:J34" si="3">D30-D32</f>
        <v>2860.4522500845596</v>
      </c>
      <c r="E34" s="90">
        <f t="shared" si="3"/>
        <v>2542.624222297386</v>
      </c>
      <c r="F34" s="90">
        <f t="shared" si="3"/>
        <v>2274.7961945102124</v>
      </c>
      <c r="G34" s="90">
        <f t="shared" si="3"/>
        <v>1956.9681667230391</v>
      </c>
      <c r="H34" s="90">
        <f t="shared" si="3"/>
        <v>1699.1401389358657</v>
      </c>
      <c r="I34" s="90">
        <f t="shared" si="3"/>
        <v>1431.3121111486923</v>
      </c>
      <c r="J34" s="90">
        <f t="shared" si="3"/>
        <v>1168.484083361519</v>
      </c>
      <c r="K34" s="90">
        <f>K30-K32</f>
        <v>895.6560555743456</v>
      </c>
      <c r="L34" s="90">
        <f>L30-L32</f>
        <v>617.82802778717223</v>
      </c>
      <c r="M34" s="90">
        <f>M30-M32</f>
        <v>349.99999999999886</v>
      </c>
    </row>
    <row r="35" spans="1:22" ht="6" customHeight="1" thickTop="1">
      <c r="D35" s="67"/>
      <c r="E35" s="67"/>
      <c r="F35" s="67"/>
      <c r="G35" s="67"/>
      <c r="H35" s="67"/>
      <c r="I35" s="67"/>
      <c r="J35" s="67"/>
      <c r="K35" s="67"/>
      <c r="L35" s="67"/>
      <c r="M35" s="67"/>
    </row>
    <row r="36" spans="1:22">
      <c r="A36" s="73" t="s">
        <v>756</v>
      </c>
      <c r="D36" s="67"/>
      <c r="E36" s="67"/>
      <c r="F36" s="67"/>
      <c r="G36" s="67"/>
      <c r="H36" s="67"/>
      <c r="I36" s="67"/>
      <c r="J36" s="67"/>
      <c r="K36" s="67"/>
      <c r="L36" s="67"/>
      <c r="M36" s="67"/>
    </row>
    <row r="37" spans="1:22" ht="5.25" customHeight="1">
      <c r="D37" s="67"/>
      <c r="E37" s="67"/>
      <c r="F37" s="67"/>
      <c r="G37" s="67"/>
      <c r="H37" s="67"/>
      <c r="I37" s="67"/>
      <c r="J37" s="67"/>
      <c r="K37" s="67"/>
      <c r="L37" s="67"/>
      <c r="M37" s="67"/>
    </row>
    <row r="38" spans="1:22">
      <c r="A38" s="51" t="s">
        <v>750</v>
      </c>
      <c r="D38" s="67">
        <f>G128</f>
        <v>155.108783334771</v>
      </c>
      <c r="E38" s="67">
        <f t="shared" ref="E38:M38" si="4">+D42</f>
        <v>139.5979050012939</v>
      </c>
      <c r="F38" s="67">
        <f t="shared" si="4"/>
        <v>124.08702666781679</v>
      </c>
      <c r="G38" s="67">
        <f t="shared" si="4"/>
        <v>108.57614833433968</v>
      </c>
      <c r="H38" s="67">
        <f t="shared" si="4"/>
        <v>93.065270000862569</v>
      </c>
      <c r="I38" s="67">
        <f t="shared" si="4"/>
        <v>77.55439166738546</v>
      </c>
      <c r="J38" s="67">
        <f t="shared" si="4"/>
        <v>62.043513333908358</v>
      </c>
      <c r="K38" s="67">
        <f t="shared" si="4"/>
        <v>46.532635000431256</v>
      </c>
      <c r="L38" s="67">
        <f t="shared" si="4"/>
        <v>31.021756666954154</v>
      </c>
      <c r="M38" s="67">
        <f t="shared" si="4"/>
        <v>15.510878333477052</v>
      </c>
      <c r="N38" s="67"/>
      <c r="O38" s="67"/>
    </row>
    <row r="39" spans="1:22" ht="5.25" customHeight="1">
      <c r="D39" s="67"/>
      <c r="E39" s="67"/>
      <c r="F39" s="67"/>
      <c r="G39" s="67"/>
      <c r="H39" s="67"/>
      <c r="I39" s="67"/>
      <c r="J39" s="67"/>
      <c r="K39" s="67"/>
      <c r="L39" s="67"/>
      <c r="M39" s="67"/>
    </row>
    <row r="40" spans="1:22">
      <c r="A40" s="51" t="s">
        <v>757</v>
      </c>
      <c r="D40" s="67">
        <f>0.1*D38</f>
        <v>15.510878333477102</v>
      </c>
      <c r="E40" s="67">
        <f>0.1*D38</f>
        <v>15.510878333477102</v>
      </c>
      <c r="F40" s="67">
        <f>0.1*D38</f>
        <v>15.510878333477102</v>
      </c>
      <c r="G40" s="67">
        <f>0.1*D38</f>
        <v>15.510878333477102</v>
      </c>
      <c r="H40" s="67">
        <f>0.1*D38</f>
        <v>15.510878333477102</v>
      </c>
      <c r="I40" s="67">
        <f>0.1*D38</f>
        <v>15.510878333477102</v>
      </c>
      <c r="J40" s="67">
        <f>0.1*D38</f>
        <v>15.510878333477102</v>
      </c>
      <c r="K40" s="67">
        <f>0.1*D38</f>
        <v>15.510878333477102</v>
      </c>
      <c r="L40" s="67">
        <f>0.1*D38</f>
        <v>15.510878333477102</v>
      </c>
      <c r="M40" s="67">
        <f>0.1*D38</f>
        <v>15.510878333477102</v>
      </c>
    </row>
    <row r="41" spans="1:22" ht="5.25" customHeight="1">
      <c r="D41" s="67"/>
      <c r="E41" s="67"/>
      <c r="F41" s="67"/>
      <c r="G41" s="67"/>
      <c r="H41" s="67"/>
      <c r="I41" s="67"/>
      <c r="J41" s="67"/>
      <c r="K41" s="67"/>
      <c r="L41" s="67"/>
      <c r="M41" s="67"/>
    </row>
    <row r="42" spans="1:22" ht="13.5" thickBot="1">
      <c r="A42" s="54" t="s">
        <v>752</v>
      </c>
      <c r="B42" s="54"/>
      <c r="C42" s="54"/>
      <c r="D42" s="90">
        <f t="shared" ref="D42:K42" si="5">D38-D40</f>
        <v>139.5979050012939</v>
      </c>
      <c r="E42" s="90">
        <f t="shared" si="5"/>
        <v>124.08702666781679</v>
      </c>
      <c r="F42" s="90">
        <f t="shared" si="5"/>
        <v>108.57614833433968</v>
      </c>
      <c r="G42" s="90">
        <f t="shared" si="5"/>
        <v>93.065270000862569</v>
      </c>
      <c r="H42" s="90">
        <f t="shared" si="5"/>
        <v>77.55439166738546</v>
      </c>
      <c r="I42" s="90">
        <f t="shared" si="5"/>
        <v>62.043513333908358</v>
      </c>
      <c r="J42" s="90">
        <f t="shared" si="5"/>
        <v>46.532635000431256</v>
      </c>
      <c r="K42" s="90">
        <f t="shared" si="5"/>
        <v>31.021756666954154</v>
      </c>
      <c r="L42" s="90">
        <f>L38-L40</f>
        <v>15.510878333477052</v>
      </c>
      <c r="M42" s="90">
        <f>M38-M40</f>
        <v>-4.9737991503207013E-14</v>
      </c>
    </row>
    <row r="43" spans="1:22" ht="6" customHeight="1" thickTop="1">
      <c r="D43" s="67"/>
      <c r="E43" s="67"/>
      <c r="F43" s="67"/>
      <c r="G43" s="67"/>
      <c r="H43" s="67"/>
      <c r="I43" s="67"/>
      <c r="J43" s="67"/>
      <c r="K43" s="67"/>
      <c r="L43" s="67"/>
      <c r="M43" s="67"/>
    </row>
    <row r="44" spans="1:22">
      <c r="A44" s="73" t="s">
        <v>333</v>
      </c>
      <c r="D44" s="67"/>
      <c r="E44" s="67"/>
      <c r="F44" s="67"/>
      <c r="G44" s="67"/>
      <c r="H44" s="67"/>
      <c r="I44" s="67"/>
      <c r="J44" s="67"/>
      <c r="K44" s="67"/>
      <c r="L44" s="67"/>
      <c r="M44" s="67"/>
    </row>
    <row r="45" spans="1:22" ht="5.25" customHeight="1">
      <c r="D45" s="67"/>
      <c r="E45" s="67"/>
      <c r="F45" s="67"/>
      <c r="G45" s="67"/>
      <c r="H45" s="67"/>
      <c r="I45" s="67"/>
      <c r="J45" s="67"/>
      <c r="K45" s="67"/>
      <c r="L45" s="67"/>
      <c r="M45" s="67"/>
    </row>
    <row r="46" spans="1:22">
      <c r="A46" s="51" t="s">
        <v>750</v>
      </c>
      <c r="D46" s="67">
        <f>F128</f>
        <v>516.15261868923528</v>
      </c>
      <c r="E46" s="67">
        <f>+D50+'CASH FLOW'!F28</f>
        <v>438.72972588584997</v>
      </c>
      <c r="F46" s="67">
        <f>+E50+'CASH FLOW'!G28</f>
        <v>371.30683308246466</v>
      </c>
      <c r="G46" s="67">
        <f>+F50+'CASH FLOW'!H28</f>
        <v>303.88394027907935</v>
      </c>
      <c r="H46" s="67">
        <f>+G50+'CASH FLOW'!I28</f>
        <v>241.46104747569404</v>
      </c>
      <c r="I46" s="67">
        <f>+H50+'CASH FLOW'!J28</f>
        <v>179.03815467230874</v>
      </c>
      <c r="J46" s="67">
        <f>+I50+'CASH FLOW'!K28</f>
        <v>116.61526186892344</v>
      </c>
      <c r="K46" s="67">
        <f>+J50+'CASH FLOW'!L28</f>
        <v>54.192369065538145</v>
      </c>
      <c r="L46" s="67">
        <f>+K50+'CASH FLOW'!M28</f>
        <v>-13.23052373784715</v>
      </c>
      <c r="M46" s="67">
        <f>+L50+'CASH FLOW'!N28</f>
        <v>-70.653416541232446</v>
      </c>
      <c r="N46" s="67"/>
      <c r="O46" s="67">
        <f>E46-D50</f>
        <v>0</v>
      </c>
      <c r="P46" s="67">
        <f t="shared" ref="P46:V46" si="6">F46-E50</f>
        <v>10</v>
      </c>
      <c r="Q46" s="67">
        <f t="shared" si="6"/>
        <v>10</v>
      </c>
      <c r="R46" s="67">
        <f t="shared" si="6"/>
        <v>15</v>
      </c>
      <c r="S46" s="67">
        <f t="shared" si="6"/>
        <v>15</v>
      </c>
      <c r="T46" s="67">
        <f t="shared" si="6"/>
        <v>15</v>
      </c>
      <c r="U46" s="67">
        <f t="shared" si="6"/>
        <v>15</v>
      </c>
      <c r="V46" s="67">
        <f t="shared" si="6"/>
        <v>10</v>
      </c>
    </row>
    <row r="47" spans="1:22" ht="3.75" customHeight="1">
      <c r="D47" s="67"/>
      <c r="E47" s="67"/>
      <c r="F47" s="67"/>
      <c r="G47" s="67"/>
      <c r="H47" s="67"/>
      <c r="I47" s="67"/>
      <c r="J47" s="67"/>
      <c r="K47" s="67"/>
      <c r="L47" s="67"/>
      <c r="M47" s="67"/>
      <c r="O47" s="67">
        <f>'CASH FLOW'!F28</f>
        <v>0</v>
      </c>
      <c r="P47" s="67">
        <f>'CASH FLOW'!G28</f>
        <v>10</v>
      </c>
      <c r="Q47" s="67">
        <f>'CASH FLOW'!H28</f>
        <v>10</v>
      </c>
      <c r="R47" s="67">
        <f>'CASH FLOW'!I28</f>
        <v>15</v>
      </c>
      <c r="S47" s="67">
        <f>'CASH FLOW'!J28</f>
        <v>15</v>
      </c>
      <c r="T47" s="67">
        <f>'CASH FLOW'!K28</f>
        <v>15</v>
      </c>
      <c r="U47" s="67">
        <f>'CASH FLOW'!L28</f>
        <v>15</v>
      </c>
      <c r="V47" s="67">
        <f>'CASH FLOW'!M28</f>
        <v>10</v>
      </c>
    </row>
    <row r="48" spans="1:22">
      <c r="A48" s="51" t="s">
        <v>758</v>
      </c>
      <c r="D48" s="67">
        <f>0.15*D46</f>
        <v>77.422892803385295</v>
      </c>
      <c r="E48" s="67">
        <f>0.15*D46</f>
        <v>77.422892803385295</v>
      </c>
      <c r="F48" s="67">
        <f>0.15*D46</f>
        <v>77.422892803385295</v>
      </c>
      <c r="G48" s="67">
        <f>0.15*D46</f>
        <v>77.422892803385295</v>
      </c>
      <c r="H48" s="67">
        <f>0.15*D46</f>
        <v>77.422892803385295</v>
      </c>
      <c r="I48" s="67">
        <f>0.15*D46</f>
        <v>77.422892803385295</v>
      </c>
      <c r="J48" s="67">
        <f>0.15*D46</f>
        <v>77.422892803385295</v>
      </c>
      <c r="K48" s="67">
        <f>0.15*D46</f>
        <v>77.422892803385295</v>
      </c>
      <c r="L48" s="67">
        <f>0.15*D46</f>
        <v>77.422892803385295</v>
      </c>
      <c r="M48" s="67">
        <f>0.15*D46</f>
        <v>77.422892803385295</v>
      </c>
    </row>
    <row r="49" spans="1:23" ht="4.5" customHeight="1">
      <c r="D49" s="67"/>
      <c r="E49" s="67"/>
      <c r="F49" s="67"/>
      <c r="G49" s="67"/>
      <c r="H49" s="67"/>
      <c r="I49" s="67"/>
      <c r="J49" s="67"/>
      <c r="K49" s="67"/>
      <c r="L49" s="67"/>
      <c r="M49" s="67"/>
    </row>
    <row r="50" spans="1:23" ht="13.5" thickBot="1">
      <c r="A50" s="54" t="s">
        <v>752</v>
      </c>
      <c r="B50" s="54"/>
      <c r="C50" s="54"/>
      <c r="D50" s="90">
        <f t="shared" ref="D50:J50" si="7">D46-D48</f>
        <v>438.72972588584997</v>
      </c>
      <c r="E50" s="90">
        <f t="shared" si="7"/>
        <v>361.30683308246466</v>
      </c>
      <c r="F50" s="90">
        <f t="shared" si="7"/>
        <v>293.88394027907935</v>
      </c>
      <c r="G50" s="90">
        <f t="shared" si="7"/>
        <v>226.46104747569404</v>
      </c>
      <c r="H50" s="90">
        <f t="shared" si="7"/>
        <v>164.03815467230874</v>
      </c>
      <c r="I50" s="90">
        <f t="shared" si="7"/>
        <v>101.61526186892344</v>
      </c>
      <c r="J50" s="90">
        <f t="shared" si="7"/>
        <v>39.192369065538145</v>
      </c>
      <c r="K50" s="90">
        <f>K46-K48</f>
        <v>-23.23052373784715</v>
      </c>
      <c r="L50" s="90">
        <f>L46-L48</f>
        <v>-90.653416541232446</v>
      </c>
      <c r="M50" s="90">
        <f>M46-M48</f>
        <v>-148.07630934461775</v>
      </c>
    </row>
    <row r="51" spans="1:23" ht="5.25" customHeight="1" thickTop="1">
      <c r="D51" s="67"/>
      <c r="E51" s="67"/>
      <c r="F51" s="67"/>
      <c r="G51" s="67"/>
      <c r="H51" s="67"/>
      <c r="I51" s="67"/>
      <c r="J51" s="67"/>
      <c r="K51" s="67"/>
      <c r="L51" s="67"/>
      <c r="M51" s="67"/>
    </row>
    <row r="52" spans="1:23" ht="4.5" customHeight="1">
      <c r="D52" s="67"/>
      <c r="E52" s="67"/>
      <c r="F52" s="67"/>
      <c r="G52" s="67"/>
      <c r="H52" s="67"/>
      <c r="I52" s="67"/>
      <c r="J52" s="67"/>
      <c r="K52" s="67"/>
      <c r="L52" s="67"/>
      <c r="M52" s="67"/>
    </row>
    <row r="53" spans="1:23">
      <c r="A53" s="1096" t="s">
        <v>759</v>
      </c>
      <c r="B53" s="1097"/>
      <c r="C53" s="1098"/>
      <c r="D53" s="141">
        <f>D48+D32+D24+D40</f>
        <v>452.19405969666178</v>
      </c>
      <c r="E53" s="141">
        <f t="shared" ref="E53:K53" si="8">E48+E32+E24+E40</f>
        <v>452.19405969666178</v>
      </c>
      <c r="F53" s="141">
        <f t="shared" si="8"/>
        <v>452.19405969666178</v>
      </c>
      <c r="G53" s="141">
        <f t="shared" si="8"/>
        <v>452.19405969666178</v>
      </c>
      <c r="H53" s="141">
        <f t="shared" si="8"/>
        <v>452.19405969666178</v>
      </c>
      <c r="I53" s="141">
        <f t="shared" si="8"/>
        <v>452.19405969666178</v>
      </c>
      <c r="J53" s="141">
        <f t="shared" si="8"/>
        <v>452.19405969666178</v>
      </c>
      <c r="K53" s="141">
        <f t="shared" si="8"/>
        <v>452.19405969666178</v>
      </c>
      <c r="L53" s="141">
        <f>L48+L32+L24+L40</f>
        <v>452.19405969666178</v>
      </c>
      <c r="M53" s="141">
        <f>M48+M32+M24+M40</f>
        <v>452.19405969666178</v>
      </c>
    </row>
    <row r="54" spans="1:23">
      <c r="D54" s="67"/>
      <c r="E54" s="67"/>
      <c r="F54" s="67"/>
      <c r="G54" s="67"/>
      <c r="H54" s="67"/>
      <c r="I54" s="67"/>
      <c r="J54" s="67"/>
      <c r="K54" s="67"/>
      <c r="L54" s="67"/>
      <c r="M54" s="67"/>
      <c r="O54" s="67">
        <f>D14+D22+D30+D38+D46</f>
        <v>4263.8642876220001</v>
      </c>
      <c r="P54" s="67">
        <f>O54-D137</f>
        <v>0</v>
      </c>
    </row>
    <row r="55" spans="1:23">
      <c r="A55" s="1034" t="s">
        <v>760</v>
      </c>
      <c r="B55" s="1034"/>
      <c r="C55" s="1034"/>
      <c r="D55" s="141">
        <f t="shared" ref="D55:L55" si="9">D18+D50+D34+D26+D42</f>
        <v>3811.6702279253377</v>
      </c>
      <c r="E55" s="141">
        <f t="shared" si="9"/>
        <v>3359.4761682286753</v>
      </c>
      <c r="F55" s="141">
        <f t="shared" si="9"/>
        <v>3002.2821085320138</v>
      </c>
      <c r="G55" s="141">
        <f t="shared" si="9"/>
        <v>2560.0880488353519</v>
      </c>
      <c r="H55" s="141">
        <f t="shared" si="9"/>
        <v>2227.8939891386904</v>
      </c>
      <c r="I55" s="141">
        <f t="shared" si="9"/>
        <v>1885.6999294420282</v>
      </c>
      <c r="J55" s="141">
        <f t="shared" si="9"/>
        <v>1548.5058697453665</v>
      </c>
      <c r="K55" s="141">
        <f t="shared" si="9"/>
        <v>1196.3118100487047</v>
      </c>
      <c r="L55" s="141">
        <f t="shared" si="9"/>
        <v>829.11775035204289</v>
      </c>
      <c r="M55" s="141">
        <f>M18+M50+M34+M26+M42</f>
        <v>491.92369065538105</v>
      </c>
      <c r="U55" s="67">
        <f>D55+D53</f>
        <v>4263.8642876219992</v>
      </c>
      <c r="V55" s="67">
        <v>1836.27</v>
      </c>
      <c r="W55" s="67">
        <f>V55-U55</f>
        <v>-2427.5942876219992</v>
      </c>
    </row>
    <row r="56" spans="1:23">
      <c r="A56" s="82"/>
      <c r="B56" s="82"/>
      <c r="C56" s="82"/>
      <c r="D56" s="43"/>
      <c r="E56" s="43"/>
      <c r="F56" s="43"/>
      <c r="G56" s="43"/>
      <c r="H56" s="43"/>
      <c r="I56" s="43"/>
      <c r="J56" s="43"/>
      <c r="K56" s="43"/>
      <c r="L56" s="43"/>
      <c r="M56" s="43"/>
      <c r="U56" s="67"/>
      <c r="V56" s="67"/>
      <c r="W56" s="67"/>
    </row>
    <row r="57" spans="1:23">
      <c r="A57" s="82"/>
      <c r="B57" s="82"/>
      <c r="C57" s="82"/>
      <c r="D57" s="43"/>
      <c r="E57" s="43"/>
      <c r="F57" s="43"/>
      <c r="G57" s="43"/>
      <c r="H57" s="43"/>
      <c r="I57" s="43"/>
      <c r="J57" s="43"/>
      <c r="K57" s="43"/>
      <c r="L57" s="43"/>
      <c r="M57" s="43"/>
      <c r="U57" s="67"/>
      <c r="V57" s="67"/>
      <c r="W57" s="67"/>
    </row>
    <row r="58" spans="1:23" hidden="1">
      <c r="A58" s="82"/>
      <c r="B58" s="82"/>
      <c r="C58" s="82"/>
      <c r="D58" s="43"/>
      <c r="E58" s="43"/>
      <c r="F58" s="43"/>
      <c r="G58" s="43"/>
      <c r="H58" s="43"/>
      <c r="I58" s="43"/>
      <c r="J58" s="43"/>
      <c r="K58" s="43"/>
      <c r="L58" s="43"/>
      <c r="M58" s="43"/>
      <c r="U58" s="67"/>
      <c r="V58" s="67"/>
      <c r="W58" s="67"/>
    </row>
    <row r="59" spans="1:23" hidden="1">
      <c r="A59" s="82"/>
      <c r="B59" s="82"/>
      <c r="C59" s="82"/>
      <c r="D59" s="43"/>
      <c r="E59" s="43"/>
      <c r="F59" s="43"/>
      <c r="G59" s="43"/>
      <c r="H59" s="43"/>
      <c r="I59" s="43"/>
      <c r="J59" s="43"/>
      <c r="K59" s="43"/>
      <c r="L59" s="43"/>
      <c r="M59" s="43"/>
      <c r="U59" s="67"/>
      <c r="V59" s="67"/>
      <c r="W59" s="67"/>
    </row>
    <row r="60" spans="1:23" hidden="1">
      <c r="A60" s="82"/>
      <c r="B60" s="82"/>
      <c r="C60" s="82"/>
      <c r="D60" s="43"/>
      <c r="E60" s="43"/>
      <c r="F60" s="461" t="s">
        <v>761</v>
      </c>
      <c r="G60" s="43"/>
      <c r="H60" s="43"/>
      <c r="I60" s="43"/>
      <c r="J60" s="43"/>
      <c r="K60" s="43"/>
      <c r="L60" s="43"/>
      <c r="M60" s="43"/>
      <c r="U60" s="67"/>
      <c r="V60" s="67"/>
      <c r="W60" s="67"/>
    </row>
    <row r="61" spans="1:23" hidden="1">
      <c r="A61" s="82"/>
      <c r="B61" s="82"/>
      <c r="C61" s="82"/>
      <c r="D61" s="43"/>
      <c r="E61" s="43"/>
      <c r="F61" s="43"/>
      <c r="G61" s="43"/>
      <c r="H61" s="43"/>
      <c r="I61" s="43"/>
      <c r="J61" s="43"/>
      <c r="K61" s="43"/>
      <c r="L61" s="43"/>
      <c r="M61" s="43"/>
      <c r="U61" s="67"/>
      <c r="V61" s="67"/>
      <c r="W61" s="67"/>
    </row>
    <row r="62" spans="1:23" hidden="1">
      <c r="D62" s="487"/>
      <c r="E62" s="487"/>
      <c r="F62" s="487" t="s">
        <v>762</v>
      </c>
      <c r="G62" s="487"/>
      <c r="H62" s="487"/>
      <c r="I62" s="487"/>
      <c r="J62" s="487"/>
      <c r="K62" s="84"/>
      <c r="L62" s="84"/>
      <c r="M62" s="84"/>
      <c r="U62" s="67"/>
      <c r="V62" s="67"/>
      <c r="W62" s="67"/>
    </row>
    <row r="63" spans="1:23" hidden="1">
      <c r="C63" s="50"/>
      <c r="D63" s="50"/>
      <c r="F63" s="999" t="s">
        <v>746</v>
      </c>
      <c r="G63" s="999"/>
      <c r="H63" s="999"/>
      <c r="I63" s="50"/>
      <c r="J63" s="50"/>
      <c r="K63" s="84"/>
      <c r="L63" s="84"/>
      <c r="M63" s="84"/>
      <c r="U63" s="67"/>
      <c r="V63" s="67"/>
      <c r="W63" s="67"/>
    </row>
    <row r="64" spans="1:23" hidden="1">
      <c r="C64" s="50"/>
      <c r="D64" s="50"/>
      <c r="F64" s="999" t="s">
        <v>763</v>
      </c>
      <c r="G64" s="999"/>
      <c r="H64" s="999"/>
      <c r="I64" s="50"/>
      <c r="J64" s="50"/>
      <c r="K64" s="84"/>
      <c r="L64" s="84"/>
      <c r="M64" s="84"/>
      <c r="U64" s="67"/>
      <c r="V64" s="67"/>
      <c r="W64" s="67"/>
    </row>
    <row r="65" spans="1:23" hidden="1">
      <c r="K65" s="84"/>
      <c r="L65" s="84"/>
      <c r="M65" s="84"/>
      <c r="U65" s="67"/>
      <c r="V65" s="67"/>
      <c r="W65" s="67"/>
    </row>
    <row r="66" spans="1:23" hidden="1">
      <c r="A66" s="73" t="s">
        <v>747</v>
      </c>
      <c r="K66" s="84"/>
      <c r="L66" s="84"/>
      <c r="M66" s="84"/>
      <c r="U66" s="67"/>
      <c r="V66" s="67"/>
      <c r="W66" s="67"/>
    </row>
    <row r="67" spans="1:23" hidden="1">
      <c r="A67" s="50" t="s">
        <v>764</v>
      </c>
      <c r="K67" s="84"/>
      <c r="L67" s="84"/>
      <c r="M67" s="84"/>
      <c r="U67" s="67"/>
      <c r="V67" s="67"/>
      <c r="W67" s="67"/>
    </row>
    <row r="68" spans="1:23" hidden="1">
      <c r="K68" s="84"/>
      <c r="L68" s="84"/>
      <c r="M68" s="84"/>
      <c r="U68" s="67"/>
      <c r="V68" s="67"/>
      <c r="W68" s="67"/>
    </row>
    <row r="69" spans="1:23" ht="13.5" hidden="1" thickBot="1">
      <c r="A69" s="148"/>
      <c r="B69" s="149"/>
      <c r="C69" s="149"/>
      <c r="D69" s="146" t="s">
        <v>95</v>
      </c>
      <c r="E69" s="146" t="s">
        <v>96</v>
      </c>
      <c r="F69" s="146" t="s">
        <v>97</v>
      </c>
      <c r="G69" s="146" t="s">
        <v>98</v>
      </c>
      <c r="H69" s="146" t="s">
        <v>99</v>
      </c>
      <c r="I69" s="146" t="s">
        <v>100</v>
      </c>
      <c r="J69" s="146" t="s">
        <v>101</v>
      </c>
      <c r="K69" s="146" t="s">
        <v>102</v>
      </c>
      <c r="L69" s="146" t="s">
        <v>103</v>
      </c>
      <c r="M69" s="146" t="s">
        <v>103</v>
      </c>
      <c r="U69" s="67"/>
      <c r="V69" s="67"/>
      <c r="W69" s="67"/>
    </row>
    <row r="70" spans="1:23" hidden="1">
      <c r="U70" s="67"/>
      <c r="V70" s="67"/>
      <c r="W70" s="67"/>
    </row>
    <row r="71" spans="1:23" hidden="1">
      <c r="A71" s="147" t="s">
        <v>749</v>
      </c>
      <c r="U71" s="67"/>
      <c r="V71" s="67"/>
      <c r="W71" s="67"/>
    </row>
    <row r="72" spans="1:23" hidden="1">
      <c r="G72" s="139"/>
      <c r="H72" s="139"/>
      <c r="U72" s="67"/>
      <c r="V72" s="67"/>
      <c r="W72" s="67"/>
    </row>
    <row r="73" spans="1:23" hidden="1">
      <c r="A73" s="51" t="s">
        <v>750</v>
      </c>
      <c r="D73" s="67">
        <f>D14</f>
        <v>0</v>
      </c>
      <c r="E73" s="67">
        <f t="shared" ref="E73:M73" si="10">+D77</f>
        <v>0</v>
      </c>
      <c r="F73" s="67">
        <f t="shared" si="10"/>
        <v>0</v>
      </c>
      <c r="G73" s="67">
        <f t="shared" si="10"/>
        <v>0</v>
      </c>
      <c r="H73" s="67">
        <f t="shared" si="10"/>
        <v>0</v>
      </c>
      <c r="I73" s="67">
        <f t="shared" si="10"/>
        <v>0</v>
      </c>
      <c r="J73" s="67">
        <f t="shared" si="10"/>
        <v>0</v>
      </c>
      <c r="K73" s="67">
        <f t="shared" si="10"/>
        <v>0</v>
      </c>
      <c r="L73" s="67">
        <f t="shared" si="10"/>
        <v>0</v>
      </c>
      <c r="M73" s="67">
        <f t="shared" si="10"/>
        <v>0</v>
      </c>
      <c r="U73" s="67"/>
      <c r="V73" s="67"/>
      <c r="W73" s="67"/>
    </row>
    <row r="74" spans="1:23" hidden="1">
      <c r="D74" s="67"/>
      <c r="E74" s="67"/>
      <c r="F74" s="67"/>
      <c r="G74" s="67"/>
      <c r="H74" s="67"/>
      <c r="I74" s="67"/>
      <c r="J74" s="67"/>
      <c r="K74" s="67"/>
      <c r="L74" s="67"/>
      <c r="M74" s="67"/>
      <c r="U74" s="67"/>
      <c r="V74" s="67"/>
      <c r="W74" s="67"/>
    </row>
    <row r="75" spans="1:23" hidden="1">
      <c r="A75" s="51" t="s">
        <v>751</v>
      </c>
      <c r="D75" s="67">
        <v>0</v>
      </c>
      <c r="E75" s="67">
        <v>0</v>
      </c>
      <c r="F75" s="67">
        <v>0</v>
      </c>
      <c r="G75" s="67">
        <v>0</v>
      </c>
      <c r="H75" s="67">
        <v>0</v>
      </c>
      <c r="I75" s="67">
        <v>0</v>
      </c>
      <c r="J75" s="67">
        <v>0</v>
      </c>
      <c r="K75" s="67">
        <v>0</v>
      </c>
      <c r="L75" s="67">
        <v>0</v>
      </c>
      <c r="M75" s="67">
        <v>0</v>
      </c>
      <c r="U75" s="67"/>
      <c r="V75" s="67"/>
      <c r="W75" s="67"/>
    </row>
    <row r="76" spans="1:23" hidden="1">
      <c r="D76" s="67"/>
      <c r="E76" s="67"/>
      <c r="F76" s="67"/>
      <c r="G76" s="67"/>
      <c r="H76" s="67"/>
      <c r="I76" s="67"/>
      <c r="J76" s="67"/>
      <c r="K76" s="67"/>
      <c r="L76" s="67"/>
      <c r="M76" s="67"/>
      <c r="U76" s="67"/>
      <c r="V76" s="67"/>
      <c r="W76" s="67"/>
    </row>
    <row r="77" spans="1:23" ht="13.5" hidden="1" thickBot="1">
      <c r="A77" s="54" t="s">
        <v>752</v>
      </c>
      <c r="B77" s="54"/>
      <c r="C77" s="54"/>
      <c r="D77" s="90">
        <f t="shared" ref="D77:J77" si="11">D73-D75</f>
        <v>0</v>
      </c>
      <c r="E77" s="90">
        <f t="shared" si="11"/>
        <v>0</v>
      </c>
      <c r="F77" s="90">
        <f t="shared" si="11"/>
        <v>0</v>
      </c>
      <c r="G77" s="90">
        <f t="shared" si="11"/>
        <v>0</v>
      </c>
      <c r="H77" s="90">
        <f t="shared" si="11"/>
        <v>0</v>
      </c>
      <c r="I77" s="90">
        <f t="shared" si="11"/>
        <v>0</v>
      </c>
      <c r="J77" s="90">
        <f t="shared" si="11"/>
        <v>0</v>
      </c>
      <c r="K77" s="90">
        <f>K73-K75</f>
        <v>0</v>
      </c>
      <c r="L77" s="90">
        <f>L73-L75</f>
        <v>0</v>
      </c>
      <c r="M77" s="90">
        <f>M73-M75</f>
        <v>0</v>
      </c>
      <c r="U77" s="67"/>
      <c r="V77" s="67"/>
      <c r="W77" s="67"/>
    </row>
    <row r="78" spans="1:23" hidden="1">
      <c r="U78" s="67"/>
      <c r="V78" s="67"/>
      <c r="W78" s="67"/>
    </row>
    <row r="79" spans="1:23" hidden="1">
      <c r="A79" s="147" t="s">
        <v>753</v>
      </c>
      <c r="U79" s="67"/>
      <c r="V79" s="67"/>
      <c r="W79" s="67"/>
    </row>
    <row r="80" spans="1:23" hidden="1">
      <c r="G80" s="139"/>
      <c r="H80" s="139"/>
      <c r="U80" s="67"/>
      <c r="V80" s="67"/>
      <c r="W80" s="67"/>
    </row>
    <row r="81" spans="1:23" hidden="1">
      <c r="A81" s="51" t="s">
        <v>750</v>
      </c>
      <c r="D81" s="67">
        <f>D22</f>
        <v>414.32260772626023</v>
      </c>
      <c r="E81" s="67">
        <f>+D85+'CASH FLOW'!F26</f>
        <v>393.60647733994722</v>
      </c>
      <c r="F81" s="67">
        <f>+E85+'CASH FLOW'!G26</f>
        <v>389.24582960595251</v>
      </c>
      <c r="G81" s="67">
        <f>+F85+'CASH FLOW'!H26</f>
        <v>350.32124664535723</v>
      </c>
      <c r="H81" s="67">
        <f>+G85+'CASH FLOW'!I26</f>
        <v>360.28912198082151</v>
      </c>
      <c r="I81" s="67">
        <f>+H85+'CASH FLOW'!J26</f>
        <v>369.26020978273937</v>
      </c>
      <c r="J81" s="67">
        <f>+I85+'CASH FLOW'!K26</f>
        <v>377.33418880446544</v>
      </c>
      <c r="K81" s="67">
        <f>+J85+'CASH FLOW'!L26</f>
        <v>379.60076992401889</v>
      </c>
      <c r="L81" s="67">
        <f>+K85+'CASH FLOW'!M26</f>
        <v>376.64069293161702</v>
      </c>
      <c r="M81" s="67">
        <f>+L85+'CASH FLOW'!N26</f>
        <v>383.97662363845529</v>
      </c>
      <c r="U81" s="67"/>
      <c r="V81" s="67"/>
      <c r="W81" s="67"/>
    </row>
    <row r="82" spans="1:23" hidden="1">
      <c r="D82" s="67"/>
      <c r="E82" s="67"/>
      <c r="F82" s="67"/>
      <c r="G82" s="67"/>
      <c r="H82" s="67"/>
      <c r="I82" s="67"/>
      <c r="J82" s="67"/>
      <c r="K82" s="67"/>
      <c r="L82" s="67"/>
      <c r="M82" s="67"/>
      <c r="U82" s="67"/>
      <c r="V82" s="67"/>
      <c r="W82" s="67"/>
    </row>
    <row r="83" spans="1:23" hidden="1">
      <c r="A83" s="51" t="s">
        <v>765</v>
      </c>
      <c r="D83" s="67">
        <f>$E$123*D81/2</f>
        <v>20.716130386313012</v>
      </c>
      <c r="E83" s="67">
        <f>$E$123*E81</f>
        <v>39.360647733994725</v>
      </c>
      <c r="F83" s="67">
        <f t="shared" ref="F83:K83" si="12">$E$123*F81</f>
        <v>38.924582960595252</v>
      </c>
      <c r="G83" s="67">
        <f t="shared" si="12"/>
        <v>35.032124664535722</v>
      </c>
      <c r="H83" s="67">
        <f t="shared" si="12"/>
        <v>36.028912198082153</v>
      </c>
      <c r="I83" s="67">
        <f t="shared" si="12"/>
        <v>36.926020978273939</v>
      </c>
      <c r="J83" s="67">
        <f t="shared" si="12"/>
        <v>37.733418880446543</v>
      </c>
      <c r="K83" s="67">
        <f t="shared" si="12"/>
        <v>37.960076992401888</v>
      </c>
      <c r="L83" s="67">
        <f>$E$123*L81</f>
        <v>37.664069293161702</v>
      </c>
      <c r="M83" s="67">
        <f>$E$123*M81</f>
        <v>38.397662363845534</v>
      </c>
      <c r="U83" s="67"/>
      <c r="V83" s="67"/>
      <c r="W83" s="67"/>
    </row>
    <row r="84" spans="1:23" hidden="1">
      <c r="D84" s="67"/>
      <c r="E84" s="67"/>
      <c r="F84" s="67"/>
      <c r="G84" s="67"/>
      <c r="H84" s="67"/>
      <c r="I84" s="67"/>
      <c r="J84" s="67"/>
      <c r="K84" s="67"/>
      <c r="L84" s="67"/>
      <c r="M84" s="67"/>
      <c r="U84" s="67"/>
      <c r="V84" s="67"/>
      <c r="W84" s="67"/>
    </row>
    <row r="85" spans="1:23" ht="13.5" hidden="1" thickBot="1">
      <c r="A85" s="54" t="s">
        <v>752</v>
      </c>
      <c r="B85" s="54"/>
      <c r="C85" s="54"/>
      <c r="D85" s="90">
        <f t="shared" ref="D85:J85" si="13">D81-D83</f>
        <v>393.60647733994722</v>
      </c>
      <c r="E85" s="90">
        <f t="shared" si="13"/>
        <v>354.24582960595251</v>
      </c>
      <c r="F85" s="90">
        <f t="shared" si="13"/>
        <v>350.32124664535723</v>
      </c>
      <c r="G85" s="90">
        <f t="shared" si="13"/>
        <v>315.28912198082151</v>
      </c>
      <c r="H85" s="90">
        <f t="shared" si="13"/>
        <v>324.26020978273937</v>
      </c>
      <c r="I85" s="90">
        <f t="shared" si="13"/>
        <v>332.33418880446544</v>
      </c>
      <c r="J85" s="90">
        <f t="shared" si="13"/>
        <v>339.60076992401889</v>
      </c>
      <c r="K85" s="90">
        <f>K81-K83</f>
        <v>341.64069293161702</v>
      </c>
      <c r="L85" s="90">
        <f>L81-L83</f>
        <v>338.97662363845529</v>
      </c>
      <c r="M85" s="90">
        <f>M81-M83</f>
        <v>345.57896127460975</v>
      </c>
      <c r="U85" s="67"/>
      <c r="V85" s="67"/>
      <c r="W85" s="67"/>
    </row>
    <row r="86" spans="1:23" hidden="1">
      <c r="D86" s="67"/>
      <c r="E86" s="67"/>
      <c r="F86" s="67"/>
      <c r="G86" s="67"/>
      <c r="H86" s="67"/>
      <c r="I86" s="67"/>
      <c r="J86" s="67"/>
      <c r="K86" s="67"/>
      <c r="L86" s="67"/>
      <c r="M86" s="67"/>
      <c r="U86" s="67"/>
      <c r="V86" s="67"/>
      <c r="W86" s="67"/>
    </row>
    <row r="87" spans="1:23" hidden="1">
      <c r="D87" s="67"/>
      <c r="E87" s="67"/>
      <c r="F87" s="67"/>
      <c r="G87" s="67"/>
      <c r="H87" s="67"/>
      <c r="I87" s="67"/>
      <c r="J87" s="67"/>
      <c r="K87" s="67"/>
      <c r="L87" s="67"/>
      <c r="M87" s="67"/>
      <c r="U87" s="67"/>
      <c r="V87" s="67"/>
      <c r="W87" s="67"/>
    </row>
    <row r="88" spans="1:23" hidden="1">
      <c r="A88" s="73" t="s">
        <v>755</v>
      </c>
      <c r="D88" s="67"/>
      <c r="E88" s="67"/>
      <c r="F88" s="67"/>
      <c r="G88" s="67"/>
      <c r="H88" s="67"/>
      <c r="I88" s="67"/>
      <c r="J88" s="67"/>
      <c r="K88" s="67"/>
      <c r="L88" s="67"/>
      <c r="M88" s="67"/>
      <c r="U88" s="67"/>
      <c r="V88" s="67"/>
      <c r="W88" s="67"/>
    </row>
    <row r="89" spans="1:23" hidden="1">
      <c r="D89" s="67"/>
      <c r="E89" s="67"/>
      <c r="F89" s="67"/>
      <c r="G89" s="67"/>
      <c r="H89" s="67"/>
      <c r="I89" s="67"/>
      <c r="J89" s="67"/>
      <c r="K89" s="67"/>
      <c r="L89" s="67"/>
      <c r="M89" s="67"/>
      <c r="U89" s="67"/>
      <c r="V89" s="67"/>
      <c r="W89" s="67"/>
    </row>
    <row r="90" spans="1:23" hidden="1">
      <c r="A90" s="51" t="s">
        <v>750</v>
      </c>
      <c r="D90" s="67">
        <f>D30</f>
        <v>3178.2802778717332</v>
      </c>
      <c r="E90" s="67">
        <f>+D94+'CASH FLOW'!F25</f>
        <v>3019.3662639781464</v>
      </c>
      <c r="F90" s="67">
        <f>+E94+'CASH FLOW'!G25</f>
        <v>2767.4296375803319</v>
      </c>
      <c r="G90" s="67">
        <f>+F94+'CASH FLOW'!H25</f>
        <v>2490.6866738222989</v>
      </c>
      <c r="H90" s="67">
        <f>+G94+'CASH FLOW'!I25</f>
        <v>2301.6180064400692</v>
      </c>
      <c r="I90" s="67">
        <f>+H94+'CASH FLOW'!J25</f>
        <v>2121.456205796062</v>
      </c>
      <c r="J90" s="67">
        <f>+I94+'CASH FLOW'!K25</f>
        <v>1964.3105852164558</v>
      </c>
      <c r="K90" s="67">
        <f>+J94+'CASH FLOW'!L25</f>
        <v>1812.8795266948102</v>
      </c>
      <c r="L90" s="67">
        <f>+K94+'CASH FLOW'!M25</f>
        <v>1671.5915740253292</v>
      </c>
      <c r="M90" s="67">
        <f>+L94+'CASH FLOW'!N25</f>
        <v>1554.4324166227964</v>
      </c>
      <c r="U90" s="67"/>
      <c r="V90" s="67"/>
      <c r="W90" s="67"/>
    </row>
    <row r="91" spans="1:23" hidden="1">
      <c r="D91" s="67"/>
      <c r="E91" s="67"/>
      <c r="F91" s="67"/>
      <c r="G91" s="67"/>
      <c r="H91" s="67"/>
      <c r="I91" s="67"/>
      <c r="J91" s="67"/>
      <c r="K91" s="67"/>
      <c r="L91" s="67"/>
      <c r="M91" s="67"/>
      <c r="U91" s="67"/>
      <c r="V91" s="67"/>
      <c r="W91" s="67"/>
    </row>
    <row r="92" spans="1:23" hidden="1">
      <c r="A92" s="51" t="s">
        <v>766</v>
      </c>
      <c r="D92" s="67">
        <f>$D$123*D90/2</f>
        <v>158.91401389358668</v>
      </c>
      <c r="E92" s="67">
        <f>$D$123*E90</f>
        <v>301.93662639781468</v>
      </c>
      <c r="F92" s="67">
        <f t="shared" ref="F92:K92" si="14">$D$123*F90</f>
        <v>276.74296375803323</v>
      </c>
      <c r="G92" s="67">
        <f t="shared" si="14"/>
        <v>249.0686673822299</v>
      </c>
      <c r="H92" s="67">
        <f t="shared" si="14"/>
        <v>230.16180064400692</v>
      </c>
      <c r="I92" s="67">
        <f t="shared" si="14"/>
        <v>212.1456205796062</v>
      </c>
      <c r="J92" s="67">
        <f t="shared" si="14"/>
        <v>196.43105852164558</v>
      </c>
      <c r="K92" s="67">
        <f t="shared" si="14"/>
        <v>181.28795266948103</v>
      </c>
      <c r="L92" s="67">
        <f>$D$123*L90</f>
        <v>167.15915740253294</v>
      </c>
      <c r="M92" s="67">
        <f>$D$123*M90</f>
        <v>155.44324166227966</v>
      </c>
      <c r="U92" s="67"/>
      <c r="V92" s="67"/>
      <c r="W92" s="67"/>
    </row>
    <row r="93" spans="1:23" hidden="1">
      <c r="D93" s="67"/>
      <c r="E93" s="67"/>
      <c r="F93" s="67"/>
      <c r="G93" s="67"/>
      <c r="H93" s="67"/>
      <c r="I93" s="67"/>
      <c r="J93" s="67"/>
      <c r="K93" s="67"/>
      <c r="L93" s="67"/>
      <c r="M93" s="67"/>
      <c r="U93" s="67"/>
      <c r="V93" s="67"/>
      <c r="W93" s="67"/>
    </row>
    <row r="94" spans="1:23" ht="13.5" hidden="1" thickBot="1">
      <c r="A94" s="54" t="s">
        <v>752</v>
      </c>
      <c r="B94" s="54"/>
      <c r="C94" s="54"/>
      <c r="D94" s="90">
        <f t="shared" ref="D94:J94" si="15">D90-D92</f>
        <v>3019.3662639781464</v>
      </c>
      <c r="E94" s="90">
        <f t="shared" si="15"/>
        <v>2717.4296375803319</v>
      </c>
      <c r="F94" s="90">
        <f t="shared" si="15"/>
        <v>2490.6866738222989</v>
      </c>
      <c r="G94" s="90">
        <f t="shared" si="15"/>
        <v>2241.6180064400692</v>
      </c>
      <c r="H94" s="90">
        <f t="shared" si="15"/>
        <v>2071.456205796062</v>
      </c>
      <c r="I94" s="90">
        <f t="shared" si="15"/>
        <v>1909.3105852164558</v>
      </c>
      <c r="J94" s="90">
        <f t="shared" si="15"/>
        <v>1767.8795266948102</v>
      </c>
      <c r="K94" s="90">
        <f>K90-K92</f>
        <v>1631.5915740253292</v>
      </c>
      <c r="L94" s="90">
        <f>L90-L92</f>
        <v>1504.4324166227964</v>
      </c>
      <c r="M94" s="90">
        <f>M90-M92</f>
        <v>1398.9891749605167</v>
      </c>
      <c r="U94" s="67"/>
      <c r="V94" s="67"/>
      <c r="W94" s="67"/>
    </row>
    <row r="95" spans="1:23" hidden="1">
      <c r="D95" s="67"/>
      <c r="E95" s="67"/>
      <c r="F95" s="67"/>
      <c r="G95" s="67"/>
      <c r="H95" s="67"/>
      <c r="I95" s="67"/>
      <c r="J95" s="67"/>
      <c r="K95" s="67"/>
      <c r="L95" s="67"/>
      <c r="M95" s="67"/>
      <c r="U95" s="67"/>
      <c r="V95" s="67"/>
      <c r="W95" s="67"/>
    </row>
    <row r="96" spans="1:23" hidden="1">
      <c r="D96" s="67"/>
      <c r="E96" s="67"/>
      <c r="F96" s="67"/>
      <c r="G96" s="67"/>
      <c r="H96" s="67"/>
      <c r="I96" s="67"/>
      <c r="J96" s="67"/>
      <c r="K96" s="67"/>
      <c r="L96" s="67"/>
      <c r="M96" s="67"/>
      <c r="U96" s="67"/>
      <c r="V96" s="67"/>
      <c r="W96" s="67"/>
    </row>
    <row r="97" spans="1:23" hidden="1">
      <c r="A97" s="73" t="s">
        <v>756</v>
      </c>
      <c r="D97" s="67"/>
      <c r="E97" s="67"/>
      <c r="F97" s="67"/>
      <c r="G97" s="67"/>
      <c r="H97" s="67"/>
      <c r="I97" s="67"/>
      <c r="J97" s="67"/>
      <c r="K97" s="67"/>
      <c r="L97" s="67"/>
      <c r="M97" s="67"/>
      <c r="U97" s="67"/>
      <c r="V97" s="67"/>
      <c r="W97" s="67"/>
    </row>
    <row r="98" spans="1:23" hidden="1">
      <c r="D98" s="67"/>
      <c r="E98" s="67"/>
      <c r="F98" s="67"/>
      <c r="G98" s="67"/>
      <c r="H98" s="67"/>
      <c r="I98" s="67"/>
      <c r="J98" s="67"/>
      <c r="K98" s="67"/>
      <c r="L98" s="67"/>
      <c r="M98" s="67"/>
      <c r="U98" s="67"/>
      <c r="V98" s="67"/>
      <c r="W98" s="67"/>
    </row>
    <row r="99" spans="1:23" hidden="1">
      <c r="A99" s="51" t="s">
        <v>750</v>
      </c>
      <c r="D99" s="67">
        <f>D38</f>
        <v>155.108783334771</v>
      </c>
      <c r="E99" s="67">
        <f t="shared" ref="E99:M99" si="16">+D103</f>
        <v>147.35334416803246</v>
      </c>
      <c r="F99" s="67">
        <f t="shared" si="16"/>
        <v>132.61800975122921</v>
      </c>
      <c r="G99" s="67">
        <f t="shared" si="16"/>
        <v>119.35620877610629</v>
      </c>
      <c r="H99" s="67">
        <f t="shared" si="16"/>
        <v>107.42058789849565</v>
      </c>
      <c r="I99" s="67">
        <f t="shared" si="16"/>
        <v>96.678529108646089</v>
      </c>
      <c r="J99" s="67">
        <f t="shared" si="16"/>
        <v>87.010676197781478</v>
      </c>
      <c r="K99" s="67">
        <f t="shared" si="16"/>
        <v>78.309608578003335</v>
      </c>
      <c r="L99" s="67">
        <f t="shared" si="16"/>
        <v>70.478647720203</v>
      </c>
      <c r="M99" s="67">
        <f t="shared" si="16"/>
        <v>63.430782948182696</v>
      </c>
      <c r="U99" s="67"/>
      <c r="V99" s="67"/>
      <c r="W99" s="67"/>
    </row>
    <row r="100" spans="1:23" hidden="1">
      <c r="D100" s="67"/>
      <c r="E100" s="67"/>
      <c r="F100" s="67"/>
      <c r="G100" s="67"/>
      <c r="H100" s="67"/>
      <c r="I100" s="67"/>
      <c r="J100" s="67"/>
      <c r="K100" s="67"/>
      <c r="L100" s="67"/>
      <c r="M100" s="67"/>
      <c r="U100" s="67"/>
      <c r="V100" s="67"/>
      <c r="W100" s="67"/>
    </row>
    <row r="101" spans="1:23" hidden="1">
      <c r="A101" s="51" t="s">
        <v>767</v>
      </c>
      <c r="D101" s="67">
        <f>$G$123*D99/2</f>
        <v>7.7554391667385509</v>
      </c>
      <c r="E101" s="67">
        <f>$G$123*E99</f>
        <v>14.735334416803248</v>
      </c>
      <c r="F101" s="67">
        <f t="shared" ref="F101:K101" si="17">$G$123*F99</f>
        <v>13.261800975122922</v>
      </c>
      <c r="G101" s="67">
        <f t="shared" si="17"/>
        <v>11.93562087761063</v>
      </c>
      <c r="H101" s="67">
        <f t="shared" si="17"/>
        <v>10.742058789849565</v>
      </c>
      <c r="I101" s="67">
        <f t="shared" si="17"/>
        <v>9.6678529108646103</v>
      </c>
      <c r="J101" s="67">
        <f t="shared" si="17"/>
        <v>8.7010676197781489</v>
      </c>
      <c r="K101" s="67">
        <f t="shared" si="17"/>
        <v>7.830960857800334</v>
      </c>
      <c r="L101" s="67">
        <f>$G$123*L99</f>
        <v>7.0478647720203007</v>
      </c>
      <c r="M101" s="67">
        <f>$G$123*M99</f>
        <v>6.3430782948182696</v>
      </c>
      <c r="U101" s="67"/>
      <c r="V101" s="67"/>
      <c r="W101" s="67"/>
    </row>
    <row r="102" spans="1:23" hidden="1">
      <c r="D102" s="67"/>
      <c r="E102" s="67"/>
      <c r="F102" s="67"/>
      <c r="G102" s="67"/>
      <c r="H102" s="67"/>
      <c r="I102" s="67"/>
      <c r="J102" s="67"/>
      <c r="K102" s="67"/>
      <c r="L102" s="67"/>
      <c r="M102" s="67"/>
      <c r="U102" s="67"/>
      <c r="V102" s="67"/>
      <c r="W102" s="67"/>
    </row>
    <row r="103" spans="1:23" ht="13.5" hidden="1" thickBot="1">
      <c r="A103" s="54" t="s">
        <v>752</v>
      </c>
      <c r="B103" s="54"/>
      <c r="C103" s="54"/>
      <c r="D103" s="90">
        <f t="shared" ref="D103:K103" si="18">D99-D101</f>
        <v>147.35334416803246</v>
      </c>
      <c r="E103" s="90">
        <f t="shared" si="18"/>
        <v>132.61800975122921</v>
      </c>
      <c r="F103" s="90">
        <f t="shared" si="18"/>
        <v>119.35620877610629</v>
      </c>
      <c r="G103" s="90">
        <f t="shared" si="18"/>
        <v>107.42058789849565</v>
      </c>
      <c r="H103" s="90">
        <f t="shared" si="18"/>
        <v>96.678529108646089</v>
      </c>
      <c r="I103" s="90">
        <f t="shared" si="18"/>
        <v>87.010676197781478</v>
      </c>
      <c r="J103" s="90">
        <f t="shared" si="18"/>
        <v>78.309608578003335</v>
      </c>
      <c r="K103" s="90">
        <f t="shared" si="18"/>
        <v>70.478647720203</v>
      </c>
      <c r="L103" s="90">
        <f>L99-L101</f>
        <v>63.430782948182696</v>
      </c>
      <c r="M103" s="90">
        <f>M99-M101</f>
        <v>57.087704653364426</v>
      </c>
      <c r="U103" s="67"/>
      <c r="V103" s="67"/>
      <c r="W103" s="67"/>
    </row>
    <row r="104" spans="1:23" hidden="1">
      <c r="D104" s="67"/>
      <c r="E104" s="67"/>
      <c r="F104" s="67"/>
      <c r="G104" s="67"/>
      <c r="H104" s="67"/>
      <c r="I104" s="67"/>
      <c r="J104" s="67"/>
      <c r="K104" s="67"/>
      <c r="L104" s="67"/>
      <c r="M104" s="67"/>
      <c r="U104" s="67"/>
      <c r="V104" s="67"/>
      <c r="W104" s="67"/>
    </row>
    <row r="105" spans="1:23" hidden="1">
      <c r="A105" s="73" t="s">
        <v>333</v>
      </c>
      <c r="D105" s="67"/>
      <c r="E105" s="67"/>
      <c r="F105" s="67"/>
      <c r="G105" s="67"/>
      <c r="H105" s="67"/>
      <c r="I105" s="67"/>
      <c r="J105" s="67"/>
      <c r="K105" s="67"/>
      <c r="L105" s="67"/>
      <c r="M105" s="67"/>
      <c r="U105" s="67"/>
      <c r="V105" s="67"/>
      <c r="W105" s="67"/>
    </row>
    <row r="106" spans="1:23" hidden="1">
      <c r="D106" s="67"/>
      <c r="E106" s="67"/>
      <c r="F106" s="67"/>
      <c r="G106" s="67"/>
      <c r="H106" s="67"/>
      <c r="I106" s="67"/>
      <c r="J106" s="67"/>
      <c r="K106" s="67"/>
      <c r="L106" s="67"/>
      <c r="M106" s="67"/>
      <c r="U106" s="67"/>
      <c r="V106" s="67"/>
      <c r="W106" s="67"/>
    </row>
    <row r="107" spans="1:23" hidden="1">
      <c r="A107" s="51" t="s">
        <v>750</v>
      </c>
      <c r="D107" s="67">
        <f>D46</f>
        <v>516.15261868923528</v>
      </c>
      <c r="E107" s="67">
        <f>+D111+'CASH FLOW'!F28</f>
        <v>477.44117228754266</v>
      </c>
      <c r="F107" s="67">
        <f>+E111+'CASH FLOW'!G28</f>
        <v>415.82499644441123</v>
      </c>
      <c r="G107" s="67">
        <f>+F111+'CASH FLOW'!H28</f>
        <v>363.45124697774952</v>
      </c>
      <c r="H107" s="67">
        <f>+G111+'CASH FLOW'!I28</f>
        <v>323.93355993108707</v>
      </c>
      <c r="I107" s="67">
        <f>+H111+'CASH FLOW'!J28</f>
        <v>290.34352594142399</v>
      </c>
      <c r="J107" s="67">
        <f>+I111+'CASH FLOW'!K28</f>
        <v>261.7919970502104</v>
      </c>
      <c r="K107" s="67">
        <f>+J111+'CASH FLOW'!L28</f>
        <v>237.52319749267883</v>
      </c>
      <c r="L107" s="67">
        <f>+K111+'CASH FLOW'!M28</f>
        <v>211.89471786877701</v>
      </c>
      <c r="M107" s="67">
        <f>+L111+'CASH FLOW'!N28</f>
        <v>200.11051018846047</v>
      </c>
      <c r="U107" s="67"/>
      <c r="V107" s="67"/>
      <c r="W107" s="67"/>
    </row>
    <row r="108" spans="1:23" hidden="1">
      <c r="D108" s="67"/>
      <c r="E108" s="67"/>
      <c r="F108" s="67"/>
      <c r="G108" s="67"/>
      <c r="H108" s="67"/>
      <c r="I108" s="67"/>
      <c r="J108" s="67"/>
      <c r="K108" s="67"/>
      <c r="L108" s="67"/>
      <c r="M108" s="67"/>
      <c r="U108" s="67"/>
      <c r="V108" s="67"/>
      <c r="W108" s="67"/>
    </row>
    <row r="109" spans="1:23" hidden="1">
      <c r="A109" s="51" t="s">
        <v>767</v>
      </c>
      <c r="D109" s="67">
        <f>$F$123*D107/2</f>
        <v>38.711446401692648</v>
      </c>
      <c r="E109" s="67">
        <f>$F$123*E107</f>
        <v>71.616175843131401</v>
      </c>
      <c r="F109" s="67">
        <f t="shared" ref="F109:K109" si="19">$F$123*F107</f>
        <v>62.373749466661678</v>
      </c>
      <c r="G109" s="67">
        <f t="shared" si="19"/>
        <v>54.517687046662424</v>
      </c>
      <c r="H109" s="67">
        <f t="shared" si="19"/>
        <v>48.590033989663063</v>
      </c>
      <c r="I109" s="67">
        <f t="shared" si="19"/>
        <v>43.5515288912136</v>
      </c>
      <c r="J109" s="67">
        <f t="shared" si="19"/>
        <v>39.268799557531558</v>
      </c>
      <c r="K109" s="67">
        <f t="shared" si="19"/>
        <v>35.628479623901825</v>
      </c>
      <c r="L109" s="67">
        <f>$F$123*L107</f>
        <v>31.784207680316548</v>
      </c>
      <c r="M109" s="67">
        <f>$F$123*M107</f>
        <v>30.01657652826907</v>
      </c>
      <c r="U109" s="67"/>
      <c r="V109" s="67"/>
      <c r="W109" s="67"/>
    </row>
    <row r="110" spans="1:23" hidden="1">
      <c r="D110" s="67"/>
      <c r="E110" s="67"/>
      <c r="F110" s="67"/>
      <c r="G110" s="67"/>
      <c r="H110" s="67"/>
      <c r="I110" s="67"/>
      <c r="J110" s="67"/>
      <c r="K110" s="67"/>
      <c r="L110" s="67"/>
      <c r="M110" s="67"/>
      <c r="U110" s="67"/>
      <c r="V110" s="67"/>
      <c r="W110" s="67"/>
    </row>
    <row r="111" spans="1:23" ht="13.5" hidden="1" thickBot="1">
      <c r="A111" s="54" t="s">
        <v>752</v>
      </c>
      <c r="B111" s="54"/>
      <c r="C111" s="54"/>
      <c r="D111" s="90">
        <f t="shared" ref="D111:J111" si="20">D107-D109</f>
        <v>477.44117228754266</v>
      </c>
      <c r="E111" s="90">
        <f t="shared" si="20"/>
        <v>405.82499644441123</v>
      </c>
      <c r="F111" s="90">
        <f t="shared" si="20"/>
        <v>353.45124697774952</v>
      </c>
      <c r="G111" s="90">
        <f t="shared" si="20"/>
        <v>308.93355993108707</v>
      </c>
      <c r="H111" s="90">
        <f t="shared" si="20"/>
        <v>275.34352594142399</v>
      </c>
      <c r="I111" s="90">
        <f t="shared" si="20"/>
        <v>246.7919970502104</v>
      </c>
      <c r="J111" s="90">
        <f t="shared" si="20"/>
        <v>222.52319749267883</v>
      </c>
      <c r="K111" s="90">
        <f>K107-K109</f>
        <v>201.89471786877701</v>
      </c>
      <c r="L111" s="90">
        <f>L107-L109</f>
        <v>180.11051018846047</v>
      </c>
      <c r="M111" s="90">
        <f>M107-M109</f>
        <v>170.0939336601914</v>
      </c>
      <c r="U111" s="67"/>
      <c r="V111" s="67"/>
      <c r="W111" s="67"/>
    </row>
    <row r="112" spans="1:23" hidden="1">
      <c r="D112" s="67"/>
      <c r="E112" s="67"/>
      <c r="F112" s="67"/>
      <c r="G112" s="67"/>
      <c r="H112" s="67"/>
      <c r="I112" s="67"/>
      <c r="J112" s="67"/>
      <c r="K112" s="67"/>
      <c r="L112" s="67"/>
      <c r="M112" s="67"/>
      <c r="U112" s="67"/>
      <c r="V112" s="67"/>
      <c r="W112" s="67"/>
    </row>
    <row r="113" spans="1:23" hidden="1">
      <c r="D113" s="67"/>
      <c r="E113" s="67"/>
      <c r="F113" s="67"/>
      <c r="G113" s="67"/>
      <c r="H113" s="67"/>
      <c r="I113" s="67"/>
      <c r="J113" s="67"/>
      <c r="K113" s="67"/>
      <c r="L113" s="67"/>
      <c r="M113" s="67"/>
      <c r="U113" s="67"/>
      <c r="V113" s="67"/>
      <c r="W113" s="67"/>
    </row>
    <row r="114" spans="1:23" ht="12.75" hidden="1" customHeight="1">
      <c r="A114" s="1096" t="s">
        <v>759</v>
      </c>
      <c r="B114" s="1097"/>
      <c r="C114" s="1098"/>
      <c r="D114" s="141">
        <f t="shared" ref="D114:K114" si="21">D109+D92+D83+D101</f>
        <v>226.09702984833089</v>
      </c>
      <c r="E114" s="141">
        <f t="shared" si="21"/>
        <v>427.64878439174407</v>
      </c>
      <c r="F114" s="141">
        <f t="shared" si="21"/>
        <v>391.30309716041307</v>
      </c>
      <c r="G114" s="141">
        <f t="shared" si="21"/>
        <v>350.55409997103868</v>
      </c>
      <c r="H114" s="141">
        <f t="shared" si="21"/>
        <v>325.52280562160172</v>
      </c>
      <c r="I114" s="141">
        <f t="shared" si="21"/>
        <v>302.29102335995833</v>
      </c>
      <c r="J114" s="141">
        <f t="shared" si="21"/>
        <v>282.13434457940184</v>
      </c>
      <c r="K114" s="141">
        <f t="shared" si="21"/>
        <v>262.70747014358506</v>
      </c>
      <c r="L114" s="141">
        <f>L109+L92+L83+L101</f>
        <v>243.65529914803147</v>
      </c>
      <c r="M114" s="141">
        <f>M109+M92+M83+M101</f>
        <v>230.20055884921254</v>
      </c>
      <c r="U114" s="67"/>
      <c r="V114" s="67"/>
      <c r="W114" s="67"/>
    </row>
    <row r="115" spans="1:23" hidden="1">
      <c r="D115" s="67"/>
      <c r="E115" s="67"/>
      <c r="F115" s="67"/>
      <c r="G115" s="67"/>
      <c r="H115" s="67"/>
      <c r="I115" s="67"/>
      <c r="J115" s="67"/>
      <c r="K115" s="67"/>
      <c r="L115" s="67"/>
      <c r="M115" s="67"/>
      <c r="U115" s="67"/>
      <c r="V115" s="67"/>
      <c r="W115" s="67"/>
    </row>
    <row r="116" spans="1:23" ht="12.75" hidden="1" customHeight="1">
      <c r="A116" s="1096" t="s">
        <v>760</v>
      </c>
      <c r="B116" s="1097"/>
      <c r="C116" s="1098"/>
      <c r="D116" s="141">
        <f>D77+D111+D94+D85+D103</f>
        <v>4037.7672577736685</v>
      </c>
      <c r="E116" s="141">
        <f t="shared" ref="E116:K116" si="22">E77+E111+E94+E85+E103</f>
        <v>3610.118473381925</v>
      </c>
      <c r="F116" s="141">
        <f t="shared" si="22"/>
        <v>3313.815376221512</v>
      </c>
      <c r="G116" s="141">
        <f t="shared" si="22"/>
        <v>2973.2612762504737</v>
      </c>
      <c r="H116" s="141">
        <f t="shared" si="22"/>
        <v>2767.7384706288717</v>
      </c>
      <c r="I116" s="141">
        <f t="shared" si="22"/>
        <v>2575.447447268913</v>
      </c>
      <c r="J116" s="141">
        <f t="shared" si="22"/>
        <v>2408.3131026895117</v>
      </c>
      <c r="K116" s="141">
        <f t="shared" si="22"/>
        <v>2245.6056325459263</v>
      </c>
      <c r="L116" s="141">
        <f>L77+L111+L94+L85+L103</f>
        <v>2086.9503333978946</v>
      </c>
      <c r="M116" s="141">
        <f>M77+M111+M94+M85+M103</f>
        <v>1971.7497745486824</v>
      </c>
      <c r="U116" s="67"/>
      <c r="V116" s="67"/>
      <c r="W116" s="67"/>
    </row>
    <row r="117" spans="1:23" hidden="1">
      <c r="A117" s="82"/>
      <c r="B117" s="82"/>
      <c r="C117" s="82"/>
      <c r="D117" s="43"/>
      <c r="E117" s="43"/>
      <c r="F117" s="43"/>
      <c r="G117" s="43"/>
      <c r="H117" s="43"/>
      <c r="I117" s="43"/>
      <c r="J117" s="43"/>
      <c r="K117" s="43"/>
      <c r="L117" s="43"/>
      <c r="M117" s="43"/>
      <c r="U117" s="67"/>
      <c r="V117" s="67"/>
      <c r="W117" s="67"/>
    </row>
    <row r="118" spans="1:23" hidden="1">
      <c r="A118" s="82"/>
      <c r="B118" s="82"/>
      <c r="C118" s="82"/>
      <c r="D118" s="43"/>
      <c r="E118" s="43"/>
      <c r="F118" s="43"/>
      <c r="G118" s="43"/>
      <c r="H118" s="43"/>
      <c r="I118" s="43"/>
      <c r="J118" s="43"/>
      <c r="K118" s="43"/>
      <c r="L118" s="43"/>
      <c r="M118" s="43"/>
      <c r="U118" s="67"/>
      <c r="V118" s="67"/>
      <c r="W118" s="67"/>
    </row>
    <row r="119" spans="1:23">
      <c r="D119" s="67"/>
      <c r="E119" s="67"/>
      <c r="F119" s="67"/>
      <c r="G119" s="67"/>
      <c r="H119" s="67"/>
      <c r="I119" s="67"/>
      <c r="J119" s="67"/>
      <c r="K119" s="67"/>
      <c r="L119" s="67"/>
      <c r="M119" s="67"/>
      <c r="U119" s="67">
        <f>U55+'CAPITAL COST'!D22</f>
        <v>4549.5842876219995</v>
      </c>
      <c r="V119" s="67">
        <f>H128</f>
        <v>4263.8642876220001</v>
      </c>
      <c r="W119" s="67">
        <f>V119-U119</f>
        <v>-285.71999999999935</v>
      </c>
    </row>
    <row r="120" spans="1:23">
      <c r="F120" s="1004">
        <v>43</v>
      </c>
      <c r="G120" s="67"/>
      <c r="H120" s="67"/>
      <c r="I120" s="67"/>
      <c r="J120" s="67"/>
      <c r="K120" s="43"/>
      <c r="L120" s="43"/>
      <c r="M120" s="43"/>
    </row>
    <row r="121" spans="1:23" ht="13.5" thickBot="1">
      <c r="D121" s="67"/>
      <c r="E121" s="67"/>
      <c r="F121" s="67"/>
      <c r="G121" s="67"/>
      <c r="H121" s="67"/>
      <c r="I121" s="67"/>
      <c r="J121" s="67"/>
      <c r="K121" s="43"/>
      <c r="L121" s="43"/>
      <c r="M121" s="43"/>
    </row>
    <row r="122" spans="1:23" ht="39" thickBot="1">
      <c r="A122" s="150"/>
      <c r="B122" s="149"/>
      <c r="C122" s="149"/>
      <c r="D122" s="996" t="s">
        <v>768</v>
      </c>
      <c r="E122" s="151" t="s">
        <v>769</v>
      </c>
      <c r="F122" s="152" t="s">
        <v>83</v>
      </c>
      <c r="G122" s="152" t="s">
        <v>770</v>
      </c>
      <c r="H122" s="153"/>
      <c r="I122" s="67"/>
      <c r="J122" s="67"/>
      <c r="K122" s="43"/>
      <c r="L122" s="43"/>
      <c r="M122" s="43"/>
    </row>
    <row r="123" spans="1:23" ht="13.5" thickBot="1">
      <c r="A123" s="154" t="s">
        <v>771</v>
      </c>
      <c r="B123" s="146"/>
      <c r="C123" s="155"/>
      <c r="D123" s="155">
        <v>0.1</v>
      </c>
      <c r="E123" s="155">
        <v>0.1</v>
      </c>
      <c r="F123" s="156">
        <v>0.15</v>
      </c>
      <c r="G123" s="155">
        <v>0.1</v>
      </c>
      <c r="H123" s="153" t="s">
        <v>347</v>
      </c>
      <c r="I123" s="67"/>
      <c r="J123" s="67"/>
      <c r="K123" s="43"/>
      <c r="L123" s="43"/>
      <c r="M123" s="43"/>
    </row>
    <row r="124" spans="1:23">
      <c r="A124" s="56" t="s">
        <v>772</v>
      </c>
      <c r="B124" s="999"/>
      <c r="C124" s="999"/>
      <c r="D124" s="995">
        <f>'CAPITAL COST'!C14</f>
        <v>2878.9367657999996</v>
      </c>
      <c r="E124" s="995">
        <f>'CAPITAL COST'!C16</f>
        <v>375.3</v>
      </c>
      <c r="F124" s="995">
        <f>'CAPITAL COST'!C20</f>
        <v>467.53924159999997</v>
      </c>
      <c r="G124" s="995">
        <f>'CAPITAL COST'!C18</f>
        <v>140.5</v>
      </c>
      <c r="H124" s="995">
        <f>SUM(D124:G124)</f>
        <v>3862.2760073999998</v>
      </c>
      <c r="I124" s="67"/>
      <c r="J124" s="67"/>
      <c r="K124" s="43"/>
      <c r="L124" s="43"/>
      <c r="M124" s="43"/>
    </row>
    <row r="125" spans="1:23">
      <c r="A125" s="56" t="s">
        <v>86</v>
      </c>
      <c r="B125" s="999"/>
      <c r="C125" s="995">
        <f>'CAPITAL COST'!C26</f>
        <v>115.868280222</v>
      </c>
      <c r="D125" s="995">
        <f>$C$125/$H$124*D124</f>
        <v>86.368102973999981</v>
      </c>
      <c r="E125" s="995">
        <f>$C$125/$H$124*E124</f>
        <v>11.259</v>
      </c>
      <c r="F125" s="995">
        <f>$C$125/$H$124*F124</f>
        <v>14.026177247999998</v>
      </c>
      <c r="G125" s="995">
        <f>$C$125/$H$124*G124</f>
        <v>4.2149999999999999</v>
      </c>
      <c r="H125" s="995">
        <f>SUM(D125:G125)</f>
        <v>115.86828022199998</v>
      </c>
      <c r="I125" s="67"/>
      <c r="J125" s="67"/>
      <c r="K125" s="43"/>
      <c r="L125" s="43"/>
      <c r="M125" s="43"/>
    </row>
    <row r="126" spans="1:23">
      <c r="A126" s="56" t="s">
        <v>773</v>
      </c>
      <c r="B126" s="999"/>
      <c r="C126" s="995">
        <f>'CAPITAL COST'!D22</f>
        <v>285.72000000000003</v>
      </c>
      <c r="D126" s="995">
        <f>$C$126/$H$124*D124</f>
        <v>212.97540909773357</v>
      </c>
      <c r="E126" s="995">
        <f>$C$126/$H$124*E124</f>
        <v>27.763607726260197</v>
      </c>
      <c r="F126" s="995">
        <f>$C$126/$H$124*F124</f>
        <v>34.587199841235254</v>
      </c>
      <c r="G126" s="995">
        <f>$C$126/$H$124*G124</f>
        <v>10.393783334771003</v>
      </c>
      <c r="H126" s="995">
        <f>SUM(D126:G126)</f>
        <v>285.72000000000003</v>
      </c>
      <c r="I126" s="67"/>
      <c r="J126" s="67"/>
      <c r="K126" s="43"/>
      <c r="L126" s="43"/>
      <c r="M126" s="43"/>
    </row>
    <row r="127" spans="1:23">
      <c r="A127" s="56"/>
      <c r="B127" s="999"/>
      <c r="C127" s="995"/>
      <c r="D127" s="995"/>
      <c r="E127" s="995"/>
      <c r="F127" s="995"/>
      <c r="G127" s="995"/>
      <c r="H127" s="995"/>
      <c r="I127" s="67"/>
      <c r="J127" s="67"/>
      <c r="K127" s="43"/>
      <c r="L127" s="43"/>
      <c r="M127" s="43"/>
    </row>
    <row r="128" spans="1:23">
      <c r="A128" s="56" t="s">
        <v>87</v>
      </c>
      <c r="B128" s="999"/>
      <c r="C128" s="999"/>
      <c r="D128" s="995">
        <f>SUM(D124:D126)</f>
        <v>3178.2802778717332</v>
      </c>
      <c r="E128" s="995">
        <f>SUM(E124:E126)</f>
        <v>414.32260772626023</v>
      </c>
      <c r="F128" s="995">
        <f>SUM(F124:F126)</f>
        <v>516.15261868923528</v>
      </c>
      <c r="G128" s="995">
        <f>SUM(G124:G126)</f>
        <v>155.108783334771</v>
      </c>
      <c r="H128" s="995">
        <f>SUM(D128:G128)</f>
        <v>4263.8642876220001</v>
      </c>
      <c r="I128" s="67"/>
      <c r="J128" s="67"/>
      <c r="K128" s="43"/>
      <c r="L128" s="43"/>
      <c r="M128" s="43"/>
      <c r="N128" s="67" t="e">
        <f>'CAPITAL COST'!C28+'CAPITAL COST'!#REF!-'CAPITAL COST'!C24</f>
        <v>#REF!</v>
      </c>
    </row>
    <row r="129" spans="1:13">
      <c r="A129" s="56" t="s">
        <v>774</v>
      </c>
      <c r="B129" s="999"/>
      <c r="C129" s="999"/>
      <c r="D129" s="995">
        <f>'CAPITAL COST'!D12</f>
        <v>0</v>
      </c>
      <c r="E129" s="995"/>
      <c r="F129" s="995"/>
      <c r="G129" s="995"/>
      <c r="H129" s="995"/>
      <c r="I129" s="67"/>
      <c r="J129" s="67"/>
      <c r="K129" s="67"/>
      <c r="L129" s="67"/>
      <c r="M129" s="67"/>
    </row>
    <row r="130" spans="1:13">
      <c r="A130" s="56"/>
      <c r="B130" s="999"/>
      <c r="C130" s="999"/>
      <c r="D130" s="995"/>
      <c r="E130" s="995"/>
      <c r="F130" s="995"/>
      <c r="G130" s="995"/>
      <c r="H130" s="995"/>
      <c r="I130" s="67"/>
      <c r="J130" s="67"/>
      <c r="K130" s="67"/>
      <c r="L130" s="67"/>
      <c r="M130" s="67"/>
    </row>
    <row r="131" spans="1:13">
      <c r="A131" s="56" t="s">
        <v>106</v>
      </c>
      <c r="B131" s="999"/>
      <c r="C131" s="999"/>
      <c r="D131" s="995">
        <f>D128*D123</f>
        <v>317.82802778717337</v>
      </c>
      <c r="E131" s="995">
        <f>E128*E123</f>
        <v>41.432260772626023</v>
      </c>
      <c r="F131" s="995">
        <f>F128*F123</f>
        <v>77.422892803385295</v>
      </c>
      <c r="G131" s="995">
        <f>G128*G123</f>
        <v>15.510878333477102</v>
      </c>
      <c r="H131" s="995">
        <f>SUM(D131:G131)</f>
        <v>452.19405969666178</v>
      </c>
      <c r="I131" s="67"/>
      <c r="J131" s="67"/>
      <c r="K131" s="67"/>
      <c r="L131" s="67"/>
      <c r="M131" s="67"/>
    </row>
    <row r="132" spans="1:13">
      <c r="D132" s="67"/>
      <c r="E132" s="67"/>
      <c r="F132" s="67"/>
      <c r="G132" s="67"/>
      <c r="H132" s="67"/>
      <c r="I132" s="67"/>
      <c r="J132" s="67"/>
      <c r="K132" s="67"/>
      <c r="L132" s="67"/>
      <c r="M132" s="67"/>
    </row>
    <row r="133" spans="1:13">
      <c r="K133" s="84"/>
      <c r="L133" s="84"/>
      <c r="M133" s="84"/>
    </row>
    <row r="134" spans="1:13" ht="13.5" thickBot="1">
      <c r="K134" s="84"/>
      <c r="L134" s="84"/>
      <c r="M134" s="84"/>
    </row>
    <row r="135" spans="1:13" ht="13.5" thickBot="1">
      <c r="A135" s="148"/>
      <c r="B135" s="149"/>
      <c r="C135" s="149"/>
      <c r="D135" s="146" t="s">
        <v>95</v>
      </c>
      <c r="E135" s="146" t="s">
        <v>96</v>
      </c>
      <c r="F135" s="146" t="s">
        <v>97</v>
      </c>
      <c r="G135" s="146" t="s">
        <v>98</v>
      </c>
      <c r="H135" s="146" t="s">
        <v>99</v>
      </c>
      <c r="I135" s="146" t="s">
        <v>100</v>
      </c>
      <c r="J135" s="146" t="s">
        <v>101</v>
      </c>
      <c r="K135" s="146" t="s">
        <v>102</v>
      </c>
      <c r="L135" s="146" t="s">
        <v>103</v>
      </c>
      <c r="M135" s="146" t="s">
        <v>452</v>
      </c>
    </row>
    <row r="137" spans="1:13">
      <c r="A137" s="51" t="s">
        <v>775</v>
      </c>
      <c r="D137" s="67">
        <f>D14+D22+D30+D38+D46</f>
        <v>4263.8642876220001</v>
      </c>
      <c r="E137" s="67">
        <f>D141+SUM('CASH FLOW'!F24:F28)</f>
        <v>3811.6702279253377</v>
      </c>
      <c r="F137" s="67">
        <f>E141+SUM('CASH FLOW'!G24:G28)</f>
        <v>3454.4761682286753</v>
      </c>
      <c r="G137" s="67">
        <f>F141+SUM('CASH FLOW'!H24:H28)</f>
        <v>3012.2821085320138</v>
      </c>
      <c r="H137" s="67">
        <f>G141+SUM('CASH FLOW'!I24:I28)</f>
        <v>2680.0880488353519</v>
      </c>
      <c r="I137" s="67">
        <f>H141+SUM('CASH FLOW'!J24:J28)</f>
        <v>2337.8939891386904</v>
      </c>
      <c r="J137" s="67">
        <f>I141+SUM('CASH FLOW'!K24:K28)</f>
        <v>2000.6999294420282</v>
      </c>
      <c r="K137" s="67">
        <f>J141+SUM('CASH FLOW'!L24:L28)</f>
        <v>1648.5058697453665</v>
      </c>
      <c r="L137" s="67">
        <f>K141+SUM('CASH FLOW'!M24:M28)</f>
        <v>1281.3118100487047</v>
      </c>
      <c r="M137" s="67">
        <f>L141+SUM('CASH FLOW'!N24:N28)</f>
        <v>944.11775035204289</v>
      </c>
    </row>
    <row r="139" spans="1:13">
      <c r="A139" s="51" t="s">
        <v>21</v>
      </c>
      <c r="D139" s="67">
        <f>D53</f>
        <v>452.19405969666178</v>
      </c>
      <c r="E139" s="67">
        <f t="shared" ref="E139:M139" si="23">E53</f>
        <v>452.19405969666178</v>
      </c>
      <c r="F139" s="67">
        <f t="shared" si="23"/>
        <v>452.19405969666178</v>
      </c>
      <c r="G139" s="67">
        <f t="shared" si="23"/>
        <v>452.19405969666178</v>
      </c>
      <c r="H139" s="67">
        <f t="shared" si="23"/>
        <v>452.19405969666178</v>
      </c>
      <c r="I139" s="67">
        <f t="shared" si="23"/>
        <v>452.19405969666178</v>
      </c>
      <c r="J139" s="67">
        <f t="shared" si="23"/>
        <v>452.19405969666178</v>
      </c>
      <c r="K139" s="67">
        <f t="shared" si="23"/>
        <v>452.19405969666178</v>
      </c>
      <c r="L139" s="67">
        <f t="shared" si="23"/>
        <v>452.19405969666178</v>
      </c>
      <c r="M139" s="67">
        <f t="shared" si="23"/>
        <v>452.19405969666178</v>
      </c>
    </row>
    <row r="141" spans="1:13">
      <c r="A141" s="51" t="s">
        <v>776</v>
      </c>
      <c r="D141" s="67">
        <f>D55</f>
        <v>3811.6702279253377</v>
      </c>
      <c r="E141" s="67">
        <f t="shared" ref="E141:L141" si="24">E55</f>
        <v>3359.4761682286753</v>
      </c>
      <c r="F141" s="67">
        <f t="shared" si="24"/>
        <v>3002.2821085320138</v>
      </c>
      <c r="G141" s="67">
        <f t="shared" si="24"/>
        <v>2560.0880488353519</v>
      </c>
      <c r="H141" s="67">
        <f t="shared" si="24"/>
        <v>2227.8939891386904</v>
      </c>
      <c r="I141" s="67">
        <f t="shared" si="24"/>
        <v>1885.6999294420282</v>
      </c>
      <c r="J141" s="67">
        <f t="shared" si="24"/>
        <v>1548.5058697453665</v>
      </c>
      <c r="K141" s="67">
        <f t="shared" si="24"/>
        <v>1196.3118100487047</v>
      </c>
      <c r="L141" s="67">
        <f t="shared" si="24"/>
        <v>829.11775035204289</v>
      </c>
      <c r="M141" s="67">
        <f>M55</f>
        <v>491.92369065538105</v>
      </c>
    </row>
    <row r="142" spans="1:13">
      <c r="A142" s="88"/>
      <c r="B142" s="88"/>
      <c r="C142" s="88"/>
      <c r="D142" s="88"/>
      <c r="E142" s="88"/>
      <c r="F142" s="88"/>
      <c r="G142" s="88"/>
      <c r="H142" s="88"/>
      <c r="I142" s="88"/>
      <c r="J142" s="88"/>
      <c r="K142" s="88"/>
      <c r="L142" s="88"/>
      <c r="M142" s="88"/>
    </row>
    <row r="144" spans="1:13">
      <c r="D144" s="67"/>
      <c r="E144" s="67"/>
      <c r="F144" s="67"/>
      <c r="G144" s="67"/>
      <c r="H144" s="67"/>
      <c r="I144" s="67"/>
      <c r="J144" s="67"/>
      <c r="K144" s="67"/>
      <c r="L144" s="67"/>
      <c r="M144" s="67"/>
    </row>
    <row r="146" spans="1:13">
      <c r="A146" s="1095" t="s">
        <v>777</v>
      </c>
      <c r="B146" s="1095"/>
      <c r="C146" s="1095"/>
    </row>
    <row r="147" spans="1:13">
      <c r="A147" s="1095"/>
      <c r="B147" s="1095"/>
      <c r="C147" s="1095"/>
      <c r="D147" s="67">
        <f>D141-D129</f>
        <v>3811.6702279253377</v>
      </c>
      <c r="E147" s="67">
        <f>E141-D129</f>
        <v>3359.4761682286753</v>
      </c>
      <c r="F147" s="67">
        <f>F141-D129</f>
        <v>3002.2821085320138</v>
      </c>
      <c r="G147" s="67">
        <f>G141-D129</f>
        <v>2560.0880488353519</v>
      </c>
      <c r="H147" s="67">
        <f>H141-D129</f>
        <v>2227.8939891386904</v>
      </c>
      <c r="I147" s="67">
        <f>I141-D129</f>
        <v>1885.6999294420282</v>
      </c>
      <c r="J147" s="67">
        <f>J141-D129</f>
        <v>1548.5058697453665</v>
      </c>
      <c r="K147" s="67">
        <f>K141-D129</f>
        <v>1196.3118100487047</v>
      </c>
      <c r="L147" s="67">
        <f>L141-D129</f>
        <v>829.11775035204289</v>
      </c>
      <c r="M147" s="67">
        <f>M141-D129</f>
        <v>491.92369065538105</v>
      </c>
    </row>
    <row r="148" spans="1:13" ht="6.75" customHeight="1">
      <c r="A148" s="1095"/>
      <c r="B148" s="1095"/>
      <c r="C148" s="1095"/>
      <c r="K148" s="84"/>
      <c r="L148" s="84"/>
      <c r="M148" s="84"/>
    </row>
    <row r="149" spans="1:13">
      <c r="K149" s="84"/>
      <c r="L149" s="84"/>
      <c r="M149" s="84"/>
    </row>
    <row r="150" spans="1:13">
      <c r="K150" s="84"/>
      <c r="L150" s="84"/>
      <c r="M150" s="84"/>
    </row>
    <row r="151" spans="1:13">
      <c r="K151" s="84"/>
      <c r="L151" s="84"/>
      <c r="M151" s="84"/>
    </row>
    <row r="152" spans="1:13">
      <c r="K152" s="84"/>
      <c r="L152" s="84"/>
      <c r="M152" s="84"/>
    </row>
    <row r="153" spans="1:13">
      <c r="K153" s="84"/>
      <c r="L153" s="84"/>
      <c r="M153" s="84"/>
    </row>
    <row r="154" spans="1:13">
      <c r="K154" s="84"/>
      <c r="L154" s="84"/>
      <c r="M154" s="84"/>
    </row>
    <row r="155" spans="1:13">
      <c r="K155" s="84"/>
      <c r="L155" s="84"/>
      <c r="M155" s="84"/>
    </row>
    <row r="156" spans="1:13">
      <c r="K156" s="84"/>
      <c r="L156" s="84"/>
      <c r="M156" s="84"/>
    </row>
    <row r="157" spans="1:13">
      <c r="K157" s="84"/>
      <c r="L157" s="84"/>
      <c r="M157" s="84"/>
    </row>
  </sheetData>
  <mergeCells count="7">
    <mergeCell ref="A4:K4"/>
    <mergeCell ref="A5:K5"/>
    <mergeCell ref="A146:C148"/>
    <mergeCell ref="A55:C55"/>
    <mergeCell ref="A53:C53"/>
    <mergeCell ref="A114:C114"/>
    <mergeCell ref="A116:C116"/>
  </mergeCells>
  <phoneticPr fontId="2" type="noConversion"/>
  <pageMargins left="0.47244094488188981" right="0.11811023622047245" top="0.59055118110236227" bottom="0.15748031496062992" header="0.23622047244094491" footer="0.19685039370078741"/>
  <pageSetup paperSize="9" orientation="landscape" r:id="rId1"/>
  <headerFooter alignWithMargins="0">
    <oddHeader>&amp;RHOTEL CITY WALK INTERNATIONAL
GUWAHATI</oddHeader>
  </headerFooter>
  <rowBreaks count="1" manualBreakCount="1">
    <brk id="5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B65F8-A8E7-4C3A-AC88-83006F42E7D8}">
  <dimension ref="B2:N22"/>
  <sheetViews>
    <sheetView view="pageBreakPreview" zoomScaleNormal="100" zoomScaleSheetLayoutView="100" workbookViewId="0">
      <selection activeCell="N21" sqref="N21"/>
    </sheetView>
  </sheetViews>
  <sheetFormatPr defaultRowHeight="12.75"/>
  <cols>
    <col min="1" max="1" width="9.140625" style="51"/>
    <col min="2" max="2" width="31.7109375" style="51" bestFit="1" customWidth="1"/>
    <col min="3" max="3" width="3.42578125" style="51" customWidth="1"/>
    <col min="4" max="11" width="9.140625" style="51"/>
    <col min="12" max="12" width="9.140625" style="51" customWidth="1"/>
    <col min="13" max="16384" width="9.140625" style="51"/>
  </cols>
  <sheetData>
    <row r="2" spans="2:13">
      <c r="F2" s="1009" t="s">
        <v>778</v>
      </c>
    </row>
    <row r="4" spans="2:13">
      <c r="F4" s="999" t="s">
        <v>779</v>
      </c>
    </row>
    <row r="5" spans="2:13">
      <c r="C5" s="1014"/>
      <c r="D5" s="1014"/>
      <c r="E5" s="1014"/>
      <c r="F5" s="1000" t="s">
        <v>780</v>
      </c>
      <c r="G5" s="1014"/>
    </row>
    <row r="6" spans="2:13">
      <c r="B6" s="1099"/>
      <c r="C6" s="1099"/>
      <c r="D6" s="1099"/>
      <c r="E6" s="1099"/>
      <c r="F6" s="1099"/>
      <c r="G6" s="1099"/>
      <c r="H6" s="1099"/>
      <c r="I6" s="1099"/>
      <c r="J6" s="1099"/>
      <c r="K6" s="1099"/>
      <c r="L6" s="1014"/>
    </row>
    <row r="7" spans="2:13">
      <c r="B7" s="1099" t="s">
        <v>763</v>
      </c>
      <c r="C7" s="1099"/>
      <c r="D7" s="1099"/>
      <c r="E7" s="1099"/>
      <c r="F7" s="1099"/>
      <c r="G7" s="1099"/>
      <c r="H7" s="1099"/>
      <c r="I7" s="1099"/>
      <c r="J7" s="1099"/>
      <c r="K7" s="1099"/>
      <c r="L7" s="1014"/>
    </row>
    <row r="9" spans="2:13" ht="13.5" thickBot="1">
      <c r="B9" s="294"/>
      <c r="C9" s="295"/>
      <c r="D9" s="291" t="s">
        <v>95</v>
      </c>
      <c r="E9" s="292" t="s">
        <v>96</v>
      </c>
      <c r="F9" s="291" t="s">
        <v>97</v>
      </c>
      <c r="G9" s="292" t="s">
        <v>98</v>
      </c>
      <c r="H9" s="291" t="s">
        <v>99</v>
      </c>
      <c r="I9" s="292" t="s">
        <v>100</v>
      </c>
      <c r="J9" s="291" t="s">
        <v>101</v>
      </c>
      <c r="K9" s="293" t="s">
        <v>102</v>
      </c>
      <c r="L9" s="293" t="s">
        <v>103</v>
      </c>
      <c r="M9" s="293" t="s">
        <v>452</v>
      </c>
    </row>
    <row r="10" spans="2:13">
      <c r="B10" s="83"/>
      <c r="C10" s="84"/>
      <c r="D10" s="296"/>
      <c r="E10" s="84"/>
      <c r="F10" s="296"/>
      <c r="G10" s="84"/>
      <c r="H10" s="296"/>
      <c r="I10" s="84"/>
      <c r="J10" s="297"/>
      <c r="K10" s="298"/>
      <c r="L10" s="298"/>
      <c r="M10" s="298"/>
    </row>
    <row r="11" spans="2:13">
      <c r="B11" s="83" t="s">
        <v>396</v>
      </c>
      <c r="C11" s="84"/>
      <c r="D11" s="299">
        <f>'P  L '!D59</f>
        <v>548.49774971260422</v>
      </c>
      <c r="E11" s="43">
        <f>'P  L '!E59</f>
        <v>548.15057287532909</v>
      </c>
      <c r="F11" s="299">
        <f>'P  L '!F59</f>
        <v>645.50185917475369</v>
      </c>
      <c r="G11" s="43">
        <f>'P  L '!G59</f>
        <v>800.56031221016019</v>
      </c>
      <c r="H11" s="299">
        <f>'P  L '!H59</f>
        <v>964.18614565267376</v>
      </c>
      <c r="I11" s="43">
        <f>'P  L '!I59</f>
        <v>1128.8883668773506</v>
      </c>
      <c r="J11" s="299">
        <f>'P  L '!J59</f>
        <v>1316.3625162035871</v>
      </c>
      <c r="K11" s="300">
        <f>'P  L '!K59</f>
        <v>1485.1356812112695</v>
      </c>
      <c r="L11" s="300" t="e">
        <f>'P  L '!L59</f>
        <v>#VALUE!</v>
      </c>
      <c r="M11" s="300" t="e">
        <f>'P  L '!M59</f>
        <v>#VALUE!</v>
      </c>
    </row>
    <row r="12" spans="2:13">
      <c r="B12" s="83" t="s">
        <v>781</v>
      </c>
      <c r="C12" s="84"/>
      <c r="D12" s="299">
        <f>'P  L '!D53</f>
        <v>452.19405969666178</v>
      </c>
      <c r="E12" s="43">
        <f>'P  L '!E53</f>
        <v>452.19405969666178</v>
      </c>
      <c r="F12" s="299">
        <f>'P  L '!F53</f>
        <v>452.19405969666178</v>
      </c>
      <c r="G12" s="43">
        <f>'P  L '!G53</f>
        <v>452.19405969666178</v>
      </c>
      <c r="H12" s="299">
        <f>'P  L '!H53</f>
        <v>452.19405969666178</v>
      </c>
      <c r="I12" s="43">
        <f>'P  L '!I53</f>
        <v>452.19405969666178</v>
      </c>
      <c r="J12" s="299">
        <f>'P  L '!J53</f>
        <v>452.19405969666178</v>
      </c>
      <c r="K12" s="300">
        <f>'P  L '!K53</f>
        <v>452.19405969666178</v>
      </c>
      <c r="L12" s="300">
        <f>'P  L '!L53</f>
        <v>452.19405969666178</v>
      </c>
      <c r="M12" s="300">
        <f>'P  L '!M53</f>
        <v>452.19405969666178</v>
      </c>
    </row>
    <row r="13" spans="2:13">
      <c r="B13" s="83" t="s">
        <v>782</v>
      </c>
      <c r="C13" s="84"/>
      <c r="D13" s="299">
        <f>D11+D12</f>
        <v>1000.6918094092659</v>
      </c>
      <c r="E13" s="43">
        <f t="shared" ref="E13:J13" si="0">E11+E12</f>
        <v>1000.3446325719908</v>
      </c>
      <c r="F13" s="299">
        <f t="shared" si="0"/>
        <v>1097.6959188714154</v>
      </c>
      <c r="G13" s="43">
        <f t="shared" si="0"/>
        <v>1252.7543719068219</v>
      </c>
      <c r="H13" s="299">
        <f t="shared" si="0"/>
        <v>1416.3802053493355</v>
      </c>
      <c r="I13" s="43">
        <f t="shared" si="0"/>
        <v>1581.0824265740123</v>
      </c>
      <c r="J13" s="299">
        <f t="shared" si="0"/>
        <v>1768.5565759002488</v>
      </c>
      <c r="K13" s="300">
        <f>K11+K12</f>
        <v>1937.3297409079312</v>
      </c>
      <c r="L13" s="300" t="e">
        <f>L11+L12</f>
        <v>#VALUE!</v>
      </c>
      <c r="M13" s="300" t="e">
        <f>M11+M12</f>
        <v>#VALUE!</v>
      </c>
    </row>
    <row r="14" spans="2:13">
      <c r="B14" s="83" t="s">
        <v>783</v>
      </c>
      <c r="C14" s="84"/>
      <c r="D14" s="299">
        <f>depreciation!D53</f>
        <v>452.19405969666178</v>
      </c>
      <c r="E14" s="43">
        <f>depreciation!E53</f>
        <v>452.19405969666178</v>
      </c>
      <c r="F14" s="299">
        <f>depreciation!F53</f>
        <v>452.19405969666178</v>
      </c>
      <c r="G14" s="43">
        <f>depreciation!G53</f>
        <v>452.19405969666178</v>
      </c>
      <c r="H14" s="299">
        <f>depreciation!H53</f>
        <v>452.19405969666178</v>
      </c>
      <c r="I14" s="43">
        <f>depreciation!I53</f>
        <v>452.19405969666178</v>
      </c>
      <c r="J14" s="299">
        <f>depreciation!J53</f>
        <v>452.19405969666178</v>
      </c>
      <c r="K14" s="300">
        <f>depreciation!K53</f>
        <v>452.19405969666178</v>
      </c>
      <c r="L14" s="300">
        <f>depreciation!L53</f>
        <v>452.19405969666178</v>
      </c>
      <c r="M14" s="300">
        <f>depreciation!M53</f>
        <v>452.19405969666178</v>
      </c>
    </row>
    <row r="15" spans="2:13">
      <c r="B15" s="83" t="s">
        <v>784</v>
      </c>
      <c r="C15" s="84"/>
      <c r="D15" s="299">
        <f>D13-D14</f>
        <v>548.49774971260422</v>
      </c>
      <c r="E15" s="43">
        <f t="shared" ref="E15:J15" si="1">E13-E14</f>
        <v>548.15057287532909</v>
      </c>
      <c r="F15" s="299">
        <f t="shared" si="1"/>
        <v>645.50185917475369</v>
      </c>
      <c r="G15" s="43">
        <f t="shared" si="1"/>
        <v>800.56031221016019</v>
      </c>
      <c r="H15" s="299">
        <f t="shared" si="1"/>
        <v>964.18614565267376</v>
      </c>
      <c r="I15" s="43">
        <f t="shared" si="1"/>
        <v>1128.8883668773506</v>
      </c>
      <c r="J15" s="299">
        <f t="shared" si="1"/>
        <v>1316.3625162035871</v>
      </c>
      <c r="K15" s="300">
        <f>K13-K14</f>
        <v>1485.1356812112695</v>
      </c>
      <c r="L15" s="300" t="e">
        <f>L13-L14</f>
        <v>#VALUE!</v>
      </c>
      <c r="M15" s="300" t="e">
        <f>M13-M14</f>
        <v>#VALUE!</v>
      </c>
    </row>
    <row r="16" spans="2:13">
      <c r="B16" s="83" t="s">
        <v>785</v>
      </c>
      <c r="C16" s="84"/>
      <c r="D16" s="299">
        <f>D15</f>
        <v>548.49774971260422</v>
      </c>
      <c r="E16" s="43">
        <f t="shared" ref="E16:M16" si="2">D16+E15</f>
        <v>1096.6483225879333</v>
      </c>
      <c r="F16" s="299">
        <f t="shared" si="2"/>
        <v>1742.150181762687</v>
      </c>
      <c r="G16" s="299">
        <f t="shared" si="2"/>
        <v>2542.710493972847</v>
      </c>
      <c r="H16" s="299">
        <f t="shared" si="2"/>
        <v>3506.8966396255209</v>
      </c>
      <c r="I16" s="43">
        <f t="shared" si="2"/>
        <v>4635.7850065028715</v>
      </c>
      <c r="J16" s="299">
        <f t="shared" si="2"/>
        <v>5952.1475227064584</v>
      </c>
      <c r="K16" s="300">
        <f t="shared" si="2"/>
        <v>7437.2832039177283</v>
      </c>
      <c r="L16" s="300" t="e">
        <f t="shared" si="2"/>
        <v>#VALUE!</v>
      </c>
      <c r="M16" s="300" t="e">
        <f t="shared" si="2"/>
        <v>#VALUE!</v>
      </c>
    </row>
    <row r="17" spans="2:14">
      <c r="B17" s="83" t="s">
        <v>786</v>
      </c>
      <c r="C17" s="84"/>
      <c r="D17" s="299">
        <f>D16</f>
        <v>548.49774971260422</v>
      </c>
      <c r="E17" s="299">
        <f t="shared" ref="E17:M17" si="3">E16-D16</f>
        <v>548.15057287532909</v>
      </c>
      <c r="F17" s="299">
        <f t="shared" si="3"/>
        <v>645.50185917475369</v>
      </c>
      <c r="G17" s="299">
        <f t="shared" si="3"/>
        <v>800.56031221015996</v>
      </c>
      <c r="H17" s="299">
        <f t="shared" si="3"/>
        <v>964.18614565267399</v>
      </c>
      <c r="I17" s="299">
        <f t="shared" si="3"/>
        <v>1128.8883668773506</v>
      </c>
      <c r="J17" s="299">
        <f t="shared" si="3"/>
        <v>1316.3625162035869</v>
      </c>
      <c r="K17" s="299">
        <f t="shared" si="3"/>
        <v>1485.1356812112699</v>
      </c>
      <c r="L17" s="299" t="e">
        <f t="shared" si="3"/>
        <v>#VALUE!</v>
      </c>
      <c r="M17" s="299" t="e">
        <f t="shared" si="3"/>
        <v>#VALUE!</v>
      </c>
    </row>
    <row r="18" spans="2:14">
      <c r="B18" s="83" t="s">
        <v>787</v>
      </c>
      <c r="C18" s="84"/>
      <c r="D18" s="299">
        <f>D17</f>
        <v>548.49774971260422</v>
      </c>
      <c r="E18" s="43">
        <f t="shared" ref="E18:J18" si="4">E17</f>
        <v>548.15057287532909</v>
      </c>
      <c r="F18" s="299">
        <f t="shared" si="4"/>
        <v>645.50185917475369</v>
      </c>
      <c r="G18" s="43">
        <f t="shared" si="4"/>
        <v>800.56031221015996</v>
      </c>
      <c r="H18" s="299">
        <f t="shared" si="4"/>
        <v>964.18614565267399</v>
      </c>
      <c r="I18" s="43">
        <f t="shared" si="4"/>
        <v>1128.8883668773506</v>
      </c>
      <c r="J18" s="299">
        <f t="shared" si="4"/>
        <v>1316.3625162035869</v>
      </c>
      <c r="K18" s="300">
        <f>K17</f>
        <v>1485.1356812112699</v>
      </c>
      <c r="L18" s="300" t="e">
        <f>L17</f>
        <v>#VALUE!</v>
      </c>
      <c r="M18" s="300" t="e">
        <f>M17</f>
        <v>#VALUE!</v>
      </c>
    </row>
    <row r="19" spans="2:14">
      <c r="B19" s="77" t="s">
        <v>788</v>
      </c>
      <c r="C19" s="78"/>
      <c r="D19" s="301">
        <f>IF(D18&lt;0,0,D18*19.055%)</f>
        <v>104.51624620773673</v>
      </c>
      <c r="E19" s="6">
        <f>IF(E18&lt;0,0,E18*19.055%)</f>
        <v>104.45009166139396</v>
      </c>
      <c r="F19" s="301">
        <f t="shared" ref="F19:K19" si="5">IF(F18&lt;0,0,F18*20.00775%)</f>
        <v>129.1503982290368</v>
      </c>
      <c r="G19" s="6">
        <f t="shared" si="5"/>
        <v>160.1741058662283</v>
      </c>
      <c r="H19" s="301">
        <f t="shared" si="5"/>
        <v>192.91195355682291</v>
      </c>
      <c r="I19" s="6">
        <f t="shared" si="5"/>
        <v>225.86516222390313</v>
      </c>
      <c r="J19" s="301">
        <f t="shared" si="5"/>
        <v>263.37452133572316</v>
      </c>
      <c r="K19" s="302">
        <f t="shared" si="5"/>
        <v>297.1422342575479</v>
      </c>
      <c r="L19" s="302" t="e">
        <f>IF(L18&lt;0,0,L18*20.00775%)</f>
        <v>#VALUE!</v>
      </c>
      <c r="M19" s="302" t="e">
        <f>IF(M18&lt;0,0,M18*20.00775%)</f>
        <v>#VALUE!</v>
      </c>
      <c r="N19" s="6">
        <f>18.5*1.1</f>
        <v>20.350000000000001</v>
      </c>
    </row>
    <row r="20" spans="2:14">
      <c r="B20" s="83"/>
      <c r="C20" s="84"/>
      <c r="D20" s="296"/>
      <c r="E20" s="84"/>
      <c r="F20" s="296"/>
      <c r="G20" s="84"/>
      <c r="H20" s="296"/>
      <c r="I20" s="84"/>
      <c r="J20" s="296"/>
      <c r="K20" s="303"/>
      <c r="L20" s="303"/>
      <c r="M20" s="303"/>
    </row>
    <row r="21" spans="2:14">
      <c r="B21" s="87"/>
      <c r="C21" s="88"/>
      <c r="D21" s="304"/>
      <c r="E21" s="88"/>
      <c r="F21" s="304"/>
      <c r="G21" s="88"/>
      <c r="H21" s="304"/>
      <c r="I21" s="88"/>
      <c r="J21" s="304"/>
      <c r="K21" s="1007"/>
      <c r="L21" s="1007"/>
      <c r="M21" s="1007"/>
    </row>
    <row r="22" spans="2:14">
      <c r="B22" s="181"/>
      <c r="C22" s="182"/>
      <c r="D22" s="182"/>
      <c r="E22" s="182"/>
      <c r="F22" s="182"/>
      <c r="G22" s="182"/>
      <c r="H22" s="182"/>
      <c r="I22" s="182"/>
      <c r="J22" s="182"/>
      <c r="K22" s="305"/>
      <c r="L22" s="305"/>
    </row>
  </sheetData>
  <mergeCells count="2">
    <mergeCell ref="B7:K7"/>
    <mergeCell ref="B6:K6"/>
  </mergeCells>
  <phoneticPr fontId="2" type="noConversion"/>
  <pageMargins left="0.75" right="0.75" top="1" bottom="1" header="0.5" footer="0.5"/>
  <pageSetup paperSize="9" scale="97" orientation="landscape" r:id="rId1"/>
  <headerFooter alignWithMargins="0">
    <oddHeader>&amp;C&amp;"Arial,Bold"&amp;12ROYALE de CASA
(A UNIT OF ROYALE INDIA PVT. LTD.)</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6B62B-82CA-4350-A337-3FE8C8CBD432}">
  <sheetPr>
    <pageSetUpPr fitToPage="1"/>
  </sheetPr>
  <dimension ref="A1:Q36"/>
  <sheetViews>
    <sheetView workbookViewId="0">
      <selection activeCell="A2" sqref="A2:G2"/>
    </sheetView>
  </sheetViews>
  <sheetFormatPr defaultRowHeight="12.75"/>
  <cols>
    <col min="1" max="1" width="5.140625" style="51" customWidth="1"/>
    <col min="2" max="2" width="26.42578125" style="51" customWidth="1"/>
    <col min="3" max="3" width="8.85546875" style="51" customWidth="1"/>
    <col min="4" max="4" width="14.7109375" style="51" customWidth="1"/>
    <col min="5" max="5" width="0" style="51" hidden="1" customWidth="1"/>
    <col min="6" max="6" width="20.7109375" style="51" customWidth="1"/>
    <col min="7" max="7" width="12.85546875" style="51" customWidth="1"/>
    <col min="8" max="11" width="9.140625" style="51"/>
    <col min="12" max="12" width="6.85546875" style="51" customWidth="1"/>
    <col min="13" max="13" width="41.42578125" style="51" customWidth="1"/>
    <col min="14" max="14" width="10" style="51" customWidth="1"/>
    <col min="15" max="15" width="7.85546875" style="51" customWidth="1"/>
    <col min="16" max="16" width="10.140625" style="51" customWidth="1"/>
    <col min="17" max="17" width="14.7109375" style="51" customWidth="1"/>
    <col min="18" max="16384" width="9.140625" style="51"/>
  </cols>
  <sheetData>
    <row r="1" spans="1:17" ht="14.25">
      <c r="A1" s="185"/>
      <c r="B1" s="185"/>
      <c r="C1" s="185"/>
      <c r="D1" s="185"/>
      <c r="E1" s="185"/>
      <c r="F1" s="1103"/>
      <c r="G1" s="1103"/>
      <c r="M1" s="999" t="s">
        <v>789</v>
      </c>
      <c r="N1" s="1014"/>
    </row>
    <row r="2" spans="1:17" ht="15.75">
      <c r="A2" s="1104" t="s">
        <v>790</v>
      </c>
      <c r="B2" s="1104"/>
      <c r="C2" s="1104"/>
      <c r="D2" s="1104"/>
      <c r="E2" s="1104"/>
      <c r="F2" s="1104"/>
      <c r="G2" s="1104"/>
      <c r="L2" s="91"/>
      <c r="M2" s="1100" t="s">
        <v>791</v>
      </c>
      <c r="N2" s="1100"/>
      <c r="O2" s="112"/>
      <c r="P2" s="113"/>
      <c r="Q2" s="113"/>
    </row>
    <row r="3" spans="1:17" ht="15">
      <c r="A3" s="186"/>
      <c r="B3" s="186"/>
      <c r="C3" s="186"/>
      <c r="D3" s="186"/>
      <c r="E3" s="187"/>
      <c r="F3" s="185"/>
      <c r="G3" s="185"/>
      <c r="L3" s="91"/>
      <c r="M3" s="1100" t="s">
        <v>792</v>
      </c>
      <c r="N3" s="1100"/>
      <c r="O3" s="112"/>
      <c r="P3" s="113"/>
      <c r="Q3" s="113"/>
    </row>
    <row r="4" spans="1:17" ht="15">
      <c r="A4" s="188"/>
      <c r="B4" s="1105" t="s">
        <v>793</v>
      </c>
      <c r="C4" s="1106"/>
      <c r="D4" s="189" t="s">
        <v>794</v>
      </c>
      <c r="E4" s="190"/>
      <c r="F4" s="191" t="s">
        <v>793</v>
      </c>
      <c r="G4" s="192"/>
      <c r="L4" s="91"/>
      <c r="M4" s="1100" t="s">
        <v>795</v>
      </c>
      <c r="N4" s="1100"/>
      <c r="O4" s="112"/>
      <c r="P4" s="130"/>
      <c r="Q4" s="130"/>
    </row>
    <row r="5" spans="1:17" ht="15.75" thickBot="1">
      <c r="A5" s="193" t="s">
        <v>796</v>
      </c>
      <c r="B5" s="1107" t="s">
        <v>797</v>
      </c>
      <c r="C5" s="1108"/>
      <c r="D5" s="194" t="s">
        <v>798</v>
      </c>
      <c r="E5" s="195"/>
      <c r="F5" s="196" t="s">
        <v>799</v>
      </c>
      <c r="G5" s="197" t="s">
        <v>800</v>
      </c>
      <c r="L5" s="92" t="s">
        <v>629</v>
      </c>
      <c r="M5" s="93" t="s">
        <v>801</v>
      </c>
      <c r="N5" s="198"/>
      <c r="O5" s="94"/>
      <c r="P5" s="1006"/>
      <c r="Q5" s="131"/>
    </row>
    <row r="6" spans="1:17" ht="15">
      <c r="A6" s="199" t="s">
        <v>319</v>
      </c>
      <c r="B6" s="1101" t="s">
        <v>802</v>
      </c>
      <c r="C6" s="1102"/>
      <c r="D6" s="200" t="s">
        <v>803</v>
      </c>
      <c r="E6" s="201"/>
      <c r="F6" s="202" t="s">
        <v>802</v>
      </c>
      <c r="G6" s="203"/>
      <c r="L6" s="204">
        <v>1</v>
      </c>
      <c r="M6" s="205" t="s">
        <v>804</v>
      </c>
      <c r="N6" s="206">
        <v>95.4</v>
      </c>
      <c r="O6" s="207" t="s">
        <v>805</v>
      </c>
      <c r="P6" s="208"/>
      <c r="Q6" s="49"/>
    </row>
    <row r="7" spans="1:17" ht="15">
      <c r="A7" s="209"/>
      <c r="B7" s="209" t="s">
        <v>481</v>
      </c>
      <c r="C7" s="210" t="s">
        <v>806</v>
      </c>
      <c r="D7" s="210" t="s">
        <v>806</v>
      </c>
      <c r="E7" s="211"/>
      <c r="F7" s="210" t="s">
        <v>806</v>
      </c>
      <c r="G7" s="212"/>
      <c r="L7" s="213">
        <v>2</v>
      </c>
      <c r="M7" s="101" t="s">
        <v>807</v>
      </c>
      <c r="N7" s="48">
        <v>95.4</v>
      </c>
      <c r="O7" s="214" t="s">
        <v>805</v>
      </c>
      <c r="P7" s="208"/>
      <c r="Q7" s="49"/>
    </row>
    <row r="8" spans="1:17" ht="14.25">
      <c r="A8" s="215">
        <v>1</v>
      </c>
      <c r="B8" s="216" t="s">
        <v>808</v>
      </c>
      <c r="C8" s="217">
        <v>284.11</v>
      </c>
      <c r="D8" s="218"/>
      <c r="E8" s="219"/>
      <c r="F8" s="217"/>
      <c r="G8" s="196" t="s">
        <v>809</v>
      </c>
      <c r="L8" s="213">
        <v>3</v>
      </c>
      <c r="M8" s="101" t="s">
        <v>810</v>
      </c>
      <c r="N8" s="48">
        <v>28.6</v>
      </c>
      <c r="O8" s="214" t="s">
        <v>805</v>
      </c>
      <c r="P8" s="208"/>
      <c r="Q8" s="49"/>
    </row>
    <row r="9" spans="1:17" ht="15">
      <c r="A9" s="220"/>
      <c r="B9" s="221"/>
      <c r="C9" s="222"/>
      <c r="D9" s="222"/>
      <c r="E9" s="223"/>
      <c r="F9" s="222"/>
      <c r="G9" s="196"/>
      <c r="L9" s="213">
        <v>4</v>
      </c>
      <c r="M9" s="101" t="s">
        <v>811</v>
      </c>
      <c r="N9" s="48">
        <v>118.8</v>
      </c>
      <c r="O9" s="214" t="s">
        <v>805</v>
      </c>
      <c r="P9" s="208"/>
      <c r="Q9" s="49"/>
    </row>
    <row r="10" spans="1:17" ht="14.25">
      <c r="A10" s="215" t="s">
        <v>812</v>
      </c>
      <c r="B10" s="216" t="s">
        <v>813</v>
      </c>
      <c r="C10" s="217">
        <v>206.94</v>
      </c>
      <c r="D10" s="218">
        <v>113.37</v>
      </c>
      <c r="E10" s="219"/>
      <c r="F10" s="217">
        <f>C10-D10</f>
        <v>93.57</v>
      </c>
      <c r="G10" s="196" t="s">
        <v>814</v>
      </c>
      <c r="L10" s="213">
        <v>5</v>
      </c>
      <c r="M10" s="101" t="s">
        <v>815</v>
      </c>
      <c r="N10" s="48">
        <v>118.8</v>
      </c>
      <c r="O10" s="214" t="s">
        <v>805</v>
      </c>
      <c r="P10" s="208"/>
      <c r="Q10" s="49"/>
    </row>
    <row r="11" spans="1:17" ht="15" thickBot="1">
      <c r="A11" s="215"/>
      <c r="B11" s="216"/>
      <c r="C11" s="217"/>
      <c r="D11" s="218"/>
      <c r="E11" s="219"/>
      <c r="F11" s="217"/>
      <c r="G11" s="196"/>
      <c r="L11" s="224">
        <v>6</v>
      </c>
      <c r="M11" s="225" t="s">
        <v>816</v>
      </c>
      <c r="N11" s="226">
        <f>118.8*3</f>
        <v>356.4</v>
      </c>
      <c r="O11" s="227" t="s">
        <v>805</v>
      </c>
      <c r="P11" s="208"/>
      <c r="Q11" s="49"/>
    </row>
    <row r="12" spans="1:17" ht="14.25">
      <c r="A12" s="215" t="s">
        <v>817</v>
      </c>
      <c r="B12" s="216" t="s">
        <v>818</v>
      </c>
      <c r="C12" s="217">
        <v>160.19</v>
      </c>
      <c r="D12" s="218">
        <v>92.32</v>
      </c>
      <c r="E12" s="219"/>
      <c r="F12" s="217"/>
      <c r="G12" s="196" t="s">
        <v>809</v>
      </c>
      <c r="L12" s="91"/>
      <c r="M12" s="111"/>
      <c r="N12" s="112"/>
      <c r="O12" s="112"/>
      <c r="P12" s="228"/>
      <c r="Q12" s="102"/>
    </row>
    <row r="13" spans="1:17" ht="42.75">
      <c r="A13" s="215"/>
      <c r="B13" s="229" t="s">
        <v>819</v>
      </c>
      <c r="C13" s="217">
        <f>C12-D12</f>
        <v>67.87</v>
      </c>
      <c r="D13" s="218"/>
      <c r="E13" s="219"/>
      <c r="F13" s="217"/>
      <c r="G13" s="196" t="s">
        <v>809</v>
      </c>
      <c r="L13" s="91"/>
      <c r="M13" s="111"/>
      <c r="N13" s="112"/>
      <c r="O13" s="112"/>
      <c r="P13" s="228"/>
      <c r="Q13" s="102"/>
    </row>
    <row r="14" spans="1:17" ht="14.25">
      <c r="A14" s="215"/>
      <c r="B14" s="229" t="s">
        <v>820</v>
      </c>
      <c r="C14" s="217">
        <f>C10*0.33</f>
        <v>68.290199999999999</v>
      </c>
      <c r="D14" s="218"/>
      <c r="E14" s="219"/>
      <c r="F14" s="217"/>
      <c r="G14" s="196" t="s">
        <v>809</v>
      </c>
      <c r="L14" s="91"/>
      <c r="M14" s="273" t="s">
        <v>821</v>
      </c>
      <c r="N14" s="112"/>
      <c r="O14" s="112"/>
      <c r="P14" s="228"/>
      <c r="Q14" s="102"/>
    </row>
    <row r="15" spans="1:17" ht="28.5">
      <c r="A15" s="215"/>
      <c r="B15" s="229" t="s">
        <v>822</v>
      </c>
      <c r="C15" s="217" t="s">
        <v>823</v>
      </c>
      <c r="D15" s="218"/>
      <c r="E15" s="219"/>
      <c r="F15" s="217" t="s">
        <v>823</v>
      </c>
      <c r="G15" s="196" t="s">
        <v>814</v>
      </c>
      <c r="L15" s="230"/>
      <c r="M15" s="231"/>
      <c r="N15" s="232"/>
      <c r="O15" s="233"/>
      <c r="P15" s="228"/>
      <c r="Q15" s="102"/>
    </row>
    <row r="16" spans="1:17" ht="14.25">
      <c r="A16" s="215"/>
      <c r="B16" s="229"/>
      <c r="C16" s="217"/>
      <c r="D16" s="218"/>
      <c r="E16" s="219"/>
      <c r="F16" s="217"/>
      <c r="G16" s="196"/>
      <c r="L16" s="1109" t="s">
        <v>631</v>
      </c>
      <c r="M16" s="1109" t="s">
        <v>824</v>
      </c>
      <c r="N16" s="1077" t="s">
        <v>825</v>
      </c>
      <c r="O16" s="1077" t="s">
        <v>549</v>
      </c>
      <c r="P16" s="110" t="s">
        <v>550</v>
      </c>
      <c r="Q16" s="110" t="s">
        <v>551</v>
      </c>
    </row>
    <row r="17" spans="1:17" ht="14.25">
      <c r="A17" s="215" t="s">
        <v>826</v>
      </c>
      <c r="B17" s="216" t="s">
        <v>827</v>
      </c>
      <c r="C17" s="217">
        <v>221.98</v>
      </c>
      <c r="D17" s="218">
        <v>63.16</v>
      </c>
      <c r="E17" s="219"/>
      <c r="F17" s="217">
        <f>C17-D17</f>
        <v>158.82</v>
      </c>
      <c r="G17" s="196" t="s">
        <v>814</v>
      </c>
      <c r="L17" s="1110"/>
      <c r="M17" s="1110"/>
      <c r="N17" s="1075"/>
      <c r="O17" s="1075"/>
      <c r="P17" s="110" t="s">
        <v>828</v>
      </c>
      <c r="Q17" s="110" t="s">
        <v>828</v>
      </c>
    </row>
    <row r="18" spans="1:17" ht="14.25">
      <c r="A18" s="215"/>
      <c r="B18" s="216"/>
      <c r="C18" s="217"/>
      <c r="D18" s="218"/>
      <c r="E18" s="219"/>
      <c r="F18" s="217"/>
      <c r="G18" s="196"/>
      <c r="L18" s="234">
        <v>1</v>
      </c>
      <c r="M18" s="235" t="s">
        <v>829</v>
      </c>
      <c r="N18" s="236">
        <v>95.4</v>
      </c>
      <c r="O18" s="236" t="s">
        <v>805</v>
      </c>
      <c r="P18" s="237">
        <v>9000</v>
      </c>
      <c r="Q18" s="238">
        <f t="shared" ref="Q18:Q23" si="0">N18*P18</f>
        <v>858600</v>
      </c>
    </row>
    <row r="19" spans="1:17" ht="14.25">
      <c r="A19" s="215" t="s">
        <v>830</v>
      </c>
      <c r="B19" s="216" t="s">
        <v>831</v>
      </c>
      <c r="C19" s="217">
        <v>221.98</v>
      </c>
      <c r="D19" s="218">
        <v>63.16</v>
      </c>
      <c r="E19" s="219"/>
      <c r="F19" s="217">
        <f>C19-D19</f>
        <v>158.82</v>
      </c>
      <c r="G19" s="196" t="s">
        <v>814</v>
      </c>
      <c r="L19" s="239">
        <v>2</v>
      </c>
      <c r="M19" s="101" t="s">
        <v>832</v>
      </c>
      <c r="N19" s="48">
        <v>95.4</v>
      </c>
      <c r="O19" s="48" t="s">
        <v>805</v>
      </c>
      <c r="P19" s="49">
        <v>8500</v>
      </c>
      <c r="Q19" s="240">
        <f t="shared" si="0"/>
        <v>810900</v>
      </c>
    </row>
    <row r="20" spans="1:17" ht="14.25">
      <c r="A20" s="215"/>
      <c r="B20" s="216"/>
      <c r="C20" s="217"/>
      <c r="D20" s="218"/>
      <c r="E20" s="219"/>
      <c r="F20" s="217"/>
      <c r="G20" s="196"/>
      <c r="L20" s="241">
        <v>3</v>
      </c>
      <c r="M20" s="101" t="s">
        <v>833</v>
      </c>
      <c r="N20" s="48">
        <v>28.6</v>
      </c>
      <c r="O20" s="48" t="s">
        <v>805</v>
      </c>
      <c r="P20" s="49">
        <v>8000</v>
      </c>
      <c r="Q20" s="240">
        <f t="shared" si="0"/>
        <v>228800</v>
      </c>
    </row>
    <row r="21" spans="1:17" ht="14.25">
      <c r="A21" s="215" t="s">
        <v>834</v>
      </c>
      <c r="B21" s="216" t="s">
        <v>835</v>
      </c>
      <c r="C21" s="217">
        <v>221.98</v>
      </c>
      <c r="D21" s="218">
        <v>63.16</v>
      </c>
      <c r="E21" s="219"/>
      <c r="F21" s="217">
        <f>C21-D21</f>
        <v>158.82</v>
      </c>
      <c r="G21" s="196" t="s">
        <v>814</v>
      </c>
      <c r="L21" s="239">
        <v>4</v>
      </c>
      <c r="M21" s="101" t="s">
        <v>836</v>
      </c>
      <c r="N21" s="48">
        <v>118.8</v>
      </c>
      <c r="O21" s="48" t="s">
        <v>805</v>
      </c>
      <c r="P21" s="49">
        <v>8500</v>
      </c>
      <c r="Q21" s="240">
        <f t="shared" si="0"/>
        <v>1009800</v>
      </c>
    </row>
    <row r="22" spans="1:17" ht="14.25">
      <c r="A22" s="215"/>
      <c r="B22" s="216"/>
      <c r="C22" s="217"/>
      <c r="D22" s="218"/>
      <c r="E22" s="219"/>
      <c r="F22" s="217"/>
      <c r="G22" s="196"/>
      <c r="L22" s="241">
        <v>5</v>
      </c>
      <c r="M22" s="101" t="s">
        <v>837</v>
      </c>
      <c r="N22" s="48">
        <v>118.8</v>
      </c>
      <c r="O22" s="48" t="s">
        <v>805</v>
      </c>
      <c r="P22" s="49">
        <v>8650</v>
      </c>
      <c r="Q22" s="240">
        <f t="shared" si="0"/>
        <v>1027620</v>
      </c>
    </row>
    <row r="23" spans="1:17" ht="15">
      <c r="A23" s="215" t="s">
        <v>838</v>
      </c>
      <c r="B23" s="216" t="s">
        <v>839</v>
      </c>
      <c r="C23" s="242">
        <f>C8+C10+C12+C17+C19+C21</f>
        <v>1317.18</v>
      </c>
      <c r="D23" s="242"/>
      <c r="E23" s="223"/>
      <c r="F23" s="243">
        <f>SUM(F10:F21)</f>
        <v>570.03</v>
      </c>
      <c r="G23" s="196"/>
      <c r="L23" s="244">
        <v>6</v>
      </c>
      <c r="M23" s="245" t="s">
        <v>840</v>
      </c>
      <c r="N23" s="246">
        <f>118.8*3</f>
        <v>356.4</v>
      </c>
      <c r="O23" s="246" t="s">
        <v>805</v>
      </c>
      <c r="P23" s="247">
        <v>8700</v>
      </c>
      <c r="Q23" s="248">
        <f t="shared" si="0"/>
        <v>3100680</v>
      </c>
    </row>
    <row r="24" spans="1:17" ht="15">
      <c r="A24" s="215"/>
      <c r="B24" s="216"/>
      <c r="C24" s="242"/>
      <c r="D24" s="249"/>
      <c r="E24" s="250"/>
      <c r="F24" s="251"/>
      <c r="G24" s="196"/>
      <c r="L24" s="252"/>
      <c r="M24" s="253"/>
      <c r="N24" s="1111" t="s">
        <v>841</v>
      </c>
      <c r="O24" s="1112"/>
      <c r="P24" s="1113"/>
      <c r="Q24" s="274">
        <f>SUM(Q18:Q23)</f>
        <v>7036400</v>
      </c>
    </row>
    <row r="25" spans="1:17" ht="15">
      <c r="A25" s="215" t="s">
        <v>842</v>
      </c>
      <c r="B25" s="216" t="s">
        <v>843</v>
      </c>
      <c r="C25" s="254">
        <v>490.18</v>
      </c>
      <c r="D25" s="249"/>
      <c r="E25" s="250"/>
      <c r="F25" s="251"/>
      <c r="G25" s="196"/>
      <c r="L25" s="44"/>
      <c r="M25" s="255"/>
      <c r="N25" s="10"/>
      <c r="O25" s="10"/>
      <c r="P25" s="47"/>
      <c r="Q25" s="47"/>
    </row>
    <row r="26" spans="1:17" ht="15">
      <c r="A26" s="215"/>
      <c r="B26" s="216"/>
      <c r="C26" s="242"/>
      <c r="D26" s="249"/>
      <c r="E26" s="250"/>
      <c r="F26" s="251"/>
      <c r="G26" s="196"/>
      <c r="L26" s="256" t="s">
        <v>633</v>
      </c>
      <c r="M26" s="257" t="s">
        <v>844</v>
      </c>
      <c r="N26" s="258"/>
      <c r="O26" s="258"/>
      <c r="P26" s="259"/>
      <c r="Q26" s="260"/>
    </row>
    <row r="27" spans="1:17" ht="15">
      <c r="A27" s="215" t="s">
        <v>845</v>
      </c>
      <c r="B27" s="216" t="s">
        <v>846</v>
      </c>
      <c r="C27" s="254">
        <f>(C10/C25)*100</f>
        <v>42.217144722346895</v>
      </c>
      <c r="D27" s="251"/>
      <c r="E27" s="261"/>
      <c r="F27" s="251"/>
      <c r="G27" s="196"/>
      <c r="L27" s="262">
        <v>1</v>
      </c>
      <c r="M27" s="1114" t="s">
        <v>847</v>
      </c>
      <c r="N27" s="1115"/>
      <c r="O27" s="1116"/>
      <c r="P27" s="263" t="s">
        <v>848</v>
      </c>
      <c r="Q27" s="264">
        <f>Q24*0.105</f>
        <v>738822</v>
      </c>
    </row>
    <row r="28" spans="1:17" ht="15">
      <c r="A28" s="215"/>
      <c r="B28" s="216"/>
      <c r="C28" s="254"/>
      <c r="D28" s="251"/>
      <c r="E28" s="261"/>
      <c r="F28" s="251"/>
      <c r="G28" s="196"/>
      <c r="L28" s="265">
        <v>2</v>
      </c>
      <c r="M28" s="1117" t="s">
        <v>849</v>
      </c>
      <c r="N28" s="1118"/>
      <c r="O28" s="1119"/>
      <c r="P28" s="1005" t="s">
        <v>848</v>
      </c>
      <c r="Q28" s="266">
        <f>Q24*0.05</f>
        <v>351820</v>
      </c>
    </row>
    <row r="29" spans="1:17" ht="15">
      <c r="A29" s="267" t="s">
        <v>202</v>
      </c>
      <c r="B29" s="268" t="s">
        <v>850</v>
      </c>
      <c r="C29" s="269">
        <f>(F23/C25)*100</f>
        <v>116.28993430984535</v>
      </c>
      <c r="D29" s="270"/>
      <c r="E29" s="261"/>
      <c r="F29" s="270"/>
      <c r="G29" s="202"/>
      <c r="L29" s="265">
        <v>4</v>
      </c>
      <c r="M29" s="1117" t="s">
        <v>851</v>
      </c>
      <c r="N29" s="1118"/>
      <c r="O29" s="1119"/>
      <c r="P29" s="1005" t="s">
        <v>848</v>
      </c>
      <c r="Q29" s="266">
        <f>Q24*0.12</f>
        <v>844368</v>
      </c>
    </row>
    <row r="30" spans="1:17">
      <c r="L30" s="265">
        <v>5</v>
      </c>
      <c r="M30" s="1117" t="s">
        <v>852</v>
      </c>
      <c r="N30" s="1118"/>
      <c r="O30" s="1119"/>
      <c r="P30" s="1005" t="s">
        <v>848</v>
      </c>
      <c r="Q30" s="266">
        <f>Q24*0.04</f>
        <v>281456</v>
      </c>
    </row>
    <row r="31" spans="1:17">
      <c r="L31" s="265">
        <v>6</v>
      </c>
      <c r="M31" s="1117" t="s">
        <v>853</v>
      </c>
      <c r="N31" s="1118"/>
      <c r="O31" s="1119"/>
      <c r="P31" s="1005" t="s">
        <v>848</v>
      </c>
      <c r="Q31" s="266">
        <f>Q24*0.02</f>
        <v>140728</v>
      </c>
    </row>
    <row r="32" spans="1:17">
      <c r="L32" s="265">
        <v>7</v>
      </c>
      <c r="M32" s="1117" t="s">
        <v>854</v>
      </c>
      <c r="N32" s="1118"/>
      <c r="O32" s="1119"/>
      <c r="P32" s="1005" t="s">
        <v>848</v>
      </c>
      <c r="Q32" s="266">
        <f>Q24*0.02</f>
        <v>140728</v>
      </c>
    </row>
    <row r="33" spans="12:17">
      <c r="L33" s="265">
        <v>8</v>
      </c>
      <c r="M33" s="1129" t="s">
        <v>855</v>
      </c>
      <c r="N33" s="1130"/>
      <c r="O33" s="1131"/>
      <c r="P33" s="1005" t="s">
        <v>848</v>
      </c>
      <c r="Q33" s="266">
        <f>Q24*0.07</f>
        <v>492548.00000000006</v>
      </c>
    </row>
    <row r="34" spans="12:17" ht="15">
      <c r="L34" s="252"/>
      <c r="M34" s="271"/>
      <c r="N34" s="1120" t="s">
        <v>856</v>
      </c>
      <c r="O34" s="1121"/>
      <c r="P34" s="1122"/>
      <c r="Q34" s="275">
        <f>SUM(Q24:Q33)</f>
        <v>10026870</v>
      </c>
    </row>
    <row r="35" spans="12:17" ht="15">
      <c r="L35" s="98"/>
      <c r="M35" s="99"/>
      <c r="N35" s="1123"/>
      <c r="O35" s="1124"/>
      <c r="P35" s="1125"/>
      <c r="Q35" s="272"/>
    </row>
    <row r="36" spans="12:17" ht="15">
      <c r="L36" s="100"/>
      <c r="M36" s="1126"/>
      <c r="N36" s="1127"/>
      <c r="O36" s="1127"/>
      <c r="P36" s="1127"/>
      <c r="Q36" s="1128"/>
    </row>
  </sheetData>
  <mergeCells count="23">
    <mergeCell ref="N35:P35"/>
    <mergeCell ref="M36:Q36"/>
    <mergeCell ref="M31:O31"/>
    <mergeCell ref="M32:O32"/>
    <mergeCell ref="M33:O33"/>
    <mergeCell ref="M27:O27"/>
    <mergeCell ref="M28:O28"/>
    <mergeCell ref="M29:O29"/>
    <mergeCell ref="M30:O30"/>
    <mergeCell ref="N34:P34"/>
    <mergeCell ref="L16:L17"/>
    <mergeCell ref="M16:M17"/>
    <mergeCell ref="N16:N17"/>
    <mergeCell ref="O16:O17"/>
    <mergeCell ref="N24:P24"/>
    <mergeCell ref="M2:N2"/>
    <mergeCell ref="M3:N3"/>
    <mergeCell ref="M4:N4"/>
    <mergeCell ref="B6:C6"/>
    <mergeCell ref="F1:G1"/>
    <mergeCell ref="A2:G2"/>
    <mergeCell ref="B4:C4"/>
    <mergeCell ref="B5:C5"/>
  </mergeCells>
  <phoneticPr fontId="2" type="noConversion"/>
  <pageMargins left="0.75" right="0.75" top="1" bottom="1" header="0.5" footer="0.5"/>
  <pageSetup scale="42" orientation="portrait" r:id="rId1"/>
  <headerFooter alignWithMargins="0">
    <oddHeader>&amp;C&amp;"Arial,Bold"&amp;12RMD Hotels and Resorts Pvt Ltd.</oddHeader>
    <oddFooter>&amp;C35</oddFooter>
  </headerFooter>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C833-4B35-48CD-BF02-261D0B578503}">
  <sheetPr>
    <tabColor rgb="FF92D050"/>
  </sheetPr>
  <dimension ref="A1:N875"/>
  <sheetViews>
    <sheetView view="pageBreakPreview" topLeftCell="A677" zoomScaleNormal="100" workbookViewId="0">
      <selection activeCell="L701" sqref="L701"/>
    </sheetView>
  </sheetViews>
  <sheetFormatPr defaultRowHeight="12.75"/>
  <cols>
    <col min="1" max="1" width="4" customWidth="1"/>
    <col min="4" max="4" width="19.7109375" customWidth="1"/>
    <col min="5" max="5" width="14.140625" customWidth="1"/>
    <col min="6" max="6" width="14" customWidth="1"/>
    <col min="7" max="8" width="13" customWidth="1"/>
    <col min="9" max="9" width="13.28515625" customWidth="1"/>
    <col min="10" max="10" width="13.7109375" customWidth="1"/>
    <col min="11" max="13" width="13.42578125" customWidth="1"/>
    <col min="14" max="14" width="12" customWidth="1"/>
  </cols>
  <sheetData>
    <row r="1" spans="1:13" ht="15.75">
      <c r="A1" s="1132" t="s">
        <v>857</v>
      </c>
      <c r="B1" s="1132"/>
      <c r="C1" s="1132"/>
      <c r="D1" s="1132"/>
      <c r="E1" s="1132"/>
      <c r="F1" s="1132"/>
      <c r="G1" s="1132"/>
      <c r="H1" s="1132"/>
      <c r="I1" s="1132"/>
      <c r="J1" s="1132"/>
      <c r="K1" s="1015"/>
      <c r="L1" s="494"/>
    </row>
    <row r="2" spans="1:13" ht="15" hidden="1">
      <c r="A2" s="1133"/>
      <c r="B2" s="1133"/>
      <c r="C2" s="1133"/>
      <c r="D2" s="1133"/>
      <c r="E2" s="1133"/>
      <c r="F2" s="1133"/>
      <c r="G2" s="1133"/>
      <c r="H2" s="1133"/>
      <c r="I2" s="1133"/>
      <c r="J2" s="495"/>
      <c r="K2" s="495"/>
      <c r="L2" s="496"/>
    </row>
    <row r="3" spans="1:13" ht="15" hidden="1">
      <c r="B3" s="496"/>
      <c r="C3" s="497"/>
      <c r="D3" s="497"/>
      <c r="E3" s="498"/>
      <c r="F3" s="498"/>
      <c r="G3" s="498"/>
      <c r="H3" s="498"/>
      <c r="I3" s="498"/>
      <c r="J3" s="496"/>
      <c r="K3" s="496"/>
      <c r="L3" s="496"/>
    </row>
    <row r="4" spans="1:13" ht="15.75">
      <c r="A4" s="1134" t="s">
        <v>858</v>
      </c>
      <c r="B4" s="1134"/>
      <c r="C4" s="1134"/>
      <c r="D4" s="1134"/>
      <c r="E4" s="1134"/>
      <c r="F4" s="1134"/>
      <c r="G4" s="1134"/>
      <c r="H4" s="1134"/>
      <c r="I4" s="496"/>
      <c r="J4" s="496"/>
      <c r="K4" s="496"/>
      <c r="L4" s="496"/>
    </row>
    <row r="5" spans="1:13" ht="15">
      <c r="A5" s="499"/>
      <c r="B5" s="499"/>
      <c r="C5" s="500"/>
      <c r="D5" s="501"/>
      <c r="E5" s="501"/>
      <c r="F5" s="501"/>
      <c r="G5" s="501"/>
      <c r="H5" s="501"/>
      <c r="I5" s="502"/>
      <c r="J5" s="496"/>
      <c r="K5" s="496"/>
      <c r="L5" s="496"/>
    </row>
    <row r="6" spans="1:13" ht="15.75">
      <c r="A6" s="1134" t="s">
        <v>859</v>
      </c>
      <c r="B6" s="1134"/>
      <c r="C6" s="1134"/>
      <c r="D6" s="1134"/>
      <c r="E6" s="1134"/>
      <c r="F6" s="1134"/>
      <c r="G6" s="1134"/>
      <c r="H6" s="1134"/>
      <c r="I6" s="496"/>
      <c r="J6" s="496"/>
      <c r="K6" s="496"/>
      <c r="L6" s="496"/>
    </row>
    <row r="7" spans="1:13" ht="15">
      <c r="A7" s="496"/>
      <c r="B7" s="496"/>
      <c r="C7" s="503"/>
      <c r="D7" s="496"/>
      <c r="E7" s="496"/>
      <c r="F7" s="496"/>
      <c r="G7" s="496"/>
      <c r="H7" s="496"/>
      <c r="I7" s="496"/>
      <c r="J7" s="496"/>
      <c r="K7" s="496"/>
      <c r="L7" s="496"/>
    </row>
    <row r="8" spans="1:13" ht="15">
      <c r="A8" s="496"/>
      <c r="B8" s="496"/>
      <c r="C8" s="496"/>
      <c r="D8" s="496"/>
      <c r="E8" s="503" t="s">
        <v>860</v>
      </c>
      <c r="F8" s="496"/>
      <c r="G8" s="496"/>
      <c r="H8" s="496"/>
      <c r="I8" s="496"/>
      <c r="J8" s="496"/>
      <c r="K8" s="496"/>
      <c r="L8" s="496"/>
    </row>
    <row r="9" spans="1:13" ht="15">
      <c r="A9" s="496"/>
      <c r="B9" s="496"/>
      <c r="C9" s="496"/>
      <c r="D9" s="496"/>
      <c r="E9" s="503" t="s">
        <v>861</v>
      </c>
      <c r="F9" s="496"/>
      <c r="G9" s="496"/>
      <c r="H9" s="496"/>
      <c r="I9" s="496"/>
      <c r="J9" s="496"/>
      <c r="K9" s="496"/>
      <c r="L9" s="496"/>
    </row>
    <row r="10" spans="1:13" ht="15">
      <c r="A10" s="496"/>
      <c r="B10" s="496"/>
      <c r="C10" s="496"/>
      <c r="D10" s="496"/>
      <c r="E10" s="504"/>
      <c r="F10" s="497"/>
      <c r="G10" s="497"/>
      <c r="H10" s="497"/>
      <c r="I10" s="505" t="s">
        <v>862</v>
      </c>
      <c r="J10" s="496"/>
      <c r="K10" s="496"/>
      <c r="L10" s="496"/>
    </row>
    <row r="11" spans="1:13" s="7" customFormat="1">
      <c r="E11" s="506" t="e">
        <f>#REF!</f>
        <v>#REF!</v>
      </c>
      <c r="F11" s="506" t="e">
        <f>#REF!</f>
        <v>#REF!</v>
      </c>
      <c r="G11" s="506" t="e">
        <f>#REF!</f>
        <v>#REF!</v>
      </c>
      <c r="H11" s="506" t="e">
        <f>#REF!</f>
        <v>#REF!</v>
      </c>
      <c r="I11" s="506" t="e">
        <f>#REF!</f>
        <v>#REF!</v>
      </c>
      <c r="J11" s="506" t="e">
        <f>#REF!</f>
        <v>#REF!</v>
      </c>
      <c r="K11" s="506" t="e">
        <f>#REF!</f>
        <v>#REF!</v>
      </c>
      <c r="L11" s="506" t="e">
        <f>#REF!</f>
        <v>#REF!</v>
      </c>
      <c r="M11" s="506" t="e">
        <f>#REF!</f>
        <v>#REF!</v>
      </c>
    </row>
    <row r="12" spans="1:13" ht="15">
      <c r="A12" s="496"/>
      <c r="B12" s="496"/>
      <c r="C12" s="496"/>
      <c r="D12" s="496"/>
      <c r="E12" s="507" t="s">
        <v>863</v>
      </c>
      <c r="F12" s="507" t="s">
        <v>863</v>
      </c>
      <c r="G12" s="507" t="s">
        <v>863</v>
      </c>
      <c r="H12" s="507" t="s">
        <v>863</v>
      </c>
      <c r="I12" s="507" t="s">
        <v>863</v>
      </c>
      <c r="J12" s="507" t="s">
        <v>863</v>
      </c>
      <c r="K12" s="507" t="s">
        <v>863</v>
      </c>
      <c r="L12" s="507" t="s">
        <v>863</v>
      </c>
      <c r="M12" s="507" t="s">
        <v>863</v>
      </c>
    </row>
    <row r="13" spans="1:13" ht="15">
      <c r="A13" s="496"/>
      <c r="B13" s="496"/>
      <c r="C13" s="496"/>
      <c r="D13" s="496"/>
      <c r="E13" s="508" t="s">
        <v>864</v>
      </c>
      <c r="F13" s="508" t="s">
        <v>865</v>
      </c>
      <c r="G13" s="508" t="s">
        <v>866</v>
      </c>
      <c r="H13" s="509" t="s">
        <v>867</v>
      </c>
      <c r="I13" s="509" t="s">
        <v>868</v>
      </c>
      <c r="J13" s="509" t="s">
        <v>869</v>
      </c>
      <c r="K13" s="509" t="s">
        <v>870</v>
      </c>
      <c r="L13" s="509" t="s">
        <v>870</v>
      </c>
      <c r="M13" s="509" t="s">
        <v>870</v>
      </c>
    </row>
    <row r="14" spans="1:13" ht="15">
      <c r="A14" s="496"/>
      <c r="B14" s="496"/>
      <c r="C14" s="496"/>
      <c r="D14" s="496"/>
      <c r="E14" s="497"/>
      <c r="F14" s="497"/>
      <c r="G14" s="497"/>
      <c r="H14" s="497"/>
      <c r="I14" s="497"/>
      <c r="J14" s="497"/>
      <c r="K14" s="497"/>
      <c r="L14" s="497"/>
      <c r="M14" s="497"/>
    </row>
    <row r="15" spans="1:13" ht="15.75">
      <c r="A15" s="503" t="s">
        <v>307</v>
      </c>
      <c r="B15" s="512" t="s">
        <v>871</v>
      </c>
      <c r="C15" s="496"/>
      <c r="D15" s="496"/>
      <c r="E15" s="513" t="s">
        <v>872</v>
      </c>
      <c r="F15" s="514"/>
      <c r="G15" s="514"/>
      <c r="H15" s="514"/>
      <c r="I15" s="514"/>
      <c r="J15" s="514"/>
      <c r="K15" s="514"/>
      <c r="L15" s="514"/>
      <c r="M15" s="514"/>
    </row>
    <row r="16" spans="1:13" ht="5.25" customHeight="1">
      <c r="A16" s="496"/>
      <c r="B16" s="503"/>
      <c r="C16" s="496"/>
      <c r="D16" s="496"/>
      <c r="E16" s="514"/>
      <c r="F16" s="514"/>
      <c r="G16" s="514"/>
      <c r="H16" s="514"/>
      <c r="I16" s="514"/>
      <c r="J16" s="514"/>
      <c r="K16" s="514"/>
      <c r="L16" s="514"/>
      <c r="M16" s="514"/>
    </row>
    <row r="17" spans="1:13" ht="15">
      <c r="A17" s="496"/>
      <c r="B17" s="515" t="s">
        <v>873</v>
      </c>
      <c r="C17" s="496"/>
      <c r="D17" s="496"/>
    </row>
    <row r="18" spans="1:13" ht="15">
      <c r="A18" s="496"/>
      <c r="B18" s="496" t="s">
        <v>874</v>
      </c>
      <c r="C18" s="496"/>
      <c r="D18" s="496"/>
      <c r="E18" s="517" t="e">
        <f>#REF!+#REF!</f>
        <v>#REF!</v>
      </c>
      <c r="F18" s="517" t="e">
        <f>#REF!+#REF!</f>
        <v>#REF!</v>
      </c>
      <c r="G18" s="517" t="e">
        <f>#REF!+#REF!</f>
        <v>#REF!</v>
      </c>
      <c r="H18" s="517" t="e">
        <f>#REF!+#REF!</f>
        <v>#REF!</v>
      </c>
      <c r="I18" s="517" t="e">
        <f>#REF!+#REF!</f>
        <v>#REF!</v>
      </c>
      <c r="J18" s="517" t="e">
        <f>#REF!+#REF!</f>
        <v>#REF!</v>
      </c>
      <c r="K18" s="517" t="e">
        <f>#REF!+#REF!</f>
        <v>#REF!</v>
      </c>
      <c r="L18" s="517" t="e">
        <f>#REF!+#REF!</f>
        <v>#REF!</v>
      </c>
      <c r="M18" s="517" t="e">
        <f>#REF!+#REF!</f>
        <v>#REF!</v>
      </c>
    </row>
    <row r="19" spans="1:13" ht="15">
      <c r="A19" s="496"/>
      <c r="B19" s="503" t="s">
        <v>875</v>
      </c>
      <c r="C19" s="496"/>
      <c r="D19" s="496"/>
      <c r="E19" s="517"/>
      <c r="F19" s="517"/>
      <c r="G19" s="517"/>
      <c r="H19" s="517"/>
      <c r="I19" s="517"/>
      <c r="J19" s="517"/>
      <c r="K19" s="517"/>
      <c r="L19" s="517"/>
      <c r="M19" s="517"/>
    </row>
    <row r="20" spans="1:13" ht="15" hidden="1">
      <c r="A20" s="496"/>
      <c r="B20" s="503"/>
      <c r="C20" s="496"/>
      <c r="D20" s="496"/>
      <c r="E20" s="517"/>
      <c r="F20" s="517"/>
      <c r="G20" s="517"/>
      <c r="H20" s="517"/>
      <c r="I20" s="517"/>
      <c r="J20" s="517"/>
      <c r="K20" s="517"/>
      <c r="L20" s="517"/>
      <c r="M20" s="517"/>
    </row>
    <row r="21" spans="1:13" ht="15" hidden="1">
      <c r="A21" s="496"/>
      <c r="B21" s="515"/>
      <c r="C21" s="496"/>
      <c r="D21" s="496"/>
      <c r="E21" s="517"/>
      <c r="F21" s="517"/>
      <c r="G21" s="517"/>
      <c r="H21" s="517"/>
      <c r="I21" s="517"/>
      <c r="J21" s="517"/>
      <c r="K21" s="517"/>
      <c r="L21" s="517"/>
      <c r="M21" s="517"/>
    </row>
    <row r="22" spans="1:13" ht="15">
      <c r="A22" s="496"/>
      <c r="B22" s="496"/>
      <c r="C22" s="496"/>
      <c r="D22" s="496"/>
      <c r="E22" s="517"/>
      <c r="F22" s="517"/>
      <c r="G22" s="517"/>
      <c r="H22" s="517"/>
      <c r="I22" s="517"/>
      <c r="J22" s="517"/>
      <c r="K22" s="517"/>
      <c r="L22" s="517"/>
      <c r="M22" s="517"/>
    </row>
    <row r="23" spans="1:13" ht="15">
      <c r="A23" s="496"/>
      <c r="B23" s="503" t="s">
        <v>876</v>
      </c>
      <c r="C23" s="496"/>
      <c r="D23" s="496"/>
      <c r="E23" s="517" t="e">
        <f t="shared" ref="E23:J23" si="0">+E18+E21</f>
        <v>#REF!</v>
      </c>
      <c r="F23" s="517" t="e">
        <f t="shared" si="0"/>
        <v>#REF!</v>
      </c>
      <c r="G23" s="517" t="e">
        <f t="shared" si="0"/>
        <v>#REF!</v>
      </c>
      <c r="H23" s="517" t="e">
        <f t="shared" si="0"/>
        <v>#REF!</v>
      </c>
      <c r="I23" s="517" t="e">
        <f t="shared" si="0"/>
        <v>#REF!</v>
      </c>
      <c r="J23" s="517" t="e">
        <f t="shared" si="0"/>
        <v>#REF!</v>
      </c>
      <c r="K23" s="517" t="e">
        <f>+K18+K21</f>
        <v>#REF!</v>
      </c>
      <c r="L23" s="517" t="e">
        <f>+L18+L21</f>
        <v>#REF!</v>
      </c>
      <c r="M23" s="517" t="e">
        <f>+M18+M21</f>
        <v>#REF!</v>
      </c>
    </row>
    <row r="24" spans="1:13" ht="15">
      <c r="A24" s="496"/>
      <c r="B24" s="496"/>
      <c r="C24" s="496"/>
      <c r="D24" s="496"/>
      <c r="E24" s="517"/>
      <c r="F24" s="517"/>
      <c r="G24" s="517"/>
      <c r="H24" s="517"/>
      <c r="I24" s="517"/>
      <c r="J24" s="517"/>
      <c r="K24" s="517"/>
      <c r="L24" s="517"/>
      <c r="M24" s="517"/>
    </row>
    <row r="25" spans="1:13" ht="15">
      <c r="A25" s="503" t="s">
        <v>877</v>
      </c>
      <c r="B25" s="503" t="s">
        <v>878</v>
      </c>
      <c r="C25" s="496"/>
      <c r="D25" s="496"/>
      <c r="E25" s="517">
        <v>0</v>
      </c>
      <c r="F25" s="517">
        <v>0</v>
      </c>
      <c r="G25" s="517">
        <v>0</v>
      </c>
      <c r="H25" s="517">
        <v>0</v>
      </c>
      <c r="I25" s="517">
        <v>0</v>
      </c>
      <c r="J25" s="517">
        <v>0</v>
      </c>
      <c r="K25" s="517">
        <v>0</v>
      </c>
      <c r="L25" s="517">
        <v>0</v>
      </c>
      <c r="M25" s="517">
        <v>0</v>
      </c>
    </row>
    <row r="26" spans="1:13" ht="15">
      <c r="A26" s="503"/>
      <c r="B26" s="503"/>
      <c r="C26" s="496"/>
      <c r="D26" s="496"/>
      <c r="E26" s="517"/>
      <c r="F26" s="517"/>
      <c r="G26" s="517"/>
      <c r="H26" s="517"/>
      <c r="I26" s="517"/>
      <c r="J26" s="517"/>
      <c r="K26" s="517"/>
      <c r="L26" s="517"/>
      <c r="M26" s="517"/>
    </row>
    <row r="27" spans="1:13" ht="15">
      <c r="A27" s="496"/>
      <c r="B27" s="503" t="s">
        <v>879</v>
      </c>
      <c r="C27" s="496"/>
      <c r="D27" s="496"/>
      <c r="E27" s="517" t="s">
        <v>443</v>
      </c>
      <c r="F27" s="517" t="s">
        <v>443</v>
      </c>
      <c r="G27" s="517" t="s">
        <v>443</v>
      </c>
      <c r="H27" s="517" t="s">
        <v>443</v>
      </c>
      <c r="I27" s="517" t="s">
        <v>443</v>
      </c>
      <c r="J27" s="517" t="s">
        <v>443</v>
      </c>
      <c r="K27" s="517" t="s">
        <v>443</v>
      </c>
      <c r="L27" s="517" t="s">
        <v>443</v>
      </c>
      <c r="M27" s="517" t="s">
        <v>443</v>
      </c>
    </row>
    <row r="28" spans="1:13" ht="15">
      <c r="A28" s="496"/>
      <c r="B28" s="503"/>
      <c r="C28" s="496"/>
      <c r="D28" s="496"/>
      <c r="E28" s="517"/>
      <c r="F28" s="517"/>
      <c r="G28" s="517"/>
      <c r="H28" s="517"/>
      <c r="I28" s="517"/>
      <c r="J28" s="517"/>
      <c r="K28" s="517"/>
      <c r="L28" s="517"/>
      <c r="M28" s="517"/>
    </row>
    <row r="29" spans="1:13" ht="15">
      <c r="A29" s="503" t="s">
        <v>297</v>
      </c>
      <c r="B29" s="503" t="s">
        <v>880</v>
      </c>
      <c r="C29" s="496"/>
      <c r="D29" s="496"/>
      <c r="E29" s="517" t="e">
        <f t="shared" ref="E29:J29" si="1">+E23-E25</f>
        <v>#REF!</v>
      </c>
      <c r="F29" s="517" t="e">
        <f t="shared" si="1"/>
        <v>#REF!</v>
      </c>
      <c r="G29" s="517" t="e">
        <f t="shared" si="1"/>
        <v>#REF!</v>
      </c>
      <c r="H29" s="517" t="e">
        <f t="shared" si="1"/>
        <v>#REF!</v>
      </c>
      <c r="I29" s="517" t="e">
        <f t="shared" si="1"/>
        <v>#REF!</v>
      </c>
      <c r="J29" s="517" t="e">
        <f t="shared" si="1"/>
        <v>#REF!</v>
      </c>
      <c r="K29" s="517" t="e">
        <f>+K23-K25</f>
        <v>#REF!</v>
      </c>
      <c r="L29" s="517" t="e">
        <f>+L23-L25</f>
        <v>#REF!</v>
      </c>
      <c r="M29" s="517" t="e">
        <f>+M23-M25</f>
        <v>#REF!</v>
      </c>
    </row>
    <row r="30" spans="1:13" ht="15">
      <c r="A30" s="496"/>
      <c r="B30" s="496"/>
      <c r="C30" s="496"/>
      <c r="D30" s="496"/>
      <c r="E30" s="517"/>
      <c r="F30" s="517"/>
      <c r="G30" s="517"/>
      <c r="H30" s="517"/>
      <c r="I30" s="517"/>
      <c r="J30" s="517"/>
      <c r="K30" s="517"/>
      <c r="L30" s="517"/>
      <c r="M30" s="517"/>
    </row>
    <row r="31" spans="1:13" ht="15">
      <c r="A31" s="503" t="s">
        <v>299</v>
      </c>
      <c r="B31" s="503" t="s">
        <v>881</v>
      </c>
      <c r="C31" s="496"/>
      <c r="D31" s="496"/>
      <c r="E31" s="517" t="s">
        <v>443</v>
      </c>
      <c r="F31" s="517" t="e">
        <f t="shared" ref="F31:K31" si="2">ROUND((F29-E29)/E29*100,2)</f>
        <v>#REF!</v>
      </c>
      <c r="G31" s="517" t="e">
        <f t="shared" si="2"/>
        <v>#REF!</v>
      </c>
      <c r="H31" s="517" t="e">
        <f t="shared" si="2"/>
        <v>#REF!</v>
      </c>
      <c r="I31" s="517" t="e">
        <f t="shared" si="2"/>
        <v>#REF!</v>
      </c>
      <c r="J31" s="517" t="e">
        <f t="shared" si="2"/>
        <v>#REF!</v>
      </c>
      <c r="K31" s="517" t="e">
        <f t="shared" si="2"/>
        <v>#REF!</v>
      </c>
      <c r="L31" s="517" t="e">
        <f>ROUND((L29-K29)/K29*100,2)</f>
        <v>#REF!</v>
      </c>
      <c r="M31" s="517" t="e">
        <f>ROUND((M29-L29)/L29*100,2)</f>
        <v>#REF!</v>
      </c>
    </row>
    <row r="32" spans="1:13" ht="15">
      <c r="A32" s="496"/>
      <c r="B32" s="503" t="s">
        <v>882</v>
      </c>
      <c r="C32" s="496"/>
      <c r="D32" s="496"/>
      <c r="E32" s="517"/>
      <c r="F32" s="517"/>
      <c r="G32" s="517"/>
      <c r="H32" s="517"/>
      <c r="I32" s="517"/>
      <c r="J32" s="517"/>
      <c r="K32" s="517"/>
      <c r="L32" s="517"/>
      <c r="M32" s="517"/>
    </row>
    <row r="33" spans="1:13" ht="15">
      <c r="A33" s="496"/>
      <c r="B33" s="503" t="s">
        <v>883</v>
      </c>
      <c r="C33" s="496"/>
      <c r="D33" s="496"/>
      <c r="E33" s="517"/>
      <c r="F33" s="517"/>
      <c r="G33" s="517"/>
      <c r="H33" s="517"/>
      <c r="I33" s="517"/>
      <c r="J33" s="517"/>
      <c r="K33" s="517"/>
      <c r="L33" s="517"/>
      <c r="M33" s="517"/>
    </row>
    <row r="34" spans="1:13" ht="15">
      <c r="A34" s="496"/>
      <c r="B34" s="496"/>
      <c r="C34" s="496"/>
      <c r="D34" s="496"/>
      <c r="E34" s="517"/>
      <c r="F34" s="517"/>
      <c r="G34" s="517"/>
      <c r="H34" s="517"/>
      <c r="I34" s="517"/>
      <c r="J34" s="517"/>
      <c r="K34" s="517"/>
      <c r="L34" s="517"/>
      <c r="M34" s="517"/>
    </row>
    <row r="35" spans="1:13" ht="15.75">
      <c r="A35" s="503" t="s">
        <v>884</v>
      </c>
      <c r="B35" s="512" t="s">
        <v>885</v>
      </c>
      <c r="C35" s="496"/>
      <c r="D35" s="496"/>
      <c r="E35" s="517"/>
      <c r="F35" s="517"/>
      <c r="G35" s="517"/>
      <c r="H35" s="517"/>
      <c r="I35" s="517"/>
      <c r="J35" s="517"/>
      <c r="K35" s="517"/>
      <c r="L35" s="517"/>
      <c r="M35" s="517"/>
    </row>
    <row r="36" spans="1:13" ht="15">
      <c r="A36" s="496"/>
      <c r="B36" s="503"/>
      <c r="C36" s="496"/>
      <c r="D36" s="496"/>
      <c r="E36" s="517"/>
      <c r="F36" s="517"/>
      <c r="G36" s="517"/>
      <c r="H36" s="517"/>
      <c r="I36" s="517"/>
      <c r="J36" s="517"/>
      <c r="K36" s="517"/>
      <c r="L36" s="517"/>
      <c r="M36" s="517"/>
    </row>
    <row r="37" spans="1:13" ht="15">
      <c r="A37" s="496"/>
      <c r="B37" s="503" t="s">
        <v>886</v>
      </c>
      <c r="C37" s="496"/>
      <c r="D37" s="496"/>
      <c r="E37" s="517"/>
      <c r="F37" s="517" t="s">
        <v>872</v>
      </c>
      <c r="G37" s="517"/>
      <c r="H37" s="517"/>
      <c r="I37" s="517"/>
      <c r="J37" s="517"/>
      <c r="K37" s="517"/>
      <c r="L37" s="517"/>
      <c r="M37" s="517"/>
    </row>
    <row r="38" spans="1:13" ht="15">
      <c r="A38" s="496"/>
      <c r="B38" s="503" t="s">
        <v>887</v>
      </c>
      <c r="C38" s="496"/>
      <c r="D38" s="496"/>
      <c r="E38" s="517"/>
      <c r="F38" s="517"/>
      <c r="G38" s="517"/>
      <c r="H38" s="517"/>
      <c r="I38" s="517"/>
      <c r="J38" s="517"/>
      <c r="K38" s="517"/>
      <c r="L38" s="517"/>
      <c r="M38" s="517"/>
    </row>
    <row r="39" spans="1:13" ht="15">
      <c r="A39" s="496"/>
      <c r="B39" s="503" t="s">
        <v>888</v>
      </c>
      <c r="C39" s="496"/>
      <c r="D39" s="496"/>
      <c r="E39" s="517"/>
      <c r="F39" s="517"/>
      <c r="G39" s="517"/>
      <c r="H39" s="517"/>
      <c r="I39" s="517"/>
      <c r="J39" s="517"/>
      <c r="K39" s="517"/>
      <c r="L39" s="517"/>
      <c r="M39" s="517"/>
    </row>
    <row r="40" spans="1:13" ht="15">
      <c r="A40" s="496"/>
      <c r="B40" s="503" t="s">
        <v>889</v>
      </c>
      <c r="C40" s="496"/>
      <c r="D40" s="496"/>
      <c r="E40" s="517" t="s">
        <v>443</v>
      </c>
      <c r="F40" s="517" t="s">
        <v>443</v>
      </c>
      <c r="G40" s="517" t="s">
        <v>443</v>
      </c>
      <c r="H40" s="517" t="s">
        <v>443</v>
      </c>
      <c r="I40" s="517" t="s">
        <v>443</v>
      </c>
      <c r="J40" s="517" t="s">
        <v>443</v>
      </c>
      <c r="K40" s="517" t="s">
        <v>443</v>
      </c>
      <c r="L40" s="517" t="s">
        <v>443</v>
      </c>
      <c r="M40" s="517" t="s">
        <v>443</v>
      </c>
    </row>
    <row r="41" spans="1:13" ht="15">
      <c r="A41" s="496"/>
      <c r="B41" s="496"/>
      <c r="C41" s="496"/>
      <c r="D41" s="496"/>
      <c r="E41" s="517"/>
      <c r="F41" s="517"/>
      <c r="G41" s="517"/>
      <c r="H41" s="517"/>
      <c r="I41" s="517"/>
      <c r="J41" s="517"/>
      <c r="K41" s="517"/>
      <c r="L41" s="517"/>
      <c r="M41" s="517"/>
    </row>
    <row r="42" spans="1:13" ht="15">
      <c r="A42" s="496"/>
      <c r="B42" s="503" t="s">
        <v>890</v>
      </c>
      <c r="C42" s="496"/>
      <c r="D42" s="496"/>
      <c r="E42" s="517" t="e">
        <f>#REF!</f>
        <v>#REF!</v>
      </c>
      <c r="F42" s="517" t="e">
        <f>#REF!</f>
        <v>#REF!</v>
      </c>
      <c r="G42" s="517" t="e">
        <f>#REF!</f>
        <v>#REF!</v>
      </c>
      <c r="H42" s="517" t="e">
        <f>#REF!</f>
        <v>#REF!</v>
      </c>
      <c r="I42" s="517" t="e">
        <f>#REF!</f>
        <v>#REF!</v>
      </c>
      <c r="J42" s="517" t="e">
        <f>#REF!</f>
        <v>#REF!</v>
      </c>
      <c r="K42" s="517" t="e">
        <f>#REF!</f>
        <v>#REF!</v>
      </c>
      <c r="L42" s="517" t="e">
        <f>#REF!</f>
        <v>#REF!</v>
      </c>
      <c r="M42" s="517" t="e">
        <f>#REF!</f>
        <v>#REF!</v>
      </c>
    </row>
    <row r="43" spans="1:13" ht="15">
      <c r="A43" s="496"/>
      <c r="B43" s="503" t="s">
        <v>872</v>
      </c>
      <c r="C43" s="496"/>
      <c r="D43" s="496"/>
      <c r="E43" s="517" t="s">
        <v>872</v>
      </c>
      <c r="F43" s="517" t="s">
        <v>872</v>
      </c>
      <c r="G43" s="517" t="s">
        <v>872</v>
      </c>
      <c r="H43" s="517" t="s">
        <v>872</v>
      </c>
      <c r="I43" s="517" t="s">
        <v>872</v>
      </c>
      <c r="J43" s="517" t="s">
        <v>872</v>
      </c>
      <c r="K43" s="517" t="s">
        <v>872</v>
      </c>
      <c r="L43" s="517" t="s">
        <v>872</v>
      </c>
      <c r="M43" s="517" t="s">
        <v>872</v>
      </c>
    </row>
    <row r="44" spans="1:13" ht="15">
      <c r="A44" s="503"/>
      <c r="B44" s="503" t="s">
        <v>891</v>
      </c>
      <c r="C44" s="496"/>
      <c r="D44" s="496"/>
      <c r="E44" s="517"/>
      <c r="F44" s="517"/>
      <c r="G44" s="517"/>
      <c r="H44" s="517"/>
      <c r="I44" s="517"/>
      <c r="J44" s="517"/>
      <c r="K44" s="517"/>
      <c r="L44" s="517"/>
      <c r="M44" s="517"/>
    </row>
    <row r="45" spans="1:13" ht="15">
      <c r="A45" s="496"/>
      <c r="B45" s="503" t="s">
        <v>889</v>
      </c>
      <c r="C45" s="496"/>
      <c r="D45" s="496"/>
      <c r="E45" s="517" t="s">
        <v>443</v>
      </c>
      <c r="F45" s="517" t="s">
        <v>443</v>
      </c>
      <c r="G45" s="517" t="s">
        <v>443</v>
      </c>
      <c r="H45" s="517" t="s">
        <v>443</v>
      </c>
      <c r="I45" s="517" t="s">
        <v>443</v>
      </c>
      <c r="J45" s="517" t="s">
        <v>443</v>
      </c>
      <c r="K45" s="517" t="s">
        <v>443</v>
      </c>
      <c r="L45" s="517" t="s">
        <v>443</v>
      </c>
      <c r="M45" s="517" t="s">
        <v>443</v>
      </c>
    </row>
    <row r="46" spans="1:13" ht="15">
      <c r="A46" s="496"/>
      <c r="B46" s="503" t="s">
        <v>890</v>
      </c>
      <c r="C46" s="496"/>
      <c r="D46" s="496"/>
      <c r="E46" s="517"/>
      <c r="F46" s="517"/>
      <c r="G46" s="517"/>
      <c r="H46" s="517"/>
      <c r="I46" s="517"/>
      <c r="J46" s="517"/>
      <c r="K46" s="517"/>
      <c r="L46" s="517"/>
      <c r="M46" s="517"/>
    </row>
    <row r="47" spans="1:13" ht="15">
      <c r="A47" s="496"/>
      <c r="B47" s="503"/>
      <c r="C47" s="518"/>
      <c r="D47" s="496"/>
      <c r="E47" s="517"/>
      <c r="F47" s="517"/>
      <c r="G47" s="517"/>
      <c r="H47" s="517"/>
      <c r="I47" s="517"/>
      <c r="J47" s="517"/>
      <c r="K47" s="517"/>
      <c r="L47" s="517"/>
      <c r="M47" s="517"/>
    </row>
    <row r="48" spans="1:13" ht="15">
      <c r="A48" s="503"/>
      <c r="B48" s="503" t="s">
        <v>892</v>
      </c>
      <c r="C48" s="496"/>
      <c r="D48" s="519"/>
      <c r="E48" s="517" t="e">
        <f>#REF!</f>
        <v>#REF!</v>
      </c>
      <c r="F48" s="517" t="e">
        <f>#REF!</f>
        <v>#REF!</v>
      </c>
      <c r="G48" s="517" t="e">
        <f>#REF!</f>
        <v>#REF!</v>
      </c>
      <c r="H48" s="517" t="e">
        <f>#REF!</f>
        <v>#REF!</v>
      </c>
      <c r="I48" s="517" t="e">
        <f>#REF!</f>
        <v>#REF!</v>
      </c>
      <c r="J48" s="517" t="e">
        <f>#REF!</f>
        <v>#REF!</v>
      </c>
      <c r="K48" s="517" t="e">
        <f>#REF!</f>
        <v>#REF!</v>
      </c>
      <c r="L48" s="517" t="e">
        <f>#REF!</f>
        <v>#REF!</v>
      </c>
      <c r="M48" s="517" t="e">
        <f>#REF!</f>
        <v>#REF!</v>
      </c>
    </row>
    <row r="49" spans="1:13" ht="15">
      <c r="A49" s="503"/>
      <c r="B49" s="503"/>
      <c r="C49" s="496"/>
      <c r="D49" s="519"/>
      <c r="E49" s="517"/>
      <c r="F49" s="517"/>
      <c r="G49" s="517"/>
      <c r="H49" s="517"/>
      <c r="I49" s="517"/>
      <c r="J49" s="517"/>
      <c r="K49" s="517"/>
      <c r="L49" s="517"/>
      <c r="M49" s="517"/>
    </row>
    <row r="50" spans="1:13" ht="15">
      <c r="A50" s="503"/>
      <c r="B50" s="503" t="s">
        <v>893</v>
      </c>
      <c r="C50" s="496"/>
      <c r="D50" s="496"/>
      <c r="E50" s="517" t="e">
        <f>#REF!</f>
        <v>#REF!</v>
      </c>
      <c r="F50" s="517" t="e">
        <f>#REF!</f>
        <v>#REF!</v>
      </c>
      <c r="G50" s="517" t="e">
        <f>#REF!</f>
        <v>#REF!</v>
      </c>
      <c r="H50" s="517" t="e">
        <f>#REF!</f>
        <v>#REF!</v>
      </c>
      <c r="I50" s="517" t="e">
        <f>#REF!</f>
        <v>#REF!</v>
      </c>
      <c r="J50" s="517" t="e">
        <f>#REF!</f>
        <v>#REF!</v>
      </c>
      <c r="K50" s="517" t="e">
        <f>#REF!</f>
        <v>#REF!</v>
      </c>
      <c r="L50" s="517" t="e">
        <f>#REF!</f>
        <v>#REF!</v>
      </c>
      <c r="M50" s="517" t="e">
        <f>#REF!</f>
        <v>#REF!</v>
      </c>
    </row>
    <row r="51" spans="1:13" ht="7.5" customHeight="1">
      <c r="A51" s="496"/>
      <c r="B51" s="496"/>
      <c r="C51" s="496"/>
      <c r="D51" s="496"/>
      <c r="E51" s="517"/>
      <c r="F51" s="517"/>
      <c r="G51" s="517"/>
      <c r="H51" s="517"/>
      <c r="I51" s="517"/>
      <c r="J51" s="517"/>
      <c r="K51" s="517"/>
      <c r="L51" s="517"/>
      <c r="M51" s="517"/>
    </row>
    <row r="52" spans="1:13" ht="15">
      <c r="A52" s="496"/>
      <c r="B52" s="1135" t="s">
        <v>894</v>
      </c>
      <c r="C52" s="1135"/>
      <c r="D52" s="1135"/>
      <c r="E52" s="517" t="e">
        <f>#REF!+#REF!</f>
        <v>#REF!</v>
      </c>
      <c r="F52" s="517" t="e">
        <f>#REF!+#REF!</f>
        <v>#REF!</v>
      </c>
      <c r="G52" s="517" t="e">
        <f>#REF!+#REF!</f>
        <v>#REF!</v>
      </c>
      <c r="H52" s="517" t="e">
        <f>#REF!+#REF!</f>
        <v>#REF!</v>
      </c>
      <c r="I52" s="517" t="e">
        <f>#REF!+#REF!</f>
        <v>#REF!</v>
      </c>
      <c r="J52" s="517" t="e">
        <f>#REF!+#REF!</f>
        <v>#REF!</v>
      </c>
      <c r="K52" s="517" t="e">
        <f>#REF!+#REF!</f>
        <v>#REF!</v>
      </c>
      <c r="L52" s="517" t="e">
        <f>#REF!+#REF!</f>
        <v>#REF!</v>
      </c>
      <c r="M52" s="517" t="e">
        <f>#REF!+#REF!</f>
        <v>#REF!</v>
      </c>
    </row>
    <row r="53" spans="1:13" ht="6.75" customHeight="1">
      <c r="A53" s="496"/>
      <c r="B53" s="503"/>
      <c r="C53" s="496"/>
      <c r="D53" s="496"/>
      <c r="E53" s="517"/>
      <c r="F53" s="517"/>
      <c r="G53" s="517"/>
      <c r="H53" s="517"/>
      <c r="I53" s="517"/>
      <c r="J53" s="517"/>
      <c r="K53" s="517"/>
      <c r="L53" s="517"/>
      <c r="M53" s="517"/>
    </row>
    <row r="54" spans="1:13" ht="15">
      <c r="A54" s="496"/>
      <c r="B54" s="503" t="s">
        <v>895</v>
      </c>
      <c r="C54" s="496"/>
      <c r="D54" s="496"/>
      <c r="E54" s="517" t="e">
        <f>#REF!</f>
        <v>#REF!</v>
      </c>
      <c r="F54" s="517" t="e">
        <f>#REF!</f>
        <v>#REF!</v>
      </c>
      <c r="G54" s="517" t="e">
        <f>#REF!</f>
        <v>#REF!</v>
      </c>
      <c r="H54" s="517" t="e">
        <f>#REF!</f>
        <v>#REF!</v>
      </c>
      <c r="I54" s="517" t="e">
        <f>#REF!</f>
        <v>#REF!</v>
      </c>
      <c r="J54" s="517" t="e">
        <f>#REF!</f>
        <v>#REF!</v>
      </c>
      <c r="K54" s="517" t="e">
        <f>#REF!</f>
        <v>#REF!</v>
      </c>
      <c r="L54" s="517" t="e">
        <f>#REF!</f>
        <v>#REF!</v>
      </c>
      <c r="M54" s="517" t="e">
        <f>#REF!</f>
        <v>#REF!</v>
      </c>
    </row>
    <row r="55" spans="1:13" ht="6.75" customHeight="1">
      <c r="A55" s="496"/>
      <c r="B55" s="496"/>
      <c r="C55" s="496"/>
      <c r="D55" s="496"/>
      <c r="E55" s="517"/>
      <c r="F55" s="517"/>
      <c r="G55" s="517"/>
      <c r="H55" s="517"/>
      <c r="I55" s="517"/>
      <c r="J55" s="517"/>
      <c r="K55" s="517"/>
      <c r="L55" s="517"/>
      <c r="M55" s="517"/>
    </row>
    <row r="56" spans="1:13" ht="15">
      <c r="A56" s="496"/>
      <c r="B56" s="503" t="s">
        <v>896</v>
      </c>
      <c r="C56" s="496"/>
      <c r="D56" s="496"/>
      <c r="E56" s="517" t="e">
        <f>SUM(E36:E55)</f>
        <v>#REF!</v>
      </c>
      <c r="F56" s="517" t="e">
        <f>SUM(F36:F55)</f>
        <v>#REF!</v>
      </c>
      <c r="G56" s="517" t="e">
        <f>SUM(G36:G55)</f>
        <v>#REF!</v>
      </c>
      <c r="H56" s="517" t="e">
        <f>SUM(H36:H55)</f>
        <v>#REF!</v>
      </c>
      <c r="I56" s="517" t="e">
        <f>SUM(I36:I55)+0.01</f>
        <v>#REF!</v>
      </c>
      <c r="J56" s="517" t="e">
        <f>SUM(J36:J55)+0.01</f>
        <v>#REF!</v>
      </c>
      <c r="K56" s="517" t="e">
        <f>SUM(K36:K55)+0.01</f>
        <v>#REF!</v>
      </c>
      <c r="L56" s="517" t="e">
        <f>SUM(L36:L55)+0.01</f>
        <v>#REF!</v>
      </c>
      <c r="M56" s="517" t="e">
        <f>SUM(M36:M55)+0.01</f>
        <v>#REF!</v>
      </c>
    </row>
    <row r="57" spans="1:13" ht="6" customHeight="1">
      <c r="A57" s="496"/>
      <c r="B57" s="503"/>
      <c r="C57" s="496"/>
      <c r="D57" s="496"/>
      <c r="E57" s="517"/>
      <c r="F57" s="517"/>
      <c r="G57" s="517"/>
      <c r="H57" s="517"/>
      <c r="I57" s="517"/>
      <c r="J57" s="517"/>
      <c r="K57" s="517"/>
      <c r="L57" s="517"/>
      <c r="M57" s="517"/>
    </row>
    <row r="58" spans="1:13" ht="15">
      <c r="A58" s="496"/>
      <c r="B58" s="503" t="s">
        <v>897</v>
      </c>
      <c r="C58" s="496"/>
      <c r="D58" s="496"/>
      <c r="E58" s="517"/>
      <c r="F58" s="517"/>
      <c r="G58" s="517"/>
      <c r="H58" s="517"/>
      <c r="I58" s="517"/>
      <c r="J58" s="517"/>
      <c r="K58" s="517"/>
      <c r="L58" s="517"/>
      <c r="M58" s="517"/>
    </row>
    <row r="59" spans="1:13" ht="15">
      <c r="A59" s="496"/>
      <c r="B59" s="503" t="s">
        <v>898</v>
      </c>
      <c r="C59" s="496"/>
      <c r="D59" s="496"/>
      <c r="E59" s="517">
        <v>0</v>
      </c>
      <c r="F59" s="517">
        <f t="shared" ref="F59:K59" si="3">+E63</f>
        <v>0</v>
      </c>
      <c r="G59" s="517">
        <f t="shared" si="3"/>
        <v>0</v>
      </c>
      <c r="H59" s="517">
        <f t="shared" si="3"/>
        <v>0</v>
      </c>
      <c r="I59" s="517">
        <f t="shared" si="3"/>
        <v>0</v>
      </c>
      <c r="J59" s="517">
        <f t="shared" si="3"/>
        <v>0</v>
      </c>
      <c r="K59" s="517">
        <f t="shared" si="3"/>
        <v>0</v>
      </c>
      <c r="L59" s="517">
        <f>+K63</f>
        <v>0</v>
      </c>
      <c r="M59" s="517">
        <f>+L63</f>
        <v>0</v>
      </c>
    </row>
    <row r="60" spans="1:13" ht="6.75" customHeight="1">
      <c r="A60" s="496"/>
      <c r="B60" s="503"/>
      <c r="C60" s="496"/>
      <c r="D60" s="496"/>
      <c r="E60" s="517"/>
      <c r="F60" s="517"/>
      <c r="G60" s="517"/>
      <c r="H60" s="517"/>
      <c r="I60" s="517"/>
      <c r="J60" s="517"/>
      <c r="K60" s="517"/>
      <c r="L60" s="517"/>
      <c r="M60" s="517"/>
    </row>
    <row r="61" spans="1:13" ht="15">
      <c r="A61" s="496"/>
      <c r="B61" s="503" t="s">
        <v>899</v>
      </c>
      <c r="C61" s="496"/>
      <c r="D61" s="496"/>
      <c r="E61" s="517" t="e">
        <f t="shared" ref="E61:J61" si="4">E56+E59</f>
        <v>#REF!</v>
      </c>
      <c r="F61" s="517" t="e">
        <f t="shared" si="4"/>
        <v>#REF!</v>
      </c>
      <c r="G61" s="517" t="e">
        <f t="shared" si="4"/>
        <v>#REF!</v>
      </c>
      <c r="H61" s="517" t="e">
        <f t="shared" si="4"/>
        <v>#REF!</v>
      </c>
      <c r="I61" s="517" t="e">
        <f t="shared" si="4"/>
        <v>#REF!</v>
      </c>
      <c r="J61" s="517" t="e">
        <f t="shared" si="4"/>
        <v>#REF!</v>
      </c>
      <c r="K61" s="517" t="e">
        <f>K56+K59</f>
        <v>#REF!</v>
      </c>
      <c r="L61" s="517" t="e">
        <f>L56+L59</f>
        <v>#REF!</v>
      </c>
      <c r="M61" s="517" t="e">
        <f>M56+M59</f>
        <v>#REF!</v>
      </c>
    </row>
    <row r="62" spans="1:13" ht="6" customHeight="1">
      <c r="A62" s="503"/>
      <c r="B62" s="496"/>
      <c r="C62" s="496"/>
      <c r="D62" s="496"/>
      <c r="E62" s="517"/>
      <c r="F62" s="517"/>
      <c r="G62" s="517"/>
      <c r="H62" s="517"/>
      <c r="I62" s="517"/>
      <c r="J62" s="517"/>
      <c r="K62" s="517"/>
      <c r="L62" s="517"/>
      <c r="M62" s="517"/>
    </row>
    <row r="63" spans="1:13" ht="15">
      <c r="A63" s="496"/>
      <c r="B63" s="503" t="s">
        <v>900</v>
      </c>
      <c r="C63" s="496"/>
      <c r="D63" s="496"/>
      <c r="E63" s="517">
        <v>0</v>
      </c>
      <c r="F63" s="517">
        <v>0</v>
      </c>
      <c r="G63" s="517">
        <v>0</v>
      </c>
      <c r="H63" s="517">
        <v>0</v>
      </c>
      <c r="I63" s="517">
        <v>0</v>
      </c>
      <c r="J63" s="517">
        <v>0</v>
      </c>
      <c r="K63" s="517">
        <v>0</v>
      </c>
      <c r="L63" s="517">
        <v>0</v>
      </c>
      <c r="M63" s="517">
        <v>0</v>
      </c>
    </row>
    <row r="64" spans="1:13" ht="15">
      <c r="A64" s="496"/>
      <c r="B64" s="503" t="s">
        <v>901</v>
      </c>
      <c r="C64" s="496"/>
      <c r="D64" s="496"/>
      <c r="E64" s="517"/>
      <c r="F64" s="517"/>
      <c r="G64" s="517"/>
      <c r="H64" s="517"/>
      <c r="I64" s="517"/>
      <c r="J64" s="517"/>
      <c r="K64" s="517"/>
      <c r="L64" s="517"/>
      <c r="M64" s="517"/>
    </row>
    <row r="65" spans="1:13" ht="7.5" customHeight="1">
      <c r="A65" s="496"/>
      <c r="B65" s="496"/>
      <c r="C65" s="496"/>
      <c r="D65" s="496"/>
      <c r="E65" s="517"/>
      <c r="F65" s="517"/>
      <c r="G65" s="517"/>
      <c r="H65" s="517"/>
      <c r="I65" s="517"/>
      <c r="J65" s="517"/>
      <c r="K65" s="517"/>
      <c r="L65" s="517"/>
      <c r="M65" s="517"/>
    </row>
    <row r="66" spans="1:13" ht="15">
      <c r="A66" s="496"/>
      <c r="B66" s="503" t="s">
        <v>902</v>
      </c>
      <c r="C66" s="496"/>
      <c r="D66" s="496"/>
      <c r="E66" s="517" t="e">
        <f t="shared" ref="E66:J66" si="5">E61-E63</f>
        <v>#REF!</v>
      </c>
      <c r="F66" s="517" t="e">
        <f t="shared" si="5"/>
        <v>#REF!</v>
      </c>
      <c r="G66" s="517" t="e">
        <f t="shared" si="5"/>
        <v>#REF!</v>
      </c>
      <c r="H66" s="517" t="e">
        <f t="shared" si="5"/>
        <v>#REF!</v>
      </c>
      <c r="I66" s="517" t="e">
        <f t="shared" si="5"/>
        <v>#REF!</v>
      </c>
      <c r="J66" s="517" t="e">
        <f t="shared" si="5"/>
        <v>#REF!</v>
      </c>
      <c r="K66" s="517" t="e">
        <f>K61-K63</f>
        <v>#REF!</v>
      </c>
      <c r="L66" s="517" t="e">
        <f>L61-L63</f>
        <v>#REF!</v>
      </c>
      <c r="M66" s="517" t="e">
        <f>M61-M63</f>
        <v>#REF!</v>
      </c>
    </row>
    <row r="67" spans="1:13" ht="15">
      <c r="A67" s="496"/>
      <c r="B67" s="496"/>
      <c r="C67" s="496"/>
      <c r="D67" s="496"/>
      <c r="E67" s="517"/>
      <c r="F67" s="517"/>
      <c r="G67" s="517"/>
      <c r="H67" s="517"/>
      <c r="I67" s="517"/>
      <c r="J67" s="517"/>
      <c r="K67" s="517"/>
      <c r="L67" s="517"/>
      <c r="M67" s="517"/>
    </row>
    <row r="68" spans="1:13" ht="15">
      <c r="A68" s="496"/>
      <c r="B68" s="503" t="s">
        <v>903</v>
      </c>
      <c r="C68" s="496"/>
      <c r="D68" s="496"/>
      <c r="E68" s="517"/>
      <c r="F68" s="517"/>
      <c r="G68" s="517"/>
      <c r="H68" s="517"/>
      <c r="I68" s="517"/>
      <c r="J68" s="517"/>
      <c r="K68" s="517"/>
      <c r="L68" s="517"/>
      <c r="M68" s="517"/>
    </row>
    <row r="69" spans="1:13" ht="15">
      <c r="A69" s="496"/>
      <c r="B69" s="503" t="s">
        <v>904</v>
      </c>
      <c r="C69" s="496"/>
      <c r="D69" s="496"/>
      <c r="E69" s="496">
        <v>0</v>
      </c>
      <c r="F69" s="520">
        <f t="shared" ref="F69:K69" si="6">+E74</f>
        <v>0</v>
      </c>
      <c r="G69" s="520">
        <f t="shared" si="6"/>
        <v>0</v>
      </c>
      <c r="H69" s="520">
        <f t="shared" si="6"/>
        <v>0</v>
      </c>
      <c r="I69" s="520">
        <f t="shared" si="6"/>
        <v>0</v>
      </c>
      <c r="J69" s="520">
        <f t="shared" si="6"/>
        <v>0</v>
      </c>
      <c r="K69" s="520">
        <f t="shared" si="6"/>
        <v>0</v>
      </c>
      <c r="L69" s="520">
        <f>+K74</f>
        <v>0</v>
      </c>
      <c r="M69" s="520">
        <f>+L74</f>
        <v>0</v>
      </c>
    </row>
    <row r="70" spans="1:13" ht="15">
      <c r="A70" s="496"/>
      <c r="B70" s="496"/>
      <c r="C70" s="496"/>
      <c r="D70" s="496"/>
      <c r="E70" s="517"/>
      <c r="F70" s="517"/>
      <c r="G70" s="517"/>
      <c r="H70" s="517"/>
      <c r="I70" s="517"/>
      <c r="J70" s="517"/>
      <c r="K70" s="517"/>
      <c r="L70" s="517"/>
      <c r="M70" s="517"/>
    </row>
    <row r="71" spans="1:13" ht="15">
      <c r="A71" s="496"/>
      <c r="B71" s="503" t="s">
        <v>905</v>
      </c>
      <c r="C71" s="496"/>
      <c r="D71" s="496"/>
      <c r="E71" s="517" t="e">
        <f t="shared" ref="E71:J71" si="7">+E66+E69</f>
        <v>#REF!</v>
      </c>
      <c r="F71" s="517" t="e">
        <f t="shared" si="7"/>
        <v>#REF!</v>
      </c>
      <c r="G71" s="517" t="e">
        <f t="shared" si="7"/>
        <v>#REF!</v>
      </c>
      <c r="H71" s="517" t="e">
        <f t="shared" si="7"/>
        <v>#REF!</v>
      </c>
      <c r="I71" s="517" t="e">
        <f t="shared" si="7"/>
        <v>#REF!</v>
      </c>
      <c r="J71" s="517" t="e">
        <f t="shared" si="7"/>
        <v>#REF!</v>
      </c>
      <c r="K71" s="517" t="e">
        <f>+K66+K69</f>
        <v>#REF!</v>
      </c>
      <c r="L71" s="517" t="e">
        <f>+L66+L69</f>
        <v>#REF!</v>
      </c>
      <c r="M71" s="517" t="e">
        <f>+M66+M69</f>
        <v>#REF!</v>
      </c>
    </row>
    <row r="72" spans="1:13" ht="15">
      <c r="A72" s="496"/>
      <c r="B72" s="496"/>
      <c r="C72" s="496"/>
      <c r="D72" s="496"/>
      <c r="E72" s="517"/>
      <c r="F72" s="517"/>
      <c r="G72" s="517"/>
      <c r="H72" s="517"/>
      <c r="I72" s="517"/>
      <c r="J72" s="517"/>
      <c r="K72" s="517"/>
      <c r="L72" s="517"/>
      <c r="M72" s="517"/>
    </row>
    <row r="73" spans="1:13" ht="15">
      <c r="A73" s="496"/>
      <c r="B73" s="503" t="s">
        <v>906</v>
      </c>
      <c r="C73" s="496"/>
      <c r="D73" s="496"/>
      <c r="E73" s="517"/>
      <c r="F73" s="517"/>
      <c r="G73" s="517"/>
      <c r="H73" s="517"/>
      <c r="I73" s="517"/>
      <c r="J73" s="517"/>
      <c r="K73" s="517"/>
      <c r="L73" s="517"/>
      <c r="M73" s="517"/>
    </row>
    <row r="74" spans="1:13" ht="15">
      <c r="A74" s="496"/>
      <c r="B74" s="503" t="s">
        <v>904</v>
      </c>
      <c r="C74" s="496"/>
      <c r="D74" s="496"/>
      <c r="E74" s="517">
        <v>0</v>
      </c>
      <c r="F74" s="517">
        <v>0</v>
      </c>
      <c r="G74" s="517">
        <v>0</v>
      </c>
      <c r="H74" s="517">
        <v>0</v>
      </c>
      <c r="I74" s="517">
        <v>0</v>
      </c>
      <c r="J74" s="517">
        <v>0</v>
      </c>
      <c r="K74" s="517">
        <v>0</v>
      </c>
      <c r="L74" s="517">
        <v>0</v>
      </c>
      <c r="M74" s="517">
        <v>0</v>
      </c>
    </row>
    <row r="75" spans="1:13" ht="15">
      <c r="A75" s="496"/>
      <c r="B75" s="496"/>
      <c r="C75" s="496"/>
      <c r="D75" s="496"/>
      <c r="E75" s="517"/>
      <c r="F75" s="517"/>
      <c r="G75" s="517"/>
      <c r="H75" s="517"/>
      <c r="I75" s="517"/>
      <c r="J75" s="517"/>
      <c r="K75" s="517"/>
      <c r="L75" s="517"/>
      <c r="M75" s="517"/>
    </row>
    <row r="76" spans="1:13" ht="15">
      <c r="A76" s="496"/>
      <c r="B76" s="503" t="s">
        <v>907</v>
      </c>
      <c r="C76" s="496"/>
      <c r="D76" s="496"/>
      <c r="E76" s="517" t="e">
        <f t="shared" ref="E76:J76" si="8">+E71-E74</f>
        <v>#REF!</v>
      </c>
      <c r="F76" s="517" t="e">
        <f t="shared" si="8"/>
        <v>#REF!</v>
      </c>
      <c r="G76" s="517" t="e">
        <f t="shared" si="8"/>
        <v>#REF!</v>
      </c>
      <c r="H76" s="517" t="e">
        <f t="shared" si="8"/>
        <v>#REF!</v>
      </c>
      <c r="I76" s="517" t="e">
        <f t="shared" si="8"/>
        <v>#REF!</v>
      </c>
      <c r="J76" s="517" t="e">
        <f t="shared" si="8"/>
        <v>#REF!</v>
      </c>
      <c r="K76" s="517" t="e">
        <f>+K71-K74</f>
        <v>#REF!</v>
      </c>
      <c r="L76" s="517" t="e">
        <f>+L71-L74</f>
        <v>#REF!</v>
      </c>
      <c r="M76" s="517" t="e">
        <f>+M71-M74</f>
        <v>#REF!</v>
      </c>
    </row>
    <row r="77" spans="1:13" ht="15">
      <c r="A77" s="496"/>
      <c r="B77" s="503" t="s">
        <v>908</v>
      </c>
      <c r="C77" s="496"/>
      <c r="D77" s="496"/>
      <c r="E77" s="517"/>
      <c r="F77" s="517"/>
      <c r="G77" s="517"/>
      <c r="H77" s="517"/>
      <c r="I77" s="517"/>
      <c r="J77" s="517"/>
      <c r="K77" s="517"/>
      <c r="L77" s="517"/>
      <c r="M77" s="517"/>
    </row>
    <row r="78" spans="1:13" ht="15">
      <c r="A78" s="496"/>
      <c r="B78" s="496"/>
      <c r="C78" s="496"/>
      <c r="D78" s="496"/>
      <c r="E78" s="517"/>
      <c r="F78" s="517"/>
      <c r="G78" s="517"/>
      <c r="H78" s="517"/>
      <c r="I78" s="517"/>
      <c r="J78" s="517"/>
      <c r="K78" s="517"/>
      <c r="L78" s="517"/>
      <c r="M78" s="517"/>
    </row>
    <row r="79" spans="1:13" ht="15">
      <c r="A79" s="496"/>
      <c r="B79" s="496"/>
      <c r="C79" s="496"/>
      <c r="D79" s="496"/>
      <c r="E79" s="517"/>
      <c r="F79" s="517"/>
      <c r="G79" s="517"/>
      <c r="H79" s="517"/>
      <c r="I79" s="517"/>
      <c r="J79" s="517"/>
      <c r="K79" s="517"/>
      <c r="L79" s="517"/>
      <c r="M79" s="517"/>
    </row>
    <row r="80" spans="1:13" ht="15">
      <c r="A80" s="496"/>
      <c r="B80" s="496"/>
      <c r="C80" s="496"/>
      <c r="D80" s="496"/>
      <c r="E80" s="517"/>
      <c r="F80" s="517"/>
      <c r="G80" s="517"/>
      <c r="H80" s="517"/>
      <c r="I80" s="517"/>
      <c r="J80" s="517"/>
      <c r="K80" s="517"/>
      <c r="L80" s="517"/>
      <c r="M80" s="517"/>
    </row>
    <row r="81" spans="1:13" ht="15">
      <c r="A81" s="496"/>
      <c r="B81" s="496"/>
      <c r="C81" s="496"/>
      <c r="D81" s="496"/>
      <c r="E81" s="517"/>
      <c r="F81" s="517"/>
      <c r="G81" s="517"/>
      <c r="H81" s="517"/>
      <c r="I81" s="517"/>
      <c r="J81" s="517"/>
      <c r="K81" s="517"/>
      <c r="L81" s="517"/>
      <c r="M81" s="517"/>
    </row>
    <row r="82" spans="1:13" ht="15">
      <c r="A82" s="496"/>
      <c r="B82" s="496"/>
      <c r="C82" s="496"/>
      <c r="D82" s="496"/>
      <c r="E82" s="517"/>
      <c r="F82" s="517"/>
      <c r="G82" s="517"/>
      <c r="H82" s="517"/>
      <c r="I82" s="517"/>
      <c r="J82" s="517"/>
      <c r="K82" s="517"/>
      <c r="L82" s="517"/>
      <c r="M82" s="517"/>
    </row>
    <row r="83" spans="1:13" ht="15">
      <c r="A83" s="496"/>
      <c r="B83" s="496"/>
      <c r="C83" s="496"/>
      <c r="D83" s="496"/>
      <c r="E83" s="517"/>
      <c r="F83" s="517"/>
      <c r="G83" s="517"/>
      <c r="H83" s="517"/>
      <c r="I83" s="517"/>
      <c r="J83" s="517"/>
      <c r="K83" s="517"/>
      <c r="L83" s="517"/>
      <c r="M83" s="517"/>
    </row>
    <row r="84" spans="1:13" ht="15">
      <c r="A84" s="496"/>
      <c r="B84" s="496"/>
      <c r="C84" s="496"/>
      <c r="D84" s="496"/>
      <c r="E84" s="517"/>
      <c r="F84" s="517"/>
      <c r="G84" s="517"/>
      <c r="H84" s="517"/>
      <c r="I84" s="517"/>
      <c r="J84" s="517"/>
      <c r="K84" s="517"/>
      <c r="L84" s="517"/>
      <c r="M84" s="517"/>
    </row>
    <row r="85" spans="1:13" ht="15">
      <c r="A85" s="496"/>
      <c r="B85" s="496"/>
      <c r="C85" s="496"/>
      <c r="D85" s="496"/>
      <c r="E85" s="517"/>
      <c r="F85" s="517"/>
      <c r="G85" s="517"/>
      <c r="H85" s="517"/>
      <c r="I85" s="517"/>
      <c r="J85" s="517"/>
      <c r="K85" s="517"/>
      <c r="L85" s="517"/>
      <c r="M85" s="517"/>
    </row>
    <row r="86" spans="1:13" ht="15">
      <c r="A86" s="496"/>
      <c r="B86" s="496"/>
      <c r="C86" s="496"/>
      <c r="D86" s="496"/>
      <c r="E86" s="517"/>
      <c r="F86" s="517"/>
      <c r="G86" s="517"/>
      <c r="H86" s="517"/>
      <c r="I86" s="517"/>
      <c r="J86" s="517"/>
      <c r="K86" s="517"/>
      <c r="L86" s="517"/>
      <c r="M86" s="517"/>
    </row>
    <row r="87" spans="1:13" ht="15">
      <c r="A87" s="503" t="s">
        <v>302</v>
      </c>
      <c r="B87" s="503" t="s">
        <v>909</v>
      </c>
      <c r="C87" s="496"/>
      <c r="D87" s="496"/>
      <c r="E87" s="517"/>
      <c r="F87" s="517"/>
      <c r="G87" s="517"/>
      <c r="H87" s="517"/>
      <c r="I87" s="517"/>
      <c r="J87" s="517"/>
      <c r="K87" s="517"/>
      <c r="L87" s="517"/>
      <c r="M87" s="517"/>
    </row>
    <row r="88" spans="1:13" ht="15">
      <c r="A88" s="496"/>
      <c r="B88" s="503" t="s">
        <v>910</v>
      </c>
      <c r="C88" s="496"/>
      <c r="D88" s="496"/>
      <c r="E88" s="517" t="e">
        <f>#REF!</f>
        <v>#REF!</v>
      </c>
      <c r="F88" s="517" t="e">
        <f>#REF!</f>
        <v>#REF!</v>
      </c>
      <c r="G88" s="517" t="e">
        <f>#REF!</f>
        <v>#REF!</v>
      </c>
      <c r="H88" s="517" t="e">
        <f>#REF!</f>
        <v>#REF!</v>
      </c>
      <c r="I88" s="517" t="e">
        <f>#REF!</f>
        <v>#REF!</v>
      </c>
      <c r="J88" s="517" t="e">
        <f>#REF!</f>
        <v>#REF!</v>
      </c>
      <c r="K88" s="517" t="e">
        <f>#REF!</f>
        <v>#REF!</v>
      </c>
      <c r="L88" s="517" t="e">
        <f>#REF!</f>
        <v>#REF!</v>
      </c>
      <c r="M88" s="517" t="e">
        <f>#REF!</f>
        <v>#REF!</v>
      </c>
    </row>
    <row r="89" spans="1:13" ht="15">
      <c r="A89" s="496"/>
      <c r="B89" s="496"/>
      <c r="C89" s="496"/>
      <c r="D89" s="496"/>
      <c r="E89" s="517"/>
      <c r="F89" s="517"/>
      <c r="G89" s="517"/>
      <c r="H89" s="517" t="s">
        <v>872</v>
      </c>
      <c r="I89" s="517" t="s">
        <v>872</v>
      </c>
      <c r="J89" s="517" t="s">
        <v>872</v>
      </c>
      <c r="K89" s="517" t="s">
        <v>872</v>
      </c>
      <c r="L89" s="517" t="s">
        <v>872</v>
      </c>
      <c r="M89" s="517" t="s">
        <v>872</v>
      </c>
    </row>
    <row r="90" spans="1:13" ht="15">
      <c r="A90" s="503" t="s">
        <v>304</v>
      </c>
      <c r="B90" s="503" t="s">
        <v>911</v>
      </c>
      <c r="C90" s="496"/>
      <c r="D90" s="496"/>
      <c r="E90" s="517" t="e">
        <f t="shared" ref="E90:J90" si="9">E76+E88</f>
        <v>#REF!</v>
      </c>
      <c r="F90" s="517" t="e">
        <f t="shared" si="9"/>
        <v>#REF!</v>
      </c>
      <c r="G90" s="517" t="e">
        <f t="shared" si="9"/>
        <v>#REF!</v>
      </c>
      <c r="H90" s="517" t="e">
        <f t="shared" si="9"/>
        <v>#REF!</v>
      </c>
      <c r="I90" s="517" t="e">
        <f t="shared" si="9"/>
        <v>#REF!</v>
      </c>
      <c r="J90" s="517" t="e">
        <f t="shared" si="9"/>
        <v>#REF!</v>
      </c>
      <c r="K90" s="517" t="e">
        <f>K76+K88</f>
        <v>#REF!</v>
      </c>
      <c r="L90" s="517" t="e">
        <f>L76+L88</f>
        <v>#REF!</v>
      </c>
      <c r="M90" s="517" t="e">
        <f>M76+M88</f>
        <v>#REF!</v>
      </c>
    </row>
    <row r="91" spans="1:13" ht="15">
      <c r="A91" s="496"/>
      <c r="B91" s="496"/>
      <c r="C91" s="496"/>
      <c r="D91" s="496"/>
      <c r="E91" s="517"/>
      <c r="F91" s="517"/>
      <c r="G91" s="517"/>
      <c r="H91" s="517"/>
      <c r="I91" s="517"/>
      <c r="J91" s="517"/>
      <c r="K91" s="517"/>
      <c r="L91" s="517"/>
      <c r="M91" s="517"/>
    </row>
    <row r="92" spans="1:13" ht="15">
      <c r="A92" s="503" t="s">
        <v>912</v>
      </c>
      <c r="B92" s="503" t="s">
        <v>913</v>
      </c>
      <c r="C92" s="496"/>
      <c r="D92" s="496"/>
      <c r="E92" s="517"/>
      <c r="F92" s="517"/>
      <c r="G92" s="517"/>
      <c r="H92" s="517"/>
      <c r="I92" s="517"/>
      <c r="J92" s="517"/>
      <c r="K92" s="517"/>
      <c r="L92" s="517"/>
      <c r="M92" s="517"/>
    </row>
    <row r="93" spans="1:13" ht="15">
      <c r="A93" s="496"/>
      <c r="B93" s="503" t="s">
        <v>914</v>
      </c>
      <c r="C93" s="496"/>
      <c r="D93" s="496"/>
      <c r="E93" s="517" t="e">
        <f t="shared" ref="E93:J93" si="10">+E29-E90</f>
        <v>#REF!</v>
      </c>
      <c r="F93" s="517" t="e">
        <f t="shared" si="10"/>
        <v>#REF!</v>
      </c>
      <c r="G93" s="517" t="e">
        <f t="shared" si="10"/>
        <v>#REF!</v>
      </c>
      <c r="H93" s="517" t="e">
        <f t="shared" si="10"/>
        <v>#REF!</v>
      </c>
      <c r="I93" s="517" t="e">
        <f t="shared" si="10"/>
        <v>#REF!</v>
      </c>
      <c r="J93" s="517" t="e">
        <f t="shared" si="10"/>
        <v>#REF!</v>
      </c>
      <c r="K93" s="517" t="e">
        <f>+K29-K90</f>
        <v>#REF!</v>
      </c>
      <c r="L93" s="517" t="e">
        <f>+L29-L90</f>
        <v>#REF!</v>
      </c>
      <c r="M93" s="517" t="e">
        <f>+M29-M90</f>
        <v>#REF!</v>
      </c>
    </row>
    <row r="94" spans="1:13" ht="15">
      <c r="A94" s="496"/>
      <c r="B94" s="496"/>
      <c r="C94" s="496"/>
      <c r="D94" s="496"/>
      <c r="E94" s="517"/>
      <c r="F94" s="517"/>
      <c r="G94" s="517"/>
      <c r="H94" s="517"/>
      <c r="I94" s="517"/>
      <c r="J94" s="517"/>
      <c r="K94" s="517"/>
      <c r="L94" s="517"/>
      <c r="M94" s="517"/>
    </row>
    <row r="95" spans="1:13" ht="15">
      <c r="A95" s="503" t="s">
        <v>915</v>
      </c>
      <c r="B95" s="503" t="s">
        <v>711</v>
      </c>
      <c r="C95" s="496"/>
      <c r="D95" s="519"/>
      <c r="E95" s="517" t="e">
        <f t="shared" ref="E95:J95" si="11">+E96+E97</f>
        <v>#REF!</v>
      </c>
      <c r="F95" s="517" t="e">
        <f t="shared" si="11"/>
        <v>#REF!</v>
      </c>
      <c r="G95" s="517" t="e">
        <f t="shared" si="11"/>
        <v>#REF!</v>
      </c>
      <c r="H95" s="517" t="e">
        <f t="shared" si="11"/>
        <v>#REF!</v>
      </c>
      <c r="I95" s="517" t="e">
        <f t="shared" si="11"/>
        <v>#REF!</v>
      </c>
      <c r="J95" s="517" t="e">
        <f t="shared" si="11"/>
        <v>#REF!</v>
      </c>
      <c r="K95" s="517" t="e">
        <f>+K96+K97</f>
        <v>#REF!</v>
      </c>
      <c r="L95" s="517" t="e">
        <f>+L96+L97</f>
        <v>#REF!</v>
      </c>
      <c r="M95" s="517" t="e">
        <f>+M96+M97</f>
        <v>#REF!</v>
      </c>
    </row>
    <row r="96" spans="1:13" ht="15">
      <c r="A96" s="503"/>
      <c r="B96" s="503"/>
      <c r="C96" s="496" t="s">
        <v>916</v>
      </c>
      <c r="D96" s="519"/>
      <c r="E96" s="517" t="e">
        <f>#REF!</f>
        <v>#REF!</v>
      </c>
      <c r="F96" s="517" t="e">
        <f>#REF!</f>
        <v>#REF!</v>
      </c>
      <c r="G96" s="517" t="e">
        <f>#REF!</f>
        <v>#REF!</v>
      </c>
      <c r="H96" s="517" t="e">
        <f>#REF!</f>
        <v>#REF!</v>
      </c>
      <c r="I96" s="517" t="e">
        <f>#REF!</f>
        <v>#REF!</v>
      </c>
      <c r="J96" s="517" t="e">
        <f>#REF!</f>
        <v>#REF!</v>
      </c>
      <c r="K96" s="517" t="e">
        <f>#REF!</f>
        <v>#REF!</v>
      </c>
      <c r="L96" s="517" t="e">
        <f>#REF!</f>
        <v>#REF!</v>
      </c>
      <c r="M96" s="517" t="e">
        <f>#REF!</f>
        <v>#REF!</v>
      </c>
    </row>
    <row r="97" spans="1:13" ht="15">
      <c r="A97" s="496"/>
      <c r="B97" s="496"/>
      <c r="C97" s="496" t="s">
        <v>917</v>
      </c>
      <c r="D97" s="496"/>
      <c r="E97" s="517" t="e">
        <f>#REF!</f>
        <v>#REF!</v>
      </c>
      <c r="F97" s="517" t="e">
        <f>#REF!</f>
        <v>#REF!</v>
      </c>
      <c r="G97" s="517" t="e">
        <f>#REF!</f>
        <v>#REF!</v>
      </c>
      <c r="H97" s="517" t="e">
        <f>#REF!</f>
        <v>#REF!</v>
      </c>
      <c r="I97" s="517" t="e">
        <f>#REF!</f>
        <v>#REF!</v>
      </c>
      <c r="J97" s="517" t="e">
        <f>#REF!</f>
        <v>#REF!</v>
      </c>
      <c r="K97" s="517" t="e">
        <f>#REF!</f>
        <v>#REF!</v>
      </c>
      <c r="L97" s="517" t="e">
        <f>#REF!</f>
        <v>#REF!</v>
      </c>
      <c r="M97" s="517" t="e">
        <f>#REF!</f>
        <v>#REF!</v>
      </c>
    </row>
    <row r="98" spans="1:13" ht="15">
      <c r="A98" s="503" t="s">
        <v>918</v>
      </c>
      <c r="B98" s="503" t="s">
        <v>919</v>
      </c>
      <c r="C98" s="496"/>
      <c r="D98" s="496"/>
      <c r="E98" s="517"/>
      <c r="F98" s="517"/>
      <c r="G98" s="517"/>
      <c r="H98" s="517"/>
      <c r="I98" s="517"/>
      <c r="J98" s="517"/>
      <c r="K98" s="517"/>
      <c r="L98" s="517"/>
      <c r="M98" s="517"/>
    </row>
    <row r="99" spans="1:13" ht="15">
      <c r="A99" s="496"/>
      <c r="B99" s="503" t="s">
        <v>920</v>
      </c>
      <c r="C99" s="496"/>
      <c r="D99" s="496"/>
      <c r="E99" s="517" t="e">
        <f t="shared" ref="E99:J99" si="12">E93-E95</f>
        <v>#REF!</v>
      </c>
      <c r="F99" s="517" t="e">
        <f t="shared" si="12"/>
        <v>#REF!</v>
      </c>
      <c r="G99" s="517" t="e">
        <f t="shared" si="12"/>
        <v>#REF!</v>
      </c>
      <c r="H99" s="517" t="e">
        <f t="shared" si="12"/>
        <v>#REF!</v>
      </c>
      <c r="I99" s="517" t="e">
        <f t="shared" si="12"/>
        <v>#REF!</v>
      </c>
      <c r="J99" s="517" t="e">
        <f t="shared" si="12"/>
        <v>#REF!</v>
      </c>
      <c r="K99" s="517" t="e">
        <f>K93-K95</f>
        <v>#REF!</v>
      </c>
      <c r="L99" s="517" t="e">
        <f>L93-L95</f>
        <v>#REF!</v>
      </c>
      <c r="M99" s="517" t="e">
        <f>M93-M95</f>
        <v>#REF!</v>
      </c>
    </row>
    <row r="100" spans="1:13" ht="15">
      <c r="A100" s="496"/>
      <c r="B100" s="496"/>
      <c r="C100" s="496"/>
      <c r="D100" s="496"/>
      <c r="E100" s="517"/>
      <c r="F100" s="517"/>
      <c r="G100" s="517"/>
      <c r="H100" s="517"/>
      <c r="I100" s="517"/>
      <c r="J100" s="517"/>
      <c r="K100" s="517"/>
      <c r="L100" s="517"/>
      <c r="M100" s="517"/>
    </row>
    <row r="101" spans="1:13" ht="15">
      <c r="A101" s="518" t="s">
        <v>921</v>
      </c>
      <c r="B101" s="503" t="s">
        <v>922</v>
      </c>
      <c r="C101" s="496"/>
      <c r="D101" s="496"/>
      <c r="E101" s="517">
        <v>0</v>
      </c>
      <c r="F101" s="517">
        <v>0</v>
      </c>
      <c r="G101" s="517">
        <v>0</v>
      </c>
      <c r="H101" s="517">
        <v>0</v>
      </c>
      <c r="I101" s="517">
        <v>0</v>
      </c>
      <c r="J101" s="517">
        <v>0</v>
      </c>
      <c r="K101" s="517">
        <v>0</v>
      </c>
      <c r="L101" s="517">
        <v>0</v>
      </c>
      <c r="M101" s="517">
        <v>0</v>
      </c>
    </row>
    <row r="102" spans="1:13" ht="15">
      <c r="A102" s="496"/>
      <c r="B102" s="503" t="s">
        <v>923</v>
      </c>
      <c r="C102" s="496"/>
      <c r="D102" s="496"/>
      <c r="E102" s="517"/>
      <c r="F102" s="517"/>
      <c r="G102" s="517"/>
      <c r="H102" s="517"/>
      <c r="I102" s="517"/>
      <c r="J102" s="517"/>
      <c r="K102" s="517"/>
      <c r="L102" s="517"/>
      <c r="M102" s="517"/>
    </row>
    <row r="103" spans="1:13" ht="15">
      <c r="A103" s="496"/>
      <c r="B103" s="503" t="s">
        <v>924</v>
      </c>
      <c r="C103" s="496"/>
      <c r="D103" s="496"/>
      <c r="E103" s="517" t="s">
        <v>443</v>
      </c>
      <c r="F103" s="517" t="s">
        <v>443</v>
      </c>
      <c r="G103" s="517" t="s">
        <v>443</v>
      </c>
      <c r="H103" s="517" t="s">
        <v>443</v>
      </c>
      <c r="I103" s="517" t="s">
        <v>443</v>
      </c>
      <c r="J103" s="517" t="s">
        <v>443</v>
      </c>
      <c r="K103" s="517" t="s">
        <v>443</v>
      </c>
      <c r="L103" s="517" t="s">
        <v>443</v>
      </c>
      <c r="M103" s="517" t="s">
        <v>443</v>
      </c>
    </row>
    <row r="104" spans="1:13" ht="15">
      <c r="A104" s="496"/>
      <c r="B104" s="503"/>
      <c r="C104" s="496"/>
      <c r="D104" s="496"/>
      <c r="E104" s="517"/>
      <c r="F104" s="517"/>
      <c r="G104" s="517"/>
      <c r="H104" s="517"/>
      <c r="I104" s="517"/>
      <c r="J104" s="517"/>
      <c r="K104" s="517"/>
      <c r="L104" s="517"/>
      <c r="M104" s="517"/>
    </row>
    <row r="105" spans="1:13" ht="15">
      <c r="A105" s="496"/>
      <c r="B105" s="503" t="s">
        <v>925</v>
      </c>
      <c r="C105" s="496"/>
      <c r="D105" s="496"/>
      <c r="E105" s="517">
        <f t="shared" ref="E105:J105" si="13">+E101</f>
        <v>0</v>
      </c>
      <c r="F105" s="517">
        <f t="shared" si="13"/>
        <v>0</v>
      </c>
      <c r="G105" s="517">
        <f t="shared" si="13"/>
        <v>0</v>
      </c>
      <c r="H105" s="517">
        <f t="shared" si="13"/>
        <v>0</v>
      </c>
      <c r="I105" s="517">
        <f t="shared" si="13"/>
        <v>0</v>
      </c>
      <c r="J105" s="517">
        <f t="shared" si="13"/>
        <v>0</v>
      </c>
      <c r="K105" s="517">
        <f>+K101</f>
        <v>0</v>
      </c>
      <c r="L105" s="517">
        <f>+L101</f>
        <v>0</v>
      </c>
      <c r="M105" s="517">
        <f>+M101</f>
        <v>0</v>
      </c>
    </row>
    <row r="106" spans="1:13" ht="15">
      <c r="A106" s="496"/>
      <c r="B106" s="503"/>
      <c r="C106" s="496"/>
      <c r="D106" s="496"/>
      <c r="E106" s="517"/>
      <c r="F106" s="517"/>
      <c r="G106" s="517"/>
      <c r="H106" s="517"/>
      <c r="I106" s="517"/>
      <c r="J106" s="517"/>
      <c r="K106" s="517"/>
      <c r="L106" s="517"/>
      <c r="M106" s="517"/>
    </row>
    <row r="107" spans="1:13" ht="15">
      <c r="A107" s="496"/>
      <c r="B107" s="503" t="s">
        <v>926</v>
      </c>
      <c r="C107" s="496"/>
      <c r="D107" s="496"/>
      <c r="E107" s="517"/>
      <c r="F107" s="517"/>
      <c r="G107" s="517"/>
      <c r="H107" s="517"/>
      <c r="I107" s="517"/>
      <c r="J107" s="517"/>
      <c r="K107" s="517"/>
      <c r="L107" s="517"/>
      <c r="M107" s="517"/>
    </row>
    <row r="108" spans="1:13" ht="15">
      <c r="A108" s="496"/>
      <c r="B108" s="503"/>
      <c r="C108" s="496"/>
      <c r="D108" s="496"/>
      <c r="E108" s="517"/>
      <c r="F108" s="517"/>
      <c r="G108" s="517"/>
      <c r="H108" s="517"/>
      <c r="I108" s="517"/>
      <c r="J108" s="517"/>
      <c r="K108" s="517"/>
      <c r="L108" s="517"/>
      <c r="M108" s="517"/>
    </row>
    <row r="109" spans="1:13" ht="15">
      <c r="A109" s="496"/>
      <c r="B109" s="503" t="s">
        <v>927</v>
      </c>
      <c r="C109" s="496"/>
      <c r="D109" s="496"/>
      <c r="E109" s="517">
        <v>0</v>
      </c>
      <c r="F109" s="517">
        <f t="shared" ref="F109:K109" si="14">+E109</f>
        <v>0</v>
      </c>
      <c r="G109" s="517">
        <f t="shared" si="14"/>
        <v>0</v>
      </c>
      <c r="H109" s="517">
        <f t="shared" si="14"/>
        <v>0</v>
      </c>
      <c r="I109" s="517">
        <f t="shared" si="14"/>
        <v>0</v>
      </c>
      <c r="J109" s="517">
        <f t="shared" si="14"/>
        <v>0</v>
      </c>
      <c r="K109" s="517">
        <f t="shared" si="14"/>
        <v>0</v>
      </c>
      <c r="L109" s="517">
        <f>+K109</f>
        <v>0</v>
      </c>
      <c r="M109" s="517">
        <f>+L109</f>
        <v>0</v>
      </c>
    </row>
    <row r="110" spans="1:13" ht="15">
      <c r="A110" s="496"/>
      <c r="B110" s="496"/>
      <c r="C110" s="496"/>
      <c r="D110" s="496"/>
      <c r="E110" s="517"/>
      <c r="F110" s="517"/>
      <c r="G110" s="517"/>
      <c r="H110" s="517"/>
      <c r="I110" s="517"/>
      <c r="J110" s="517"/>
      <c r="K110" s="517"/>
      <c r="L110" s="517"/>
      <c r="M110" s="517"/>
    </row>
    <row r="111" spans="1:13" ht="15">
      <c r="A111" s="496"/>
      <c r="B111" s="503" t="s">
        <v>928</v>
      </c>
      <c r="C111" s="496"/>
      <c r="D111" s="496"/>
      <c r="E111" s="517">
        <f t="shared" ref="E111:J111" si="15">E109</f>
        <v>0</v>
      </c>
      <c r="F111" s="517">
        <f t="shared" si="15"/>
        <v>0</v>
      </c>
      <c r="G111" s="517">
        <f t="shared" si="15"/>
        <v>0</v>
      </c>
      <c r="H111" s="517">
        <f t="shared" si="15"/>
        <v>0</v>
      </c>
      <c r="I111" s="517">
        <f t="shared" si="15"/>
        <v>0</v>
      </c>
      <c r="J111" s="517">
        <f t="shared" si="15"/>
        <v>0</v>
      </c>
      <c r="K111" s="517">
        <f>K109</f>
        <v>0</v>
      </c>
      <c r="L111" s="517">
        <f>L109</f>
        <v>0</v>
      </c>
      <c r="M111" s="517">
        <f>M109</f>
        <v>0</v>
      </c>
    </row>
    <row r="112" spans="1:13" ht="15">
      <c r="A112" s="496"/>
      <c r="B112" s="503"/>
      <c r="C112" s="496"/>
      <c r="D112" s="496"/>
      <c r="E112" s="517"/>
      <c r="F112" s="517"/>
      <c r="G112" s="517"/>
      <c r="H112" s="517"/>
      <c r="I112" s="517"/>
      <c r="J112" s="517"/>
      <c r="K112" s="517"/>
      <c r="L112" s="517"/>
      <c r="M112" s="517"/>
    </row>
    <row r="113" spans="1:13" ht="15">
      <c r="A113" s="496"/>
      <c r="B113" s="503" t="s">
        <v>929</v>
      </c>
      <c r="C113" s="496"/>
      <c r="D113" s="496"/>
      <c r="E113" s="517"/>
      <c r="F113" s="517"/>
      <c r="G113" s="517"/>
      <c r="H113" s="517"/>
      <c r="I113" s="517"/>
      <c r="J113" s="517"/>
      <c r="K113" s="517"/>
      <c r="L113" s="517"/>
      <c r="M113" s="517"/>
    </row>
    <row r="114" spans="1:13" ht="15">
      <c r="A114" s="496"/>
      <c r="B114" s="503" t="s">
        <v>930</v>
      </c>
      <c r="C114" s="496"/>
      <c r="D114" s="496"/>
      <c r="E114" s="517">
        <f t="shared" ref="E114:J114" si="16">E105-E111</f>
        <v>0</v>
      </c>
      <c r="F114" s="517">
        <f t="shared" si="16"/>
        <v>0</v>
      </c>
      <c r="G114" s="517">
        <f t="shared" si="16"/>
        <v>0</v>
      </c>
      <c r="H114" s="517">
        <f t="shared" si="16"/>
        <v>0</v>
      </c>
      <c r="I114" s="517">
        <f t="shared" si="16"/>
        <v>0</v>
      </c>
      <c r="J114" s="517">
        <f t="shared" si="16"/>
        <v>0</v>
      </c>
      <c r="K114" s="517">
        <f>K105-K111</f>
        <v>0</v>
      </c>
      <c r="L114" s="517">
        <f>L105-L111</f>
        <v>0</v>
      </c>
      <c r="M114" s="517">
        <f>M105-M111</f>
        <v>0</v>
      </c>
    </row>
    <row r="115" spans="1:13" ht="15">
      <c r="A115" s="496"/>
      <c r="B115" s="503"/>
      <c r="C115" s="496"/>
      <c r="D115" s="496"/>
      <c r="E115" s="517"/>
      <c r="F115" s="517"/>
      <c r="G115" s="517"/>
      <c r="H115" s="517"/>
      <c r="I115" s="517"/>
      <c r="J115" s="517"/>
      <c r="K115" s="517"/>
      <c r="L115" s="517"/>
      <c r="M115" s="517"/>
    </row>
    <row r="116" spans="1:13" ht="15">
      <c r="A116" s="503" t="s">
        <v>931</v>
      </c>
      <c r="B116" s="503" t="s">
        <v>932</v>
      </c>
      <c r="C116" s="496"/>
      <c r="D116" s="496"/>
      <c r="E116" s="517" t="e">
        <f>E99+E114</f>
        <v>#REF!</v>
      </c>
      <c r="F116" s="517" t="e">
        <f>F99+F114</f>
        <v>#REF!</v>
      </c>
      <c r="G116" s="517" t="e">
        <f>G99+G114</f>
        <v>#REF!</v>
      </c>
      <c r="H116" s="517" t="e">
        <f>H99+H114</f>
        <v>#REF!</v>
      </c>
      <c r="I116" s="517" t="e">
        <f>I99+I114+0.01</f>
        <v>#REF!</v>
      </c>
      <c r="J116" s="517" t="e">
        <f>J99+J114+0.01</f>
        <v>#REF!</v>
      </c>
      <c r="K116" s="517" t="e">
        <f>K99+K114+0.01</f>
        <v>#REF!</v>
      </c>
      <c r="L116" s="517" t="e">
        <f>L99+L114+0.01</f>
        <v>#REF!</v>
      </c>
      <c r="M116" s="517" t="e">
        <f>M99+M114+0.01</f>
        <v>#REF!</v>
      </c>
    </row>
    <row r="117" spans="1:13" ht="15">
      <c r="A117" s="496"/>
      <c r="B117" s="503" t="s">
        <v>933</v>
      </c>
      <c r="C117" s="496"/>
      <c r="D117" s="496"/>
      <c r="E117" s="517"/>
      <c r="F117" s="517"/>
      <c r="G117" s="517"/>
      <c r="H117" s="517"/>
      <c r="I117" s="517"/>
      <c r="J117" s="517"/>
      <c r="K117" s="517"/>
      <c r="L117" s="517"/>
      <c r="M117" s="517"/>
    </row>
    <row r="118" spans="1:13" ht="15">
      <c r="A118" s="496"/>
      <c r="B118" s="496"/>
      <c r="C118" s="496"/>
      <c r="D118" s="496"/>
      <c r="E118" s="517"/>
      <c r="F118" s="517"/>
      <c r="G118" s="517"/>
      <c r="H118" s="517"/>
      <c r="I118" s="517"/>
      <c r="J118" s="517"/>
      <c r="K118" s="517"/>
      <c r="L118" s="517"/>
      <c r="M118" s="517"/>
    </row>
    <row r="119" spans="1:13" ht="15">
      <c r="A119" s="503" t="s">
        <v>934</v>
      </c>
      <c r="B119" s="503" t="s">
        <v>935</v>
      </c>
      <c r="C119" s="496"/>
      <c r="D119" s="496"/>
      <c r="E119" s="517">
        <f>[16]Project!F167</f>
        <v>1.0899459999999999</v>
      </c>
      <c r="F119" s="517">
        <f>[16]Project!G167</f>
        <v>10.242062499999999</v>
      </c>
      <c r="G119" s="517">
        <f>[16]Project!H167</f>
        <v>18.912087499999998</v>
      </c>
      <c r="H119" s="517">
        <f>[16]Project!I167</f>
        <v>26.568386500000003</v>
      </c>
      <c r="I119" s="517">
        <f>[16]Project!J167</f>
        <v>33.491067999999999</v>
      </c>
      <c r="J119" s="517">
        <f>[16]Project!K167</f>
        <v>30.522299</v>
      </c>
      <c r="K119" s="517">
        <f>[16]Project!L167</f>
        <v>32.766978000000002</v>
      </c>
      <c r="L119" s="517">
        <f>[16]Project!M167</f>
        <v>0</v>
      </c>
      <c r="M119" s="517">
        <f>[16]Project!N167</f>
        <v>0</v>
      </c>
    </row>
    <row r="120" spans="1:13" ht="15">
      <c r="A120" s="496"/>
      <c r="B120" s="496"/>
      <c r="C120" s="496"/>
      <c r="D120" s="496"/>
      <c r="E120" s="517"/>
      <c r="F120" s="517"/>
      <c r="G120" s="517"/>
      <c r="H120" s="517"/>
      <c r="I120" s="517"/>
      <c r="J120" s="517"/>
      <c r="K120" s="517"/>
      <c r="L120" s="517"/>
      <c r="M120" s="517"/>
    </row>
    <row r="121" spans="1:13" ht="15">
      <c r="A121" s="503" t="s">
        <v>936</v>
      </c>
      <c r="B121" s="503" t="s">
        <v>937</v>
      </c>
      <c r="C121" s="496"/>
      <c r="D121" s="496"/>
      <c r="E121" s="517" t="e">
        <f t="shared" ref="E121:J121" si="17">E116-E119</f>
        <v>#REF!</v>
      </c>
      <c r="F121" s="517" t="e">
        <f t="shared" si="17"/>
        <v>#REF!</v>
      </c>
      <c r="G121" s="517" t="e">
        <f t="shared" si="17"/>
        <v>#REF!</v>
      </c>
      <c r="H121" s="517" t="e">
        <f t="shared" si="17"/>
        <v>#REF!</v>
      </c>
      <c r="I121" s="517" t="e">
        <f t="shared" si="17"/>
        <v>#REF!</v>
      </c>
      <c r="J121" s="517" t="e">
        <f t="shared" si="17"/>
        <v>#REF!</v>
      </c>
      <c r="K121" s="517" t="e">
        <f>K116-K119</f>
        <v>#REF!</v>
      </c>
      <c r="L121" s="517" t="e">
        <f>L116-L119</f>
        <v>#REF!</v>
      </c>
      <c r="M121" s="517" t="e">
        <f>M116-M119</f>
        <v>#REF!</v>
      </c>
    </row>
    <row r="122" spans="1:13" ht="15">
      <c r="A122" s="496"/>
      <c r="B122" s="496"/>
      <c r="C122" s="496"/>
      <c r="D122" s="496"/>
      <c r="E122" s="517"/>
      <c r="F122" s="517"/>
      <c r="G122" s="517"/>
      <c r="H122" s="517"/>
      <c r="I122" s="517"/>
      <c r="J122" s="517"/>
      <c r="K122" s="517"/>
      <c r="L122" s="517"/>
      <c r="M122" s="517"/>
    </row>
    <row r="123" spans="1:13" ht="15">
      <c r="A123" s="503" t="s">
        <v>872</v>
      </c>
      <c r="B123" s="496"/>
      <c r="C123" s="496"/>
      <c r="D123" s="496"/>
      <c r="E123" s="517"/>
      <c r="F123" s="517"/>
      <c r="G123" s="517"/>
      <c r="H123" s="517"/>
      <c r="I123" s="517"/>
      <c r="J123" s="517"/>
      <c r="K123" s="517"/>
      <c r="L123" s="517"/>
      <c r="M123" s="517"/>
    </row>
    <row r="124" spans="1:13" ht="15">
      <c r="A124" s="503" t="s">
        <v>938</v>
      </c>
      <c r="B124" s="503" t="s">
        <v>939</v>
      </c>
      <c r="C124" s="496"/>
      <c r="D124" s="496"/>
      <c r="E124" s="517">
        <v>0</v>
      </c>
      <c r="F124" s="517">
        <v>0</v>
      </c>
      <c r="G124" s="517">
        <v>0</v>
      </c>
      <c r="H124" s="517">
        <v>0</v>
      </c>
      <c r="I124" s="517">
        <v>0</v>
      </c>
      <c r="J124" s="517">
        <v>0</v>
      </c>
      <c r="K124" s="517">
        <v>0</v>
      </c>
      <c r="L124" s="517">
        <v>0</v>
      </c>
      <c r="M124" s="517">
        <v>0</v>
      </c>
    </row>
    <row r="125" spans="1:13" ht="15">
      <c r="A125" s="496"/>
      <c r="B125" s="503" t="s">
        <v>940</v>
      </c>
      <c r="C125" s="496"/>
      <c r="D125" s="496"/>
      <c r="E125" s="517"/>
      <c r="F125" s="517"/>
      <c r="G125" s="517"/>
      <c r="H125" s="517"/>
      <c r="I125" s="517"/>
      <c r="J125" s="517"/>
      <c r="K125" s="517"/>
      <c r="L125" s="517"/>
      <c r="M125" s="517"/>
    </row>
    <row r="126" spans="1:13" ht="15">
      <c r="A126" s="496"/>
      <c r="B126" s="503" t="s">
        <v>941</v>
      </c>
      <c r="C126" s="496"/>
      <c r="D126" s="496"/>
      <c r="E126" s="517"/>
      <c r="F126" s="517"/>
      <c r="G126" s="517"/>
      <c r="H126" s="517"/>
      <c r="I126" s="517"/>
      <c r="J126" s="517"/>
      <c r="K126" s="517"/>
      <c r="L126" s="517"/>
      <c r="M126" s="517"/>
    </row>
    <row r="127" spans="1:13" ht="15">
      <c r="A127" s="496"/>
      <c r="B127" s="496"/>
      <c r="C127" s="496"/>
      <c r="D127" s="496"/>
      <c r="E127" s="517"/>
      <c r="F127" s="517"/>
      <c r="G127" s="517"/>
      <c r="H127" s="517"/>
      <c r="I127" s="517"/>
      <c r="J127" s="517"/>
      <c r="K127" s="517"/>
      <c r="L127" s="517"/>
      <c r="M127" s="517"/>
    </row>
    <row r="128" spans="1:13" ht="15">
      <c r="A128" s="503" t="s">
        <v>942</v>
      </c>
      <c r="B128" s="503" t="s">
        <v>943</v>
      </c>
      <c r="C128" s="496"/>
      <c r="D128" s="496"/>
      <c r="E128" s="517" t="e">
        <f>+E121-E124</f>
        <v>#REF!</v>
      </c>
      <c r="F128" s="517" t="e">
        <f t="shared" ref="F128:K128" si="18">F121-F124</f>
        <v>#REF!</v>
      </c>
      <c r="G128" s="517" t="e">
        <f t="shared" si="18"/>
        <v>#REF!</v>
      </c>
      <c r="H128" s="517" t="e">
        <f t="shared" si="18"/>
        <v>#REF!</v>
      </c>
      <c r="I128" s="517" t="e">
        <f t="shared" si="18"/>
        <v>#REF!</v>
      </c>
      <c r="J128" s="517" t="e">
        <f t="shared" si="18"/>
        <v>#REF!</v>
      </c>
      <c r="K128" s="517" t="e">
        <f t="shared" si="18"/>
        <v>#REF!</v>
      </c>
      <c r="L128" s="517" t="e">
        <f>L121-L124</f>
        <v>#REF!</v>
      </c>
      <c r="M128" s="517" t="e">
        <f>M121-M124</f>
        <v>#REF!</v>
      </c>
    </row>
    <row r="129" spans="1:13" ht="15">
      <c r="A129" s="496"/>
      <c r="B129" s="496"/>
      <c r="C129" s="496"/>
      <c r="D129" s="496"/>
      <c r="E129" s="517"/>
      <c r="F129" s="517"/>
      <c r="G129" s="517"/>
      <c r="H129" s="517"/>
      <c r="I129" s="517"/>
      <c r="J129" s="517"/>
      <c r="K129" s="517"/>
      <c r="L129" s="517"/>
      <c r="M129" s="517"/>
    </row>
    <row r="130" spans="1:13" ht="15">
      <c r="A130" s="503" t="s">
        <v>944</v>
      </c>
      <c r="B130" s="503" t="s">
        <v>945</v>
      </c>
      <c r="C130" s="496"/>
      <c r="D130" s="496"/>
      <c r="E130" s="517"/>
      <c r="F130" s="517"/>
      <c r="G130" s="517"/>
      <c r="H130" s="517"/>
      <c r="I130" s="517"/>
      <c r="J130" s="517"/>
      <c r="K130" s="517"/>
      <c r="L130" s="517"/>
      <c r="M130" s="517"/>
    </row>
    <row r="131" spans="1:13" ht="15">
      <c r="A131" s="496"/>
      <c r="B131" s="503" t="s">
        <v>946</v>
      </c>
      <c r="C131" s="496"/>
      <c r="D131" s="496"/>
      <c r="E131" s="517" t="e">
        <f t="shared" ref="E131:J131" si="19">E128/E121*100</f>
        <v>#REF!</v>
      </c>
      <c r="F131" s="517" t="e">
        <f t="shared" si="19"/>
        <v>#REF!</v>
      </c>
      <c r="G131" s="517" t="e">
        <f t="shared" si="19"/>
        <v>#REF!</v>
      </c>
      <c r="H131" s="517" t="e">
        <f t="shared" si="19"/>
        <v>#REF!</v>
      </c>
      <c r="I131" s="517" t="e">
        <f t="shared" si="19"/>
        <v>#REF!</v>
      </c>
      <c r="J131" s="517" t="e">
        <f t="shared" si="19"/>
        <v>#REF!</v>
      </c>
      <c r="K131" s="517" t="e">
        <f>K128/K121*100</f>
        <v>#REF!</v>
      </c>
      <c r="L131" s="517" t="e">
        <f>L128/L121*100</f>
        <v>#REF!</v>
      </c>
      <c r="M131" s="517" t="e">
        <f>M128/M121*100</f>
        <v>#REF!</v>
      </c>
    </row>
    <row r="132" spans="1:13" ht="15">
      <c r="A132" s="503" t="s">
        <v>872</v>
      </c>
      <c r="B132" s="496"/>
      <c r="C132" s="496"/>
      <c r="D132" s="496"/>
      <c r="E132" s="519"/>
      <c r="F132" s="519"/>
      <c r="G132" s="519"/>
      <c r="H132" s="519"/>
      <c r="I132" s="519"/>
      <c r="J132" s="521"/>
      <c r="K132" s="521"/>
      <c r="L132" s="521"/>
    </row>
    <row r="133" spans="1:13" ht="15">
      <c r="A133" s="503"/>
      <c r="B133" s="496"/>
      <c r="C133" s="496"/>
      <c r="D133" s="496"/>
      <c r="E133" s="519"/>
      <c r="F133" s="519"/>
      <c r="G133" s="519"/>
      <c r="H133" s="519"/>
      <c r="I133" s="519"/>
      <c r="J133" s="521"/>
      <c r="K133" s="521"/>
      <c r="L133" s="521"/>
    </row>
    <row r="134" spans="1:13" ht="15">
      <c r="A134" s="503"/>
      <c r="B134" s="496"/>
      <c r="C134" s="496"/>
      <c r="D134" s="496"/>
      <c r="E134" s="519"/>
      <c r="F134" s="519"/>
      <c r="G134" s="519"/>
      <c r="H134" s="519"/>
      <c r="I134" s="519"/>
      <c r="J134" s="521"/>
      <c r="K134" s="521"/>
      <c r="L134" s="521"/>
    </row>
    <row r="135" spans="1:13" ht="15">
      <c r="A135" s="503"/>
      <c r="B135" s="496"/>
      <c r="C135" s="496"/>
      <c r="D135" s="496"/>
      <c r="E135" s="519"/>
      <c r="F135" s="519"/>
      <c r="G135" s="519"/>
      <c r="H135" s="519"/>
      <c r="I135" s="519"/>
      <c r="J135" s="521"/>
      <c r="K135" s="521"/>
      <c r="L135" s="521"/>
    </row>
    <row r="136" spans="1:13" ht="15">
      <c r="A136" s="503"/>
      <c r="B136" s="496"/>
      <c r="C136" s="496"/>
      <c r="D136" s="496"/>
      <c r="E136" s="519"/>
      <c r="F136" s="519"/>
      <c r="G136" s="519"/>
      <c r="H136" s="519"/>
      <c r="I136" s="519"/>
      <c r="J136" s="521"/>
      <c r="K136" s="521"/>
      <c r="L136" s="521"/>
    </row>
    <row r="137" spans="1:13" ht="15">
      <c r="A137" s="503"/>
      <c r="B137" s="496"/>
      <c r="C137" s="496"/>
      <c r="D137" s="496"/>
      <c r="E137" s="519"/>
      <c r="F137" s="519"/>
      <c r="G137" s="519"/>
      <c r="H137" s="519"/>
      <c r="I137" s="519"/>
      <c r="J137" s="521"/>
      <c r="K137" s="521"/>
      <c r="L137" s="521"/>
    </row>
    <row r="138" spans="1:13" ht="15">
      <c r="A138" s="503"/>
      <c r="B138" s="496"/>
      <c r="C138" s="496"/>
      <c r="D138" s="496"/>
      <c r="E138" s="519"/>
      <c r="F138" s="519"/>
      <c r="G138" s="519"/>
      <c r="H138" s="519"/>
      <c r="I138" s="519"/>
      <c r="J138" s="521"/>
      <c r="K138" s="521"/>
      <c r="L138" s="521"/>
    </row>
    <row r="139" spans="1:13" ht="15">
      <c r="A139" s="503"/>
      <c r="B139" s="496"/>
      <c r="C139" s="496"/>
      <c r="D139" s="496"/>
      <c r="E139" s="519"/>
      <c r="F139" s="519"/>
      <c r="G139" s="519"/>
      <c r="H139" s="519"/>
      <c r="I139" s="519"/>
      <c r="J139" s="521"/>
      <c r="K139" s="521"/>
      <c r="L139" s="521"/>
    </row>
    <row r="140" spans="1:13" ht="15">
      <c r="A140" s="503"/>
      <c r="B140" s="496"/>
      <c r="C140" s="496"/>
      <c r="D140" s="496"/>
      <c r="E140" s="519"/>
      <c r="F140" s="519"/>
      <c r="G140" s="519"/>
      <c r="H140" s="519"/>
      <c r="I140" s="519"/>
      <c r="J140" s="521"/>
      <c r="K140" s="521"/>
      <c r="L140" s="521"/>
    </row>
    <row r="141" spans="1:13" ht="15">
      <c r="A141" s="503"/>
      <c r="B141" s="496"/>
      <c r="C141" s="496"/>
      <c r="D141" s="496"/>
      <c r="E141" s="519"/>
      <c r="F141" s="519"/>
      <c r="G141" s="519"/>
      <c r="H141" s="519"/>
      <c r="I141" s="519"/>
      <c r="J141" s="521"/>
      <c r="K141" s="521"/>
      <c r="L141" s="521"/>
    </row>
    <row r="142" spans="1:13" ht="15">
      <c r="A142" s="503"/>
      <c r="B142" s="496"/>
      <c r="C142" s="496"/>
      <c r="D142" s="496"/>
      <c r="E142" s="519"/>
      <c r="F142" s="519"/>
      <c r="G142" s="519"/>
      <c r="H142" s="519"/>
      <c r="I142" s="519"/>
      <c r="J142" s="521"/>
      <c r="K142" s="521"/>
      <c r="L142" s="521"/>
    </row>
    <row r="143" spans="1:13" ht="15">
      <c r="A143" s="503"/>
      <c r="B143" s="496"/>
      <c r="C143" s="496"/>
      <c r="D143" s="496"/>
      <c r="E143" s="519"/>
      <c r="F143" s="519"/>
      <c r="G143" s="519"/>
      <c r="H143" s="519"/>
      <c r="I143" s="519"/>
      <c r="J143" s="521"/>
      <c r="K143" s="521"/>
      <c r="L143" s="521"/>
    </row>
    <row r="144" spans="1:13" ht="15">
      <c r="A144" s="503"/>
      <c r="B144" s="496"/>
      <c r="C144" s="496"/>
      <c r="D144" s="496"/>
      <c r="E144" s="519"/>
      <c r="F144" s="519"/>
      <c r="G144" s="519"/>
      <c r="H144" s="519"/>
      <c r="I144" s="519"/>
      <c r="J144" s="521"/>
      <c r="K144" s="521"/>
      <c r="L144" s="521"/>
    </row>
    <row r="145" spans="1:12" ht="15">
      <c r="A145" s="503"/>
      <c r="B145" s="496"/>
      <c r="C145" s="496"/>
      <c r="D145" s="496"/>
      <c r="E145" s="519"/>
      <c r="F145" s="519"/>
      <c r="G145" s="519"/>
      <c r="H145" s="519"/>
      <c r="I145" s="519"/>
      <c r="J145" s="521"/>
      <c r="K145" s="521"/>
      <c r="L145" s="521"/>
    </row>
    <row r="146" spans="1:12" ht="15">
      <c r="A146" s="503"/>
      <c r="B146" s="496"/>
      <c r="C146" s="496"/>
      <c r="D146" s="496"/>
      <c r="E146" s="519"/>
      <c r="F146" s="519"/>
      <c r="G146" s="519"/>
      <c r="H146" s="519"/>
      <c r="I146" s="519"/>
      <c r="J146" s="521"/>
      <c r="K146" s="521"/>
      <c r="L146" s="521"/>
    </row>
    <row r="147" spans="1:12" ht="15">
      <c r="A147" s="503"/>
      <c r="B147" s="496"/>
      <c r="C147" s="496"/>
      <c r="D147" s="496"/>
      <c r="E147" s="519"/>
      <c r="F147" s="519"/>
      <c r="G147" s="519"/>
      <c r="H147" s="519"/>
      <c r="I147" s="519"/>
      <c r="J147" s="521"/>
      <c r="K147" s="521"/>
      <c r="L147" s="521"/>
    </row>
    <row r="148" spans="1:12" ht="15">
      <c r="A148" s="503"/>
      <c r="B148" s="496"/>
      <c r="C148" s="496"/>
      <c r="D148" s="496"/>
      <c r="E148" s="519"/>
      <c r="F148" s="519"/>
      <c r="G148" s="519"/>
      <c r="H148" s="519"/>
      <c r="I148" s="519"/>
      <c r="J148" s="521"/>
      <c r="K148" s="521"/>
      <c r="L148" s="521"/>
    </row>
    <row r="149" spans="1:12" ht="15">
      <c r="A149" s="503"/>
      <c r="B149" s="496"/>
      <c r="C149" s="496"/>
      <c r="D149" s="496"/>
      <c r="E149" s="519"/>
      <c r="F149" s="519"/>
      <c r="G149" s="519"/>
      <c r="H149" s="519"/>
      <c r="I149" s="519"/>
      <c r="J149" s="521"/>
      <c r="K149" s="521"/>
      <c r="L149" s="521"/>
    </row>
    <row r="150" spans="1:12" ht="15">
      <c r="A150" s="503"/>
      <c r="B150" s="496"/>
      <c r="C150" s="496"/>
      <c r="D150" s="496"/>
      <c r="E150" s="519"/>
      <c r="F150" s="519"/>
      <c r="G150" s="519"/>
      <c r="H150" s="519"/>
      <c r="I150" s="519"/>
      <c r="J150" s="521"/>
      <c r="K150" s="521"/>
      <c r="L150" s="521"/>
    </row>
    <row r="151" spans="1:12" ht="15">
      <c r="A151" s="503"/>
      <c r="B151" s="496"/>
      <c r="C151" s="496"/>
      <c r="D151" s="496"/>
      <c r="E151" s="519"/>
      <c r="F151" s="519"/>
      <c r="G151" s="519"/>
      <c r="H151" s="519"/>
      <c r="I151" s="519"/>
      <c r="J151" s="521"/>
      <c r="K151" s="521"/>
      <c r="L151" s="521"/>
    </row>
    <row r="152" spans="1:12" ht="15">
      <c r="A152" s="503"/>
      <c r="B152" s="496"/>
      <c r="C152" s="496"/>
      <c r="D152" s="496"/>
      <c r="E152" s="519"/>
      <c r="F152" s="519"/>
      <c r="G152" s="519"/>
      <c r="H152" s="519"/>
      <c r="I152" s="519"/>
      <c r="J152" s="521"/>
      <c r="K152" s="521"/>
      <c r="L152" s="521"/>
    </row>
    <row r="153" spans="1:12" ht="15">
      <c r="A153" s="503"/>
      <c r="B153" s="496"/>
      <c r="C153" s="496"/>
      <c r="D153" s="496"/>
      <c r="E153" s="519"/>
      <c r="F153" s="519"/>
      <c r="G153" s="519"/>
      <c r="H153" s="519"/>
      <c r="I153" s="519"/>
      <c r="J153" s="521"/>
      <c r="K153" s="521"/>
      <c r="L153" s="521"/>
    </row>
    <row r="154" spans="1:12" ht="15">
      <c r="A154" s="503"/>
      <c r="B154" s="496"/>
      <c r="C154" s="496"/>
      <c r="D154" s="496"/>
      <c r="E154" s="519"/>
      <c r="F154" s="519"/>
      <c r="G154" s="519"/>
      <c r="H154" s="519"/>
      <c r="I154" s="519"/>
      <c r="J154" s="521"/>
      <c r="K154" s="521"/>
      <c r="L154" s="521"/>
    </row>
    <row r="155" spans="1:12" ht="15">
      <c r="A155" s="503"/>
      <c r="B155" s="496"/>
      <c r="C155" s="496"/>
      <c r="D155" s="496"/>
      <c r="E155" s="519"/>
      <c r="F155" s="519"/>
      <c r="G155" s="519"/>
      <c r="H155" s="519"/>
      <c r="I155" s="519"/>
      <c r="J155" s="521"/>
      <c r="K155" s="521"/>
      <c r="L155" s="521"/>
    </row>
    <row r="156" spans="1:12" ht="15">
      <c r="A156" s="503"/>
      <c r="B156" s="496"/>
      <c r="C156" s="496"/>
      <c r="D156" s="496"/>
      <c r="E156" s="519"/>
      <c r="F156" s="519"/>
      <c r="G156" s="519"/>
      <c r="H156" s="519"/>
      <c r="I156" s="519"/>
      <c r="J156" s="521"/>
      <c r="K156" s="521"/>
      <c r="L156" s="521"/>
    </row>
    <row r="157" spans="1:12" ht="15">
      <c r="A157" s="503"/>
      <c r="B157" s="496"/>
      <c r="C157" s="496"/>
      <c r="D157" s="496"/>
      <c r="E157" s="519"/>
      <c r="F157" s="519"/>
      <c r="G157" s="519"/>
      <c r="H157" s="519"/>
      <c r="I157" s="519"/>
      <c r="J157" s="521"/>
      <c r="K157" s="521"/>
      <c r="L157" s="521"/>
    </row>
    <row r="158" spans="1:12" ht="15">
      <c r="A158" s="503"/>
      <c r="B158" s="496"/>
      <c r="C158" s="496"/>
      <c r="D158" s="496"/>
      <c r="E158" s="519"/>
      <c r="F158" s="519"/>
      <c r="G158" s="519"/>
      <c r="H158" s="519"/>
      <c r="I158" s="519"/>
      <c r="J158" s="521"/>
      <c r="K158" s="521"/>
      <c r="L158" s="521"/>
    </row>
    <row r="159" spans="1:12" ht="15">
      <c r="A159" s="503"/>
      <c r="B159" s="496"/>
      <c r="C159" s="496"/>
      <c r="D159" s="496"/>
      <c r="E159" s="519"/>
      <c r="F159" s="519"/>
      <c r="G159" s="519"/>
      <c r="H159" s="519"/>
      <c r="I159" s="519"/>
      <c r="J159" s="521"/>
      <c r="K159" s="521"/>
      <c r="L159" s="521"/>
    </row>
    <row r="160" spans="1:12" ht="15">
      <c r="A160" s="503"/>
      <c r="B160" s="496"/>
      <c r="C160" s="496"/>
      <c r="D160" s="496"/>
      <c r="E160" s="519"/>
      <c r="F160" s="519"/>
      <c r="G160" s="519"/>
      <c r="H160" s="519"/>
      <c r="I160" s="519"/>
      <c r="J160" s="521"/>
      <c r="K160" s="521"/>
      <c r="L160" s="521"/>
    </row>
    <row r="161" spans="1:13" ht="15.75">
      <c r="A161" s="1132" t="s">
        <v>947</v>
      </c>
      <c r="B161" s="1132"/>
      <c r="C161" s="1132"/>
      <c r="D161" s="1132"/>
      <c r="E161" s="1132"/>
      <c r="F161" s="1132"/>
      <c r="G161" s="1132"/>
      <c r="H161" s="1132"/>
      <c r="I161" s="1132"/>
      <c r="J161" s="522"/>
      <c r="K161" s="522"/>
      <c r="L161" s="521"/>
    </row>
    <row r="162" spans="1:13" ht="15.75">
      <c r="A162" s="1136" t="s">
        <v>948</v>
      </c>
      <c r="B162" s="1136"/>
      <c r="C162" s="1136"/>
      <c r="D162" s="1136"/>
      <c r="E162" s="1136"/>
      <c r="F162" s="1136"/>
      <c r="G162" s="1136"/>
      <c r="H162" s="1136"/>
      <c r="I162" s="1136"/>
      <c r="J162" s="523"/>
      <c r="K162" s="523"/>
      <c r="L162" s="521"/>
    </row>
    <row r="163" spans="1:13" s="7" customFormat="1">
      <c r="A163" s="524" t="s">
        <v>949</v>
      </c>
      <c r="B163" s="525"/>
      <c r="C163" s="525"/>
      <c r="D163" s="525"/>
      <c r="E163" s="526" t="e">
        <f t="shared" ref="E163:I164" si="20">+E11</f>
        <v>#REF!</v>
      </c>
      <c r="F163" s="526" t="e">
        <f t="shared" si="20"/>
        <v>#REF!</v>
      </c>
      <c r="G163" s="526" t="e">
        <f t="shared" si="20"/>
        <v>#REF!</v>
      </c>
      <c r="H163" s="526" t="e">
        <f t="shared" si="20"/>
        <v>#REF!</v>
      </c>
      <c r="I163" s="526" t="e">
        <f t="shared" si="20"/>
        <v>#REF!</v>
      </c>
      <c r="J163" s="526" t="e">
        <f t="shared" ref="J163:M164" si="21">+J11</f>
        <v>#REF!</v>
      </c>
      <c r="K163" s="526" t="e">
        <f t="shared" si="21"/>
        <v>#REF!</v>
      </c>
      <c r="L163" s="526" t="e">
        <f t="shared" si="21"/>
        <v>#REF!</v>
      </c>
      <c r="M163" s="526" t="e">
        <f t="shared" si="21"/>
        <v>#REF!</v>
      </c>
    </row>
    <row r="164" spans="1:13" ht="15">
      <c r="A164" s="500"/>
      <c r="B164" s="502"/>
      <c r="C164" s="502"/>
      <c r="D164" s="502"/>
      <c r="E164" s="507" t="str">
        <f t="shared" si="20"/>
        <v>(Pro.)</v>
      </c>
      <c r="F164" s="507" t="str">
        <f t="shared" si="20"/>
        <v>(Pro.)</v>
      </c>
      <c r="G164" s="507" t="str">
        <f t="shared" si="20"/>
        <v>(Pro.)</v>
      </c>
      <c r="H164" s="507" t="str">
        <f t="shared" si="20"/>
        <v>(Pro.)</v>
      </c>
      <c r="I164" s="507" t="str">
        <f t="shared" si="20"/>
        <v>(Pro.)</v>
      </c>
      <c r="J164" s="507" t="str">
        <f t="shared" si="21"/>
        <v>(Pro.)</v>
      </c>
      <c r="K164" s="507" t="str">
        <f t="shared" si="21"/>
        <v>(Pro.)</v>
      </c>
      <c r="L164" s="507" t="str">
        <f t="shared" si="21"/>
        <v>(Pro.)</v>
      </c>
      <c r="M164" s="507" t="str">
        <f t="shared" si="21"/>
        <v>(Pro.)</v>
      </c>
    </row>
    <row r="165" spans="1:13" ht="15">
      <c r="A165" s="527"/>
      <c r="B165" s="528"/>
      <c r="C165" s="528"/>
      <c r="D165" s="528"/>
      <c r="E165" s="508" t="s">
        <v>864</v>
      </c>
      <c r="F165" s="508" t="s">
        <v>865</v>
      </c>
      <c r="G165" s="508" t="s">
        <v>866</v>
      </c>
      <c r="H165" s="509" t="s">
        <v>867</v>
      </c>
      <c r="I165" s="509" t="s">
        <v>868</v>
      </c>
      <c r="J165" s="509" t="s">
        <v>868</v>
      </c>
      <c r="K165" s="509" t="s">
        <v>868</v>
      </c>
      <c r="L165" s="509" t="s">
        <v>868</v>
      </c>
      <c r="M165" s="509" t="s">
        <v>868</v>
      </c>
    </row>
    <row r="166" spans="1:13" ht="15">
      <c r="A166" s="500"/>
      <c r="B166" s="502"/>
      <c r="C166" s="502"/>
      <c r="D166" s="502"/>
      <c r="E166" s="529"/>
      <c r="F166" s="529"/>
      <c r="G166" s="529"/>
      <c r="H166" s="510"/>
      <c r="I166" s="510"/>
      <c r="J166" s="510"/>
      <c r="K166" s="510"/>
      <c r="L166" s="510"/>
      <c r="M166" s="510"/>
    </row>
    <row r="167" spans="1:13" ht="15.75">
      <c r="A167" s="512" t="s">
        <v>950</v>
      </c>
      <c r="B167" s="496"/>
      <c r="C167" s="496"/>
      <c r="D167" s="496"/>
      <c r="E167" s="517"/>
      <c r="F167" s="517"/>
      <c r="G167" s="517"/>
      <c r="H167" s="530"/>
      <c r="I167" s="530"/>
      <c r="J167" s="530"/>
      <c r="K167" s="530"/>
      <c r="L167" s="530"/>
      <c r="M167" s="530"/>
    </row>
    <row r="168" spans="1:13" ht="3.75" customHeight="1">
      <c r="A168" s="503"/>
      <c r="B168" s="496"/>
      <c r="C168" s="496"/>
      <c r="D168" s="496"/>
      <c r="E168" s="517"/>
      <c r="F168" s="517"/>
      <c r="G168" s="517"/>
      <c r="H168" s="517"/>
      <c r="I168" s="517"/>
      <c r="J168" s="517"/>
      <c r="K168" s="517"/>
      <c r="L168" s="517"/>
      <c r="M168" s="517"/>
    </row>
    <row r="169" spans="1:13" ht="15">
      <c r="A169" s="503" t="s">
        <v>307</v>
      </c>
      <c r="B169" s="503" t="s">
        <v>951</v>
      </c>
      <c r="C169" s="496"/>
      <c r="D169" s="496"/>
      <c r="E169" s="531"/>
      <c r="F169" s="531"/>
      <c r="G169" s="531"/>
      <c r="H169" s="531"/>
      <c r="I169" s="531"/>
      <c r="J169" s="531"/>
      <c r="K169" s="531"/>
      <c r="L169" s="531"/>
      <c r="M169" s="531"/>
    </row>
    <row r="170" spans="1:13" ht="15">
      <c r="A170" s="496"/>
      <c r="B170" s="503" t="s">
        <v>952</v>
      </c>
      <c r="C170" s="496"/>
      <c r="D170" s="496"/>
      <c r="E170" s="531"/>
      <c r="F170" s="531"/>
      <c r="G170" s="531"/>
      <c r="H170" s="531"/>
      <c r="I170" s="531"/>
      <c r="J170" s="531"/>
      <c r="K170" s="531"/>
      <c r="L170" s="531"/>
      <c r="M170" s="531"/>
    </row>
    <row r="171" spans="1:13" ht="15">
      <c r="A171" s="496"/>
      <c r="B171" s="503" t="s">
        <v>953</v>
      </c>
      <c r="C171" s="496"/>
      <c r="D171" s="496"/>
      <c r="E171" s="531"/>
      <c r="F171" s="531"/>
      <c r="G171" s="531"/>
      <c r="H171" s="531"/>
      <c r="I171" s="531"/>
      <c r="J171" s="531"/>
      <c r="K171" s="531"/>
      <c r="L171" s="531"/>
      <c r="M171" s="531"/>
    </row>
    <row r="172" spans="1:13" ht="15">
      <c r="A172" s="496"/>
      <c r="B172" s="503" t="s">
        <v>954</v>
      </c>
      <c r="C172" s="496"/>
      <c r="D172" s="496"/>
      <c r="E172" s="517"/>
      <c r="F172" s="517"/>
      <c r="G172" s="517"/>
      <c r="H172" s="517"/>
      <c r="I172" s="517"/>
      <c r="J172" s="517"/>
      <c r="K172" s="517"/>
      <c r="L172" s="517"/>
      <c r="M172" s="517"/>
    </row>
    <row r="173" spans="1:13" ht="15">
      <c r="A173" s="496"/>
      <c r="B173" s="503" t="s">
        <v>955</v>
      </c>
      <c r="C173" s="496"/>
      <c r="D173" s="496"/>
      <c r="E173" s="517" t="e">
        <f>#REF!</f>
        <v>#REF!</v>
      </c>
      <c r="F173" s="517" t="e">
        <f>#REF!</f>
        <v>#REF!</v>
      </c>
      <c r="G173" s="517" t="e">
        <f>#REF!</f>
        <v>#REF!</v>
      </c>
      <c r="H173" s="517" t="e">
        <f>#REF!</f>
        <v>#REF!</v>
      </c>
      <c r="I173" s="517" t="e">
        <f>#REF!</f>
        <v>#REF!</v>
      </c>
      <c r="J173" s="517" t="e">
        <f>#REF!</f>
        <v>#REF!</v>
      </c>
      <c r="K173" s="517" t="e">
        <f>#REF!</f>
        <v>#REF!</v>
      </c>
      <c r="L173" s="517" t="e">
        <f>#REF!</f>
        <v>#REF!</v>
      </c>
      <c r="M173" s="517" t="e">
        <f>#REF!</f>
        <v>#REF!</v>
      </c>
    </row>
    <row r="174" spans="1:13" ht="4.5" customHeight="1">
      <c r="A174" s="496"/>
      <c r="B174" s="496"/>
      <c r="C174" s="496"/>
      <c r="D174" s="496"/>
      <c r="E174" s="517"/>
      <c r="F174" s="517" t="s">
        <v>872</v>
      </c>
      <c r="G174" s="517"/>
      <c r="H174" s="517"/>
      <c r="I174" s="517"/>
      <c r="J174" s="517"/>
      <c r="K174" s="517"/>
      <c r="L174" s="517"/>
      <c r="M174" s="517"/>
    </row>
    <row r="175" spans="1:13" ht="15">
      <c r="A175" s="496"/>
      <c r="B175" s="503" t="s">
        <v>956</v>
      </c>
      <c r="C175" s="496"/>
      <c r="D175" s="496"/>
      <c r="E175" s="517" t="s">
        <v>443</v>
      </c>
      <c r="F175" s="517" t="s">
        <v>443</v>
      </c>
      <c r="G175" s="517" t="s">
        <v>443</v>
      </c>
      <c r="H175" s="517" t="s">
        <v>443</v>
      </c>
      <c r="I175" s="517" t="s">
        <v>443</v>
      </c>
      <c r="J175" s="517" t="s">
        <v>443</v>
      </c>
      <c r="K175" s="517" t="s">
        <v>443</v>
      </c>
      <c r="L175" s="517" t="s">
        <v>443</v>
      </c>
      <c r="M175" s="517" t="s">
        <v>443</v>
      </c>
    </row>
    <row r="176" spans="1:13" ht="5.25" customHeight="1">
      <c r="A176" s="496"/>
      <c r="B176" s="496"/>
      <c r="C176" s="496"/>
      <c r="D176" s="496"/>
      <c r="E176" s="517"/>
      <c r="F176" s="517"/>
      <c r="G176" s="517"/>
      <c r="H176" s="517"/>
      <c r="I176" s="517"/>
      <c r="J176" s="517"/>
      <c r="K176" s="517"/>
      <c r="L176" s="517"/>
      <c r="M176" s="517"/>
    </row>
    <row r="177" spans="1:13" ht="15">
      <c r="A177" s="496"/>
      <c r="B177" s="503" t="s">
        <v>957</v>
      </c>
      <c r="C177" s="496"/>
      <c r="D177" s="496"/>
      <c r="E177" s="517"/>
      <c r="F177" s="517"/>
      <c r="G177" s="517"/>
      <c r="H177" s="517"/>
      <c r="I177" s="517"/>
      <c r="J177" s="517"/>
      <c r="K177" s="517"/>
      <c r="L177" s="517"/>
      <c r="M177" s="517"/>
    </row>
    <row r="178" spans="1:13" ht="5.25" customHeight="1">
      <c r="A178" s="496"/>
      <c r="B178" s="496"/>
      <c r="C178" s="496"/>
      <c r="D178" s="496"/>
      <c r="E178" s="517"/>
      <c r="F178" s="517"/>
      <c r="G178" s="517"/>
      <c r="H178" s="517"/>
      <c r="I178" s="517"/>
      <c r="J178" s="517"/>
      <c r="K178" s="517"/>
      <c r="L178" s="517"/>
      <c r="M178" s="517"/>
    </row>
    <row r="179" spans="1:13" ht="15">
      <c r="A179" s="496"/>
      <c r="B179" s="503" t="s">
        <v>958</v>
      </c>
      <c r="C179" s="496"/>
      <c r="D179" s="496"/>
      <c r="E179" s="532" t="e">
        <f t="shared" ref="E179:J179" si="22">E173</f>
        <v>#REF!</v>
      </c>
      <c r="F179" s="532" t="e">
        <f t="shared" si="22"/>
        <v>#REF!</v>
      </c>
      <c r="G179" s="532" t="e">
        <f t="shared" si="22"/>
        <v>#REF!</v>
      </c>
      <c r="H179" s="532" t="e">
        <f t="shared" si="22"/>
        <v>#REF!</v>
      </c>
      <c r="I179" s="532" t="e">
        <f t="shared" si="22"/>
        <v>#REF!</v>
      </c>
      <c r="J179" s="532" t="e">
        <f t="shared" si="22"/>
        <v>#REF!</v>
      </c>
      <c r="K179" s="532" t="e">
        <f>K173</f>
        <v>#REF!</v>
      </c>
      <c r="L179" s="532" t="e">
        <f>L173</f>
        <v>#REF!</v>
      </c>
      <c r="M179" s="532" t="e">
        <f>M173</f>
        <v>#REF!</v>
      </c>
    </row>
    <row r="180" spans="1:13" ht="3.75" customHeight="1">
      <c r="A180" s="496"/>
      <c r="B180" s="496"/>
      <c r="C180" s="496"/>
      <c r="D180" s="496"/>
      <c r="E180" s="517"/>
      <c r="F180" s="517"/>
      <c r="G180" s="517"/>
      <c r="H180" s="517"/>
      <c r="I180" s="517"/>
      <c r="J180" s="517"/>
      <c r="K180" s="517"/>
      <c r="L180" s="517"/>
      <c r="M180" s="517"/>
    </row>
    <row r="181" spans="1:13" ht="15">
      <c r="A181" s="503" t="s">
        <v>877</v>
      </c>
      <c r="B181" s="503" t="s">
        <v>959</v>
      </c>
      <c r="C181" s="496"/>
      <c r="D181" s="496"/>
      <c r="E181" s="517"/>
      <c r="F181" s="517"/>
      <c r="G181" s="517"/>
      <c r="H181" s="517"/>
      <c r="I181" s="517"/>
      <c r="J181" s="517"/>
      <c r="K181" s="517"/>
      <c r="L181" s="517"/>
      <c r="M181" s="517"/>
    </row>
    <row r="182" spans="1:13" ht="15">
      <c r="A182" s="496"/>
      <c r="B182" s="503" t="s">
        <v>960</v>
      </c>
      <c r="C182" s="496"/>
      <c r="D182" s="496"/>
      <c r="E182" s="517">
        <v>0</v>
      </c>
      <c r="F182" s="517">
        <f t="shared" ref="F182:K182" si="23">+E182</f>
        <v>0</v>
      </c>
      <c r="G182" s="517">
        <f t="shared" si="23"/>
        <v>0</v>
      </c>
      <c r="H182" s="517">
        <f t="shared" si="23"/>
        <v>0</v>
      </c>
      <c r="I182" s="517">
        <f t="shared" si="23"/>
        <v>0</v>
      </c>
      <c r="J182" s="517">
        <f t="shared" si="23"/>
        <v>0</v>
      </c>
      <c r="K182" s="517">
        <f t="shared" si="23"/>
        <v>0</v>
      </c>
      <c r="L182" s="517">
        <f>+K182</f>
        <v>0</v>
      </c>
      <c r="M182" s="517">
        <f>+L182</f>
        <v>0</v>
      </c>
    </row>
    <row r="183" spans="1:13" ht="6" customHeight="1">
      <c r="A183" s="496"/>
      <c r="B183" s="496"/>
      <c r="C183" s="496"/>
      <c r="D183" s="496"/>
      <c r="E183" s="517"/>
      <c r="F183" s="517"/>
      <c r="G183" s="517"/>
      <c r="H183" s="517"/>
      <c r="I183" s="517"/>
      <c r="J183" s="517"/>
      <c r="K183" s="517"/>
      <c r="L183" s="517"/>
      <c r="M183" s="517"/>
    </row>
    <row r="184" spans="1:13" ht="15">
      <c r="A184" s="503" t="s">
        <v>297</v>
      </c>
      <c r="B184" s="503" t="s">
        <v>961</v>
      </c>
      <c r="C184" s="496"/>
      <c r="D184" s="496"/>
      <c r="E184" s="517" t="e">
        <f>#REF!</f>
        <v>#REF!</v>
      </c>
      <c r="F184" s="517" t="e">
        <f>#REF!</f>
        <v>#REF!</v>
      </c>
      <c r="G184" s="517" t="e">
        <f>#REF!</f>
        <v>#REF!</v>
      </c>
      <c r="H184" s="517" t="e">
        <f>#REF!</f>
        <v>#REF!</v>
      </c>
      <c r="I184" s="517" t="e">
        <f>#REF!</f>
        <v>#REF!</v>
      </c>
      <c r="J184" s="517" t="e">
        <f>#REF!</f>
        <v>#REF!</v>
      </c>
      <c r="K184" s="517" t="e">
        <f>#REF!</f>
        <v>#REF!</v>
      </c>
      <c r="L184" s="517" t="e">
        <f>#REF!</f>
        <v>#REF!</v>
      </c>
      <c r="M184" s="517" t="e">
        <f>#REF!</f>
        <v>#REF!</v>
      </c>
    </row>
    <row r="185" spans="1:13" ht="7.5" customHeight="1">
      <c r="A185" s="496"/>
      <c r="B185" s="496"/>
      <c r="C185" s="496"/>
      <c r="D185" s="496"/>
      <c r="E185" s="517"/>
      <c r="F185" s="517"/>
      <c r="G185" s="517"/>
      <c r="H185" s="517"/>
      <c r="I185" s="517"/>
      <c r="J185" s="517"/>
      <c r="K185" s="517"/>
      <c r="L185" s="517"/>
      <c r="M185" s="517"/>
    </row>
    <row r="186" spans="1:13" ht="15">
      <c r="A186" s="503" t="s">
        <v>299</v>
      </c>
      <c r="B186" s="503" t="s">
        <v>962</v>
      </c>
      <c r="C186" s="496"/>
      <c r="D186" s="496"/>
      <c r="E186" s="517" t="s">
        <v>872</v>
      </c>
      <c r="F186" s="517" t="s">
        <v>872</v>
      </c>
      <c r="G186" s="517" t="s">
        <v>872</v>
      </c>
      <c r="H186" s="517" t="s">
        <v>872</v>
      </c>
      <c r="I186" s="517" t="s">
        <v>872</v>
      </c>
      <c r="J186" s="517" t="s">
        <v>872</v>
      </c>
      <c r="K186" s="517" t="s">
        <v>872</v>
      </c>
      <c r="L186" s="517" t="s">
        <v>872</v>
      </c>
      <c r="M186" s="517" t="s">
        <v>872</v>
      </c>
    </row>
    <row r="187" spans="1:13" ht="15">
      <c r="A187" s="496"/>
      <c r="B187" s="503" t="s">
        <v>963</v>
      </c>
      <c r="C187" s="496"/>
      <c r="D187" s="496"/>
      <c r="E187" s="517"/>
      <c r="F187" s="517"/>
      <c r="G187" s="517"/>
      <c r="H187" s="517"/>
      <c r="I187" s="517"/>
      <c r="J187" s="517"/>
      <c r="K187" s="517"/>
      <c r="L187" s="517"/>
      <c r="M187" s="517"/>
    </row>
    <row r="188" spans="1:13" ht="15">
      <c r="A188" s="496"/>
      <c r="B188" s="496"/>
      <c r="C188" s="496"/>
      <c r="D188" s="496"/>
      <c r="E188" s="517"/>
      <c r="F188" s="517"/>
      <c r="G188" s="517"/>
      <c r="H188" s="517"/>
      <c r="I188" s="517"/>
      <c r="J188" s="517"/>
      <c r="K188" s="517"/>
      <c r="L188" s="517"/>
      <c r="M188" s="517"/>
    </row>
    <row r="189" spans="1:13" ht="15">
      <c r="A189" s="503" t="s">
        <v>301</v>
      </c>
      <c r="B189" s="503" t="s">
        <v>964</v>
      </c>
      <c r="C189" s="496"/>
      <c r="D189" s="496"/>
      <c r="E189" s="517" t="s">
        <v>443</v>
      </c>
      <c r="F189" s="517" t="s">
        <v>443</v>
      </c>
      <c r="G189" s="517" t="s">
        <v>443</v>
      </c>
      <c r="H189" s="517" t="s">
        <v>443</v>
      </c>
      <c r="I189" s="517" t="s">
        <v>443</v>
      </c>
      <c r="J189" s="517" t="s">
        <v>443</v>
      </c>
      <c r="K189" s="517" t="s">
        <v>443</v>
      </c>
      <c r="L189" s="517" t="s">
        <v>443</v>
      </c>
      <c r="M189" s="517" t="s">
        <v>443</v>
      </c>
    </row>
    <row r="190" spans="1:13" ht="15">
      <c r="A190" s="503" t="s">
        <v>302</v>
      </c>
      <c r="B190" s="503" t="s">
        <v>965</v>
      </c>
      <c r="C190" s="496"/>
      <c r="D190" s="496"/>
      <c r="E190" s="517" t="s">
        <v>443</v>
      </c>
      <c r="F190" s="517" t="s">
        <v>443</v>
      </c>
      <c r="G190" s="517" t="s">
        <v>443</v>
      </c>
      <c r="H190" s="517" t="s">
        <v>443</v>
      </c>
      <c r="I190" s="517" t="s">
        <v>443</v>
      </c>
      <c r="J190" s="517" t="s">
        <v>443</v>
      </c>
      <c r="K190" s="517" t="s">
        <v>443</v>
      </c>
      <c r="L190" s="517" t="s">
        <v>443</v>
      </c>
      <c r="M190" s="517" t="s">
        <v>443</v>
      </c>
    </row>
    <row r="191" spans="1:13" ht="15">
      <c r="A191" s="503" t="s">
        <v>304</v>
      </c>
      <c r="B191" s="503" t="s">
        <v>966</v>
      </c>
      <c r="C191" s="496"/>
      <c r="D191" s="496"/>
      <c r="E191" s="517" t="s">
        <v>443</v>
      </c>
      <c r="F191" s="517" t="s">
        <v>443</v>
      </c>
      <c r="G191" s="517" t="s">
        <v>443</v>
      </c>
      <c r="H191" s="517" t="s">
        <v>443</v>
      </c>
      <c r="I191" s="517" t="s">
        <v>443</v>
      </c>
      <c r="J191" s="517" t="s">
        <v>443</v>
      </c>
      <c r="K191" s="517" t="s">
        <v>443</v>
      </c>
      <c r="L191" s="517" t="s">
        <v>443</v>
      </c>
      <c r="M191" s="517" t="s">
        <v>443</v>
      </c>
    </row>
    <row r="192" spans="1:13" ht="15">
      <c r="A192" s="496"/>
      <c r="B192" s="503" t="s">
        <v>967</v>
      </c>
      <c r="C192" s="496"/>
      <c r="D192" s="496"/>
      <c r="E192" s="517"/>
      <c r="F192" s="517"/>
      <c r="G192" s="517"/>
      <c r="H192" s="517"/>
      <c r="I192" s="517"/>
      <c r="J192" s="517"/>
      <c r="K192" s="517"/>
      <c r="L192" s="517"/>
      <c r="M192" s="517"/>
    </row>
    <row r="193" spans="1:13" ht="15">
      <c r="A193" s="496"/>
      <c r="B193" s="496"/>
      <c r="C193" s="496"/>
      <c r="D193" s="496"/>
      <c r="E193" s="517"/>
      <c r="F193" s="517"/>
      <c r="G193" s="517"/>
      <c r="H193" s="517"/>
      <c r="I193" s="517"/>
      <c r="J193" s="517"/>
      <c r="K193" s="517"/>
      <c r="L193" s="517"/>
      <c r="M193" s="517"/>
    </row>
    <row r="194" spans="1:13" ht="15">
      <c r="A194" s="503" t="s">
        <v>912</v>
      </c>
      <c r="B194" s="503" t="s">
        <v>968</v>
      </c>
      <c r="C194" s="496"/>
      <c r="D194" s="496"/>
      <c r="E194" s="517"/>
      <c r="F194" s="517"/>
      <c r="G194" s="517"/>
      <c r="H194" s="517"/>
      <c r="I194" s="517"/>
      <c r="J194" s="517"/>
      <c r="K194" s="517"/>
      <c r="L194" s="517"/>
      <c r="M194" s="517"/>
    </row>
    <row r="195" spans="1:13" ht="15">
      <c r="A195" s="496"/>
      <c r="B195" s="503" t="s">
        <v>969</v>
      </c>
      <c r="C195" s="496"/>
      <c r="D195" s="496"/>
      <c r="E195" s="517"/>
      <c r="F195" s="517"/>
      <c r="G195" s="517"/>
      <c r="H195" s="517"/>
      <c r="I195" s="517"/>
      <c r="J195" s="517"/>
      <c r="K195" s="517"/>
      <c r="L195" s="517"/>
      <c r="M195" s="517"/>
    </row>
    <row r="196" spans="1:13" ht="15">
      <c r="A196" s="496"/>
      <c r="B196" s="533" t="s">
        <v>970</v>
      </c>
      <c r="C196" s="496"/>
      <c r="D196" s="496"/>
      <c r="E196" s="517" t="e">
        <f>#REF!</f>
        <v>#REF!</v>
      </c>
      <c r="F196" s="517" t="e">
        <f>#REF!</f>
        <v>#REF!</v>
      </c>
      <c r="G196" s="517" t="e">
        <f>#REF!</f>
        <v>#REF!</v>
      </c>
      <c r="H196" s="517" t="e">
        <f>#REF!</f>
        <v>#REF!</v>
      </c>
      <c r="I196" s="517" t="e">
        <f>#REF!</f>
        <v>#REF!</v>
      </c>
      <c r="J196" s="517" t="e">
        <f>#REF!</f>
        <v>#REF!</v>
      </c>
      <c r="K196" s="517" t="e">
        <f>#REF!</f>
        <v>#REF!</v>
      </c>
      <c r="L196" s="517" t="e">
        <f>#REF!</f>
        <v>#REF!</v>
      </c>
      <c r="M196" s="517" t="e">
        <f>#REF!</f>
        <v>#REF!</v>
      </c>
    </row>
    <row r="197" spans="1:13" ht="15">
      <c r="A197" s="503" t="s">
        <v>915</v>
      </c>
      <c r="B197" s="503" t="s">
        <v>971</v>
      </c>
      <c r="C197" s="496"/>
      <c r="D197" s="496"/>
      <c r="E197" s="517" t="e">
        <f>#REF!</f>
        <v>#REF!</v>
      </c>
      <c r="F197" s="517" t="e">
        <f>#REF!</f>
        <v>#REF!</v>
      </c>
      <c r="G197" s="517" t="e">
        <f>#REF!</f>
        <v>#REF!</v>
      </c>
      <c r="H197" s="517" t="e">
        <f>#REF!</f>
        <v>#REF!</v>
      </c>
      <c r="I197" s="517" t="e">
        <f>#REF!</f>
        <v>#REF!</v>
      </c>
      <c r="J197" s="517" t="e">
        <f>#REF!</f>
        <v>#REF!</v>
      </c>
      <c r="K197" s="517" t="e">
        <f>#REF!</f>
        <v>#REF!</v>
      </c>
      <c r="L197" s="517" t="e">
        <f>#REF!</f>
        <v>#REF!</v>
      </c>
      <c r="M197" s="517" t="e">
        <f>#REF!</f>
        <v>#REF!</v>
      </c>
    </row>
    <row r="198" spans="1:13" ht="15">
      <c r="A198" s="496"/>
      <c r="B198" s="503" t="s">
        <v>972</v>
      </c>
      <c r="C198" s="496"/>
      <c r="D198" s="496"/>
      <c r="E198" s="517"/>
      <c r="F198" s="517"/>
      <c r="G198" s="517"/>
      <c r="H198" s="517"/>
      <c r="I198" s="517"/>
      <c r="J198" s="517"/>
      <c r="K198" s="517"/>
      <c r="L198" s="517"/>
      <c r="M198" s="517"/>
    </row>
    <row r="199" spans="1:13" ht="15">
      <c r="A199" s="496"/>
      <c r="B199" s="503" t="s">
        <v>973</v>
      </c>
      <c r="C199" s="496"/>
      <c r="D199" s="496"/>
      <c r="E199" s="517"/>
      <c r="F199" s="517"/>
      <c r="G199" s="517"/>
      <c r="H199" s="517"/>
      <c r="I199" s="517"/>
      <c r="J199" s="517"/>
      <c r="K199" s="517"/>
      <c r="L199" s="517"/>
      <c r="M199" s="517"/>
    </row>
    <row r="200" spans="1:13" ht="6" customHeight="1">
      <c r="A200" s="496"/>
      <c r="B200" s="496"/>
      <c r="C200" s="496"/>
      <c r="D200" s="496"/>
      <c r="E200" s="517"/>
      <c r="F200" s="517"/>
      <c r="G200" s="517"/>
      <c r="H200" s="517"/>
      <c r="I200" s="517"/>
      <c r="J200" s="517"/>
      <c r="K200" s="517"/>
      <c r="L200" s="517"/>
      <c r="M200" s="517"/>
    </row>
    <row r="201" spans="1:13" ht="15">
      <c r="A201" s="496"/>
      <c r="B201" s="503" t="s">
        <v>974</v>
      </c>
      <c r="C201" s="496"/>
      <c r="D201" s="496"/>
      <c r="E201" s="532" t="e">
        <f t="shared" ref="E201:J201" si="24">SUM(E181:E199)</f>
        <v>#REF!</v>
      </c>
      <c r="F201" s="532" t="e">
        <f t="shared" si="24"/>
        <v>#REF!</v>
      </c>
      <c r="G201" s="532" t="e">
        <f t="shared" si="24"/>
        <v>#REF!</v>
      </c>
      <c r="H201" s="532" t="e">
        <f t="shared" si="24"/>
        <v>#REF!</v>
      </c>
      <c r="I201" s="532" t="e">
        <f t="shared" si="24"/>
        <v>#REF!</v>
      </c>
      <c r="J201" s="532" t="e">
        <f t="shared" si="24"/>
        <v>#REF!</v>
      </c>
      <c r="K201" s="532" t="e">
        <f>SUM(K181:K199)</f>
        <v>#REF!</v>
      </c>
      <c r="L201" s="532" t="e">
        <f>SUM(L181:L199)</f>
        <v>#REF!</v>
      </c>
      <c r="M201" s="532" t="e">
        <f>SUM(M181:M199)</f>
        <v>#REF!</v>
      </c>
    </row>
    <row r="202" spans="1:13" ht="5.25" customHeight="1">
      <c r="A202" s="496"/>
      <c r="B202" s="496"/>
      <c r="C202" s="496"/>
      <c r="D202" s="496"/>
      <c r="E202" s="517"/>
      <c r="F202" s="517"/>
      <c r="G202" s="517"/>
      <c r="H202" s="517"/>
      <c r="I202" s="517"/>
      <c r="J202" s="517"/>
      <c r="K202" s="517"/>
      <c r="L202" s="517"/>
      <c r="M202" s="517"/>
    </row>
    <row r="203" spans="1:13" ht="15.75">
      <c r="A203" s="503" t="s">
        <v>918</v>
      </c>
      <c r="B203" s="512" t="s">
        <v>975</v>
      </c>
      <c r="C203" s="496"/>
      <c r="D203" s="496"/>
      <c r="E203" s="517" t="e">
        <f t="shared" ref="E203:J203" si="25">E179+E201</f>
        <v>#REF!</v>
      </c>
      <c r="F203" s="517" t="e">
        <f t="shared" si="25"/>
        <v>#REF!</v>
      </c>
      <c r="G203" s="517" t="e">
        <f t="shared" si="25"/>
        <v>#REF!</v>
      </c>
      <c r="H203" s="517" t="e">
        <f t="shared" si="25"/>
        <v>#REF!</v>
      </c>
      <c r="I203" s="517" t="e">
        <f t="shared" si="25"/>
        <v>#REF!</v>
      </c>
      <c r="J203" s="517" t="e">
        <f t="shared" si="25"/>
        <v>#REF!</v>
      </c>
      <c r="K203" s="517" t="e">
        <f>K179+K201</f>
        <v>#REF!</v>
      </c>
      <c r="L203" s="517" t="e">
        <f>L179+L201</f>
        <v>#REF!</v>
      </c>
      <c r="M203" s="517" t="e">
        <f>M179+M201</f>
        <v>#REF!</v>
      </c>
    </row>
    <row r="204" spans="1:13" ht="15">
      <c r="A204" s="496"/>
      <c r="B204" s="503" t="s">
        <v>976</v>
      </c>
      <c r="C204" s="496"/>
      <c r="D204" s="496"/>
      <c r="E204" s="517" t="s">
        <v>443</v>
      </c>
      <c r="F204" s="517" t="s">
        <v>443</v>
      </c>
      <c r="G204" s="517" t="s">
        <v>443</v>
      </c>
      <c r="H204" s="517" t="s">
        <v>443</v>
      </c>
      <c r="I204" s="517" t="s">
        <v>443</v>
      </c>
      <c r="J204" s="517" t="s">
        <v>443</v>
      </c>
      <c r="K204" s="517" t="s">
        <v>443</v>
      </c>
      <c r="L204" s="517" t="s">
        <v>443</v>
      </c>
      <c r="M204" s="517" t="s">
        <v>443</v>
      </c>
    </row>
    <row r="205" spans="1:13" ht="6.75" customHeight="1">
      <c r="A205" s="503" t="s">
        <v>872</v>
      </c>
      <c r="B205" s="496"/>
      <c r="C205" s="496"/>
      <c r="D205" s="496"/>
      <c r="E205" s="517"/>
      <c r="F205" s="517"/>
      <c r="G205" s="517"/>
      <c r="H205" s="517"/>
      <c r="I205" s="517"/>
      <c r="J205" s="517"/>
      <c r="K205" s="517"/>
      <c r="L205" s="517"/>
      <c r="M205" s="517"/>
    </row>
    <row r="206" spans="1:13" ht="15.75">
      <c r="A206" s="496"/>
      <c r="B206" s="512" t="s">
        <v>977</v>
      </c>
      <c r="C206" s="496"/>
      <c r="D206" s="496"/>
      <c r="E206" s="517"/>
      <c r="F206" s="517"/>
      <c r="G206" s="517"/>
      <c r="H206" s="517"/>
      <c r="I206" s="517"/>
      <c r="J206" s="517"/>
      <c r="K206" s="517"/>
      <c r="L206" s="517"/>
      <c r="M206" s="517"/>
    </row>
    <row r="207" spans="1:13" ht="6.75" customHeight="1">
      <c r="A207" s="496"/>
      <c r="B207" s="503"/>
      <c r="C207" s="496"/>
      <c r="D207" s="496"/>
      <c r="E207" s="517"/>
      <c r="F207" s="517"/>
      <c r="G207" s="517"/>
      <c r="H207" s="517"/>
      <c r="I207" s="517"/>
      <c r="J207" s="517"/>
      <c r="K207" s="517"/>
      <c r="L207" s="517"/>
      <c r="M207" s="517"/>
    </row>
    <row r="208" spans="1:13" ht="15">
      <c r="A208" s="503" t="s">
        <v>978</v>
      </c>
      <c r="B208" s="503" t="s">
        <v>979</v>
      </c>
      <c r="C208" s="496"/>
      <c r="D208" s="496"/>
      <c r="E208" s="517" t="s">
        <v>443</v>
      </c>
      <c r="F208" s="517" t="s">
        <v>443</v>
      </c>
      <c r="G208" s="517" t="s">
        <v>443</v>
      </c>
      <c r="H208" s="517" t="s">
        <v>443</v>
      </c>
      <c r="I208" s="517" t="s">
        <v>443</v>
      </c>
      <c r="J208" s="517" t="s">
        <v>443</v>
      </c>
      <c r="K208" s="517" t="s">
        <v>443</v>
      </c>
      <c r="L208" s="517" t="s">
        <v>443</v>
      </c>
      <c r="M208" s="517" t="s">
        <v>443</v>
      </c>
    </row>
    <row r="209" spans="1:13" ht="15">
      <c r="A209" s="496"/>
      <c r="B209" s="503" t="s">
        <v>980</v>
      </c>
      <c r="C209" s="496"/>
      <c r="D209" s="496"/>
      <c r="E209" s="517"/>
      <c r="F209" s="517"/>
      <c r="G209" s="517"/>
      <c r="H209" s="517"/>
      <c r="I209" s="517"/>
      <c r="J209" s="517"/>
      <c r="K209" s="517"/>
      <c r="L209" s="517"/>
      <c r="M209" s="517"/>
    </row>
    <row r="210" spans="1:13" ht="7.5" customHeight="1">
      <c r="A210" s="496"/>
      <c r="B210" s="496"/>
      <c r="C210" s="496"/>
      <c r="D210" s="496"/>
      <c r="E210" s="517"/>
      <c r="F210" s="517"/>
      <c r="G210" s="517"/>
      <c r="H210" s="517"/>
      <c r="I210" s="517"/>
      <c r="J210" s="517"/>
      <c r="K210" s="517"/>
      <c r="L210" s="517"/>
      <c r="M210" s="517"/>
    </row>
    <row r="211" spans="1:13" ht="15">
      <c r="A211" s="503" t="s">
        <v>931</v>
      </c>
      <c r="B211" s="503" t="s">
        <v>981</v>
      </c>
      <c r="C211" s="496"/>
      <c r="D211" s="496"/>
      <c r="E211" s="517" t="s">
        <v>443</v>
      </c>
      <c r="F211" s="517" t="s">
        <v>443</v>
      </c>
      <c r="G211" s="517" t="s">
        <v>443</v>
      </c>
      <c r="H211" s="517" t="s">
        <v>443</v>
      </c>
      <c r="I211" s="517" t="s">
        <v>443</v>
      </c>
      <c r="J211" s="517" t="s">
        <v>443</v>
      </c>
      <c r="K211" s="517" t="s">
        <v>443</v>
      </c>
      <c r="L211" s="517" t="s">
        <v>443</v>
      </c>
      <c r="M211" s="517" t="s">
        <v>443</v>
      </c>
    </row>
    <row r="212" spans="1:13" ht="15">
      <c r="A212" s="496"/>
      <c r="B212" s="503" t="s">
        <v>982</v>
      </c>
      <c r="C212" s="496"/>
      <c r="D212" s="496"/>
      <c r="E212" s="517"/>
      <c r="F212" s="517"/>
      <c r="G212" s="517"/>
      <c r="H212" s="517"/>
      <c r="I212" s="517"/>
      <c r="J212" s="517"/>
      <c r="K212" s="517"/>
      <c r="L212" s="517"/>
      <c r="M212" s="517"/>
    </row>
    <row r="213" spans="1:13" ht="5.25" customHeight="1">
      <c r="A213" s="496"/>
      <c r="B213" s="496"/>
      <c r="C213" s="496"/>
      <c r="D213" s="496"/>
      <c r="E213" s="517"/>
      <c r="F213" s="517"/>
      <c r="G213" s="517"/>
      <c r="H213" s="517"/>
      <c r="I213" s="517"/>
      <c r="J213" s="517"/>
      <c r="K213" s="517"/>
      <c r="L213" s="517"/>
      <c r="M213" s="517"/>
    </row>
    <row r="214" spans="1:13" ht="15">
      <c r="A214" s="503" t="s">
        <v>934</v>
      </c>
      <c r="B214" s="503" t="s">
        <v>983</v>
      </c>
      <c r="C214" s="496"/>
      <c r="D214" s="496"/>
      <c r="E214" s="517"/>
      <c r="F214" s="517"/>
      <c r="G214" s="517"/>
      <c r="H214" s="517"/>
      <c r="I214" s="517"/>
      <c r="J214" s="517"/>
      <c r="K214" s="517"/>
      <c r="L214" s="517"/>
      <c r="M214" s="517"/>
    </row>
    <row r="215" spans="1:13" ht="15">
      <c r="A215" s="496"/>
      <c r="B215" s="503" t="s">
        <v>984</v>
      </c>
      <c r="C215" s="496"/>
      <c r="D215" s="534"/>
      <c r="E215" s="517"/>
      <c r="F215" s="517"/>
      <c r="G215" s="517"/>
      <c r="H215" s="517"/>
      <c r="I215" s="517"/>
      <c r="J215" s="517"/>
      <c r="K215" s="517"/>
      <c r="L215" s="517"/>
      <c r="M215" s="517"/>
    </row>
    <row r="216" spans="1:13" ht="15">
      <c r="A216" s="496"/>
      <c r="B216" s="533" t="s">
        <v>970</v>
      </c>
      <c r="C216" s="496"/>
      <c r="D216" s="534"/>
      <c r="E216" s="517" t="e">
        <f>#REF!</f>
        <v>#REF!</v>
      </c>
      <c r="F216" s="517" t="e">
        <f>#REF!</f>
        <v>#REF!</v>
      </c>
      <c r="G216" s="517" t="e">
        <f>#REF!</f>
        <v>#REF!</v>
      </c>
      <c r="H216" s="517" t="e">
        <f>#REF!</f>
        <v>#REF!</v>
      </c>
      <c r="I216" s="517" t="e">
        <f>#REF!</f>
        <v>#REF!</v>
      </c>
      <c r="J216" s="517" t="e">
        <f>#REF!</f>
        <v>#REF!</v>
      </c>
      <c r="K216" s="517" t="e">
        <f>#REF!</f>
        <v>#REF!</v>
      </c>
      <c r="L216" s="517" t="e">
        <f>#REF!</f>
        <v>#REF!</v>
      </c>
      <c r="M216" s="517" t="e">
        <f>#REF!</f>
        <v>#REF!</v>
      </c>
    </row>
    <row r="217" spans="1:13" ht="15">
      <c r="A217" s="503" t="s">
        <v>936</v>
      </c>
      <c r="B217" s="503" t="s">
        <v>985</v>
      </c>
      <c r="C217" s="496"/>
      <c r="D217" s="496"/>
      <c r="E217" s="517">
        <v>0</v>
      </c>
      <c r="F217" s="517">
        <v>0</v>
      </c>
      <c r="G217" s="517">
        <v>0</v>
      </c>
      <c r="H217" s="517">
        <v>0</v>
      </c>
      <c r="I217" s="517">
        <v>0</v>
      </c>
      <c r="J217" s="517">
        <v>0</v>
      </c>
      <c r="K217" s="517">
        <v>0</v>
      </c>
      <c r="L217" s="517">
        <v>0</v>
      </c>
      <c r="M217" s="517">
        <v>0</v>
      </c>
    </row>
    <row r="218" spans="1:13" ht="6.75" customHeight="1">
      <c r="A218" s="496"/>
      <c r="B218" s="496"/>
      <c r="C218" s="496"/>
      <c r="D218" s="496"/>
      <c r="E218" s="517"/>
      <c r="F218" s="517"/>
      <c r="G218" s="517"/>
      <c r="H218" s="517"/>
      <c r="I218" s="517"/>
      <c r="J218" s="517"/>
      <c r="K218" s="517"/>
      <c r="L218" s="517"/>
      <c r="M218" s="517"/>
    </row>
    <row r="219" spans="1:13" ht="15">
      <c r="A219" s="503" t="s">
        <v>938</v>
      </c>
      <c r="B219" s="503" t="s">
        <v>986</v>
      </c>
      <c r="C219" s="496"/>
      <c r="D219" s="496"/>
      <c r="E219" s="517"/>
      <c r="F219" s="517"/>
      <c r="G219" s="517"/>
      <c r="H219" s="517"/>
      <c r="I219" s="517"/>
      <c r="J219" s="517"/>
      <c r="K219" s="517"/>
      <c r="L219" s="517"/>
      <c r="M219" s="517"/>
    </row>
    <row r="220" spans="1:13" ht="15">
      <c r="A220" s="496"/>
      <c r="B220" s="503" t="s">
        <v>987</v>
      </c>
      <c r="C220" s="496"/>
      <c r="D220" s="496"/>
      <c r="E220" s="517"/>
      <c r="F220" s="517"/>
      <c r="G220" s="517"/>
      <c r="H220" s="517"/>
      <c r="I220" s="517"/>
      <c r="J220" s="517"/>
      <c r="K220" s="517"/>
      <c r="L220" s="517"/>
      <c r="M220" s="517"/>
    </row>
    <row r="221" spans="1:13" ht="15" hidden="1">
      <c r="A221" s="496"/>
      <c r="B221" s="503"/>
      <c r="C221" s="496"/>
      <c r="D221" s="496"/>
      <c r="E221" s="517"/>
      <c r="F221" s="517"/>
      <c r="G221" s="517"/>
      <c r="H221" s="517"/>
      <c r="I221" s="517"/>
      <c r="J221" s="517"/>
      <c r="K221" s="517"/>
      <c r="L221" s="517"/>
      <c r="M221" s="517"/>
    </row>
    <row r="222" spans="1:13" ht="15" hidden="1">
      <c r="A222" s="496"/>
      <c r="B222" s="503" t="s">
        <v>872</v>
      </c>
      <c r="C222" s="496"/>
      <c r="D222" s="496"/>
      <c r="E222" s="517"/>
      <c r="F222" s="517"/>
      <c r="G222" s="517"/>
      <c r="H222" s="517"/>
      <c r="I222" s="517"/>
      <c r="J222" s="517"/>
      <c r="K222" s="517"/>
      <c r="L222" s="517"/>
      <c r="M222" s="517"/>
    </row>
    <row r="223" spans="1:13" ht="15">
      <c r="A223" s="503" t="s">
        <v>942</v>
      </c>
      <c r="B223" s="503" t="s">
        <v>988</v>
      </c>
      <c r="C223" s="496"/>
      <c r="D223" s="496"/>
      <c r="E223" s="517" t="e">
        <f>#REF!</f>
        <v>#REF!</v>
      </c>
      <c r="F223" s="517" t="e">
        <f>#REF!</f>
        <v>#REF!</v>
      </c>
      <c r="G223" s="517" t="e">
        <f>#REF!</f>
        <v>#REF!</v>
      </c>
      <c r="H223" s="517" t="e">
        <f>#REF!</f>
        <v>#REF!</v>
      </c>
      <c r="I223" s="517" t="e">
        <f>#REF!</f>
        <v>#REF!</v>
      </c>
      <c r="J223" s="517" t="e">
        <f>#REF!</f>
        <v>#REF!</v>
      </c>
      <c r="K223" s="517" t="e">
        <f>#REF!</f>
        <v>#REF!</v>
      </c>
      <c r="L223" s="517" t="e">
        <f>#REF!</f>
        <v>#REF!</v>
      </c>
      <c r="M223" s="517" t="e">
        <f>#REF!</f>
        <v>#REF!</v>
      </c>
    </row>
    <row r="224" spans="1:13" ht="15">
      <c r="A224" s="496"/>
      <c r="B224" s="496"/>
      <c r="C224" s="496" t="s">
        <v>277</v>
      </c>
      <c r="D224" s="496"/>
      <c r="E224" s="496"/>
      <c r="F224" s="496"/>
      <c r="G224" s="496"/>
      <c r="H224" s="496"/>
      <c r="I224" s="496"/>
      <c r="J224" s="496"/>
      <c r="K224" s="496"/>
      <c r="L224" s="496"/>
      <c r="M224" s="496"/>
    </row>
    <row r="225" spans="1:13" ht="15.75">
      <c r="A225" s="503" t="s">
        <v>944</v>
      </c>
      <c r="B225" s="512" t="s">
        <v>989</v>
      </c>
      <c r="C225" s="496"/>
      <c r="D225" s="496"/>
      <c r="E225" s="532" t="e">
        <f t="shared" ref="E225:J225" si="26">SUM(E208:E223)</f>
        <v>#REF!</v>
      </c>
      <c r="F225" s="532" t="e">
        <f t="shared" si="26"/>
        <v>#REF!</v>
      </c>
      <c r="G225" s="532" t="e">
        <f t="shared" si="26"/>
        <v>#REF!</v>
      </c>
      <c r="H225" s="532" t="e">
        <f t="shared" si="26"/>
        <v>#REF!</v>
      </c>
      <c r="I225" s="532" t="e">
        <f t="shared" si="26"/>
        <v>#REF!</v>
      </c>
      <c r="J225" s="532" t="e">
        <f t="shared" si="26"/>
        <v>#REF!</v>
      </c>
      <c r="K225" s="532" t="e">
        <f>SUM(K208:K223)</f>
        <v>#REF!</v>
      </c>
      <c r="L225" s="532" t="e">
        <f>SUM(L208:L223)</f>
        <v>#REF!</v>
      </c>
      <c r="M225" s="532" t="e">
        <f>SUM(M208:M223)</f>
        <v>#REF!</v>
      </c>
    </row>
    <row r="226" spans="1:13" ht="15">
      <c r="A226" s="496"/>
      <c r="B226" s="496"/>
      <c r="C226" s="496"/>
      <c r="D226" s="496"/>
      <c r="E226" s="517" t="s">
        <v>443</v>
      </c>
      <c r="F226" s="517" t="s">
        <v>443</v>
      </c>
      <c r="G226" s="517" t="s">
        <v>443</v>
      </c>
      <c r="H226" s="517" t="s">
        <v>443</v>
      </c>
      <c r="I226" s="517" t="s">
        <v>443</v>
      </c>
      <c r="J226" s="517" t="s">
        <v>443</v>
      </c>
      <c r="K226" s="517" t="s">
        <v>443</v>
      </c>
      <c r="L226" s="517" t="s">
        <v>443</v>
      </c>
      <c r="M226" s="517" t="s">
        <v>443</v>
      </c>
    </row>
    <row r="227" spans="1:13" ht="15.75">
      <c r="A227" s="503" t="s">
        <v>990</v>
      </c>
      <c r="B227" s="512" t="s">
        <v>991</v>
      </c>
      <c r="C227" s="496"/>
      <c r="D227" s="496"/>
      <c r="E227" s="517" t="e">
        <f t="shared" ref="E227:J227" si="27">E203+E225</f>
        <v>#REF!</v>
      </c>
      <c r="F227" s="517" t="e">
        <f t="shared" si="27"/>
        <v>#REF!</v>
      </c>
      <c r="G227" s="517" t="e">
        <f t="shared" si="27"/>
        <v>#REF!</v>
      </c>
      <c r="H227" s="517" t="e">
        <f t="shared" si="27"/>
        <v>#REF!</v>
      </c>
      <c r="I227" s="517" t="e">
        <f t="shared" si="27"/>
        <v>#REF!</v>
      </c>
      <c r="J227" s="517" t="e">
        <f t="shared" si="27"/>
        <v>#REF!</v>
      </c>
      <c r="K227" s="517" t="e">
        <f>K203+K225</f>
        <v>#REF!</v>
      </c>
      <c r="L227" s="517" t="e">
        <f>L203+L225</f>
        <v>#REF!</v>
      </c>
      <c r="M227" s="517" t="e">
        <f>M203+M225</f>
        <v>#REF!</v>
      </c>
    </row>
    <row r="228" spans="1:13" ht="15">
      <c r="A228" s="496"/>
      <c r="B228" s="503" t="s">
        <v>992</v>
      </c>
      <c r="C228" s="496"/>
      <c r="D228" s="496"/>
      <c r="E228" s="517" t="s">
        <v>443</v>
      </c>
      <c r="F228" s="517" t="s">
        <v>443</v>
      </c>
      <c r="G228" s="517" t="s">
        <v>443</v>
      </c>
      <c r="H228" s="517" t="s">
        <v>443</v>
      </c>
      <c r="I228" s="517" t="s">
        <v>443</v>
      </c>
      <c r="J228" s="517" t="s">
        <v>443</v>
      </c>
      <c r="K228" s="517" t="s">
        <v>443</v>
      </c>
      <c r="L228" s="517" t="s">
        <v>443</v>
      </c>
      <c r="M228" s="517" t="s">
        <v>443</v>
      </c>
    </row>
    <row r="229" spans="1:13" ht="15">
      <c r="A229" s="496"/>
      <c r="B229" s="503"/>
      <c r="C229" s="496"/>
      <c r="D229" s="496"/>
      <c r="E229" s="517"/>
      <c r="F229" s="517"/>
      <c r="G229" s="517"/>
      <c r="H229" s="517"/>
      <c r="I229" s="517"/>
      <c r="J229" s="517"/>
      <c r="K229" s="517"/>
      <c r="L229" s="517"/>
      <c r="M229" s="517"/>
    </row>
    <row r="230" spans="1:13" ht="15">
      <c r="A230" s="496"/>
      <c r="B230" s="503"/>
      <c r="C230" s="496"/>
      <c r="D230" s="496"/>
      <c r="E230" s="517"/>
      <c r="F230" s="517"/>
      <c r="G230" s="517"/>
      <c r="H230" s="517"/>
      <c r="I230" s="517"/>
      <c r="J230" s="517"/>
      <c r="K230" s="517"/>
      <c r="L230" s="517"/>
      <c r="M230" s="517"/>
    </row>
    <row r="231" spans="1:13" ht="15">
      <c r="A231" s="496"/>
      <c r="B231" s="503"/>
      <c r="C231" s="496"/>
      <c r="D231" s="496"/>
      <c r="E231" s="517"/>
      <c r="F231" s="517"/>
      <c r="G231" s="517"/>
      <c r="H231" s="517"/>
      <c r="I231" s="517"/>
      <c r="J231" s="517"/>
      <c r="K231" s="517"/>
      <c r="L231" s="517"/>
      <c r="M231" s="517"/>
    </row>
    <row r="232" spans="1:13" ht="15">
      <c r="A232" s="496"/>
      <c r="B232" s="503"/>
      <c r="C232" s="496"/>
      <c r="D232" s="496"/>
      <c r="E232" s="517"/>
      <c r="F232" s="517"/>
      <c r="G232" s="517"/>
      <c r="H232" s="517"/>
      <c r="I232" s="517"/>
      <c r="J232" s="517"/>
      <c r="K232" s="517"/>
      <c r="L232" s="517"/>
      <c r="M232" s="517"/>
    </row>
    <row r="233" spans="1:13" ht="15">
      <c r="A233" s="496"/>
      <c r="B233" s="503"/>
      <c r="C233" s="496"/>
      <c r="D233" s="496"/>
      <c r="E233" s="517"/>
      <c r="F233" s="517"/>
      <c r="G233" s="517"/>
      <c r="H233" s="517"/>
      <c r="I233" s="517"/>
      <c r="J233" s="517"/>
      <c r="K233" s="517"/>
      <c r="L233" s="517"/>
      <c r="M233" s="517"/>
    </row>
    <row r="234" spans="1:13" ht="15">
      <c r="A234" s="496"/>
      <c r="B234" s="503"/>
      <c r="C234" s="496"/>
      <c r="D234" s="496"/>
      <c r="E234" s="517"/>
      <c r="F234" s="517"/>
      <c r="G234" s="517"/>
      <c r="H234" s="517"/>
      <c r="I234" s="517"/>
      <c r="J234" s="517"/>
      <c r="K234" s="517"/>
      <c r="L234" s="517"/>
      <c r="M234" s="517"/>
    </row>
    <row r="235" spans="1:13" ht="15">
      <c r="A235" s="496"/>
      <c r="B235" s="503"/>
      <c r="C235" s="496"/>
      <c r="D235" s="496"/>
      <c r="E235" s="517"/>
      <c r="F235" s="517"/>
      <c r="G235" s="517"/>
      <c r="H235" s="517"/>
      <c r="I235" s="517"/>
      <c r="J235" s="517"/>
      <c r="K235" s="517"/>
      <c r="L235" s="517"/>
      <c r="M235" s="517"/>
    </row>
    <row r="236" spans="1:13" ht="15">
      <c r="A236" s="496"/>
      <c r="B236" s="503"/>
      <c r="C236" s="496"/>
      <c r="D236" s="496"/>
      <c r="E236" s="517"/>
      <c r="F236" s="517"/>
      <c r="G236" s="517"/>
      <c r="H236" s="517"/>
      <c r="I236" s="517"/>
      <c r="J236" s="517"/>
      <c r="K236" s="517"/>
      <c r="L236" s="517"/>
      <c r="M236" s="517"/>
    </row>
    <row r="237" spans="1:13" ht="15">
      <c r="A237" s="496"/>
      <c r="B237" s="503"/>
      <c r="C237" s="496"/>
      <c r="D237" s="496"/>
      <c r="E237" s="517"/>
      <c r="F237" s="517"/>
      <c r="G237" s="517"/>
      <c r="H237" s="517"/>
      <c r="I237" s="517"/>
      <c r="J237" s="517"/>
      <c r="K237" s="517"/>
      <c r="L237" s="517"/>
      <c r="M237" s="517"/>
    </row>
    <row r="238" spans="1:13" ht="15">
      <c r="A238" s="496"/>
      <c r="B238" s="503"/>
      <c r="C238" s="496"/>
      <c r="D238" s="496"/>
      <c r="E238" s="517"/>
      <c r="F238" s="517"/>
      <c r="G238" s="517"/>
      <c r="H238" s="517"/>
      <c r="I238" s="517"/>
      <c r="J238" s="517"/>
      <c r="K238" s="517"/>
      <c r="L238" s="517"/>
      <c r="M238" s="517"/>
    </row>
    <row r="239" spans="1:13" ht="15">
      <c r="A239" s="496"/>
      <c r="B239" s="503"/>
      <c r="C239" s="496"/>
      <c r="D239" s="496"/>
      <c r="E239" s="517"/>
      <c r="F239" s="517"/>
      <c r="G239" s="517"/>
      <c r="H239" s="517"/>
      <c r="I239" s="517"/>
      <c r="J239" s="517"/>
      <c r="K239" s="517"/>
      <c r="L239" s="517"/>
      <c r="M239" s="517"/>
    </row>
    <row r="240" spans="1:13" ht="15">
      <c r="A240" s="496"/>
      <c r="B240" s="503"/>
      <c r="C240" s="496"/>
      <c r="D240" s="496"/>
      <c r="E240" s="517"/>
      <c r="F240" s="517"/>
      <c r="G240" s="517"/>
      <c r="H240" s="517"/>
      <c r="I240" s="517"/>
      <c r="J240" s="517"/>
      <c r="K240" s="517"/>
      <c r="L240" s="517"/>
      <c r="M240" s="517"/>
    </row>
    <row r="241" spans="1:13" ht="15">
      <c r="A241" s="496"/>
      <c r="B241" s="503"/>
      <c r="C241" s="496"/>
      <c r="D241" s="496"/>
      <c r="E241" s="517"/>
      <c r="F241" s="517"/>
      <c r="G241" s="517"/>
      <c r="H241" s="517"/>
      <c r="I241" s="517"/>
      <c r="J241" s="517"/>
      <c r="K241" s="517"/>
      <c r="L241" s="517"/>
      <c r="M241" s="517"/>
    </row>
    <row r="242" spans="1:13" ht="15">
      <c r="A242" s="496"/>
      <c r="B242" s="503"/>
      <c r="C242" s="496"/>
      <c r="D242" s="496"/>
      <c r="E242" s="517"/>
      <c r="F242" s="517"/>
      <c r="G242" s="517"/>
      <c r="H242" s="517"/>
      <c r="I242" s="517"/>
      <c r="J242" s="517"/>
      <c r="K242" s="517"/>
      <c r="L242" s="517"/>
      <c r="M242" s="517"/>
    </row>
    <row r="243" spans="1:13" ht="15">
      <c r="A243" s="496"/>
      <c r="B243" s="503"/>
      <c r="C243" s="496"/>
      <c r="D243" s="496"/>
      <c r="E243" s="517"/>
      <c r="F243" s="517"/>
      <c r="G243" s="517"/>
      <c r="H243" s="517"/>
      <c r="I243" s="517"/>
      <c r="J243" s="517"/>
      <c r="K243" s="517"/>
      <c r="L243" s="517"/>
      <c r="M243" s="517"/>
    </row>
    <row r="244" spans="1:13" ht="15">
      <c r="A244" s="496"/>
      <c r="B244" s="503"/>
      <c r="C244" s="496"/>
      <c r="D244" s="496"/>
      <c r="E244" s="517"/>
      <c r="F244" s="517"/>
      <c r="G244" s="517"/>
      <c r="H244" s="517"/>
      <c r="I244" s="517"/>
      <c r="J244" s="517"/>
      <c r="K244" s="517"/>
      <c r="L244" s="517"/>
      <c r="M244" s="517"/>
    </row>
    <row r="245" spans="1:13" ht="15">
      <c r="A245" s="496"/>
      <c r="B245" s="503"/>
      <c r="C245" s="496"/>
      <c r="D245" s="496"/>
      <c r="E245" s="517"/>
      <c r="F245" s="517"/>
      <c r="G245" s="517"/>
      <c r="H245" s="517"/>
      <c r="I245" s="517"/>
      <c r="J245" s="517"/>
      <c r="K245" s="517"/>
      <c r="L245" s="517"/>
      <c r="M245" s="517"/>
    </row>
    <row r="246" spans="1:13" ht="15">
      <c r="A246" s="496"/>
      <c r="B246" s="503"/>
      <c r="C246" s="496"/>
      <c r="D246" s="496"/>
      <c r="E246" s="517"/>
      <c r="F246" s="517"/>
      <c r="G246" s="517"/>
      <c r="H246" s="517"/>
      <c r="I246" s="517"/>
      <c r="J246" s="517"/>
      <c r="K246" s="517"/>
      <c r="L246" s="517"/>
      <c r="M246" s="517"/>
    </row>
    <row r="247" spans="1:13" ht="15">
      <c r="A247" s="496"/>
      <c r="B247" s="503"/>
      <c r="C247" s="496"/>
      <c r="D247" s="496"/>
      <c r="E247" s="517"/>
      <c r="F247" s="517"/>
      <c r="G247" s="517"/>
      <c r="H247" s="517"/>
      <c r="I247" s="517"/>
      <c r="J247" s="517"/>
      <c r="K247" s="517"/>
      <c r="L247" s="517"/>
      <c r="M247" s="517"/>
    </row>
    <row r="248" spans="1:13" ht="15.75">
      <c r="A248" s="496"/>
      <c r="B248" s="512" t="s">
        <v>993</v>
      </c>
      <c r="C248" s="496"/>
      <c r="D248" s="496"/>
      <c r="E248" s="517"/>
      <c r="F248" s="517"/>
      <c r="G248" s="517"/>
      <c r="H248" s="517"/>
      <c r="I248" s="517"/>
      <c r="J248" s="517"/>
      <c r="K248" s="517"/>
      <c r="L248" s="517"/>
      <c r="M248" s="517"/>
    </row>
    <row r="249" spans="1:13" ht="15">
      <c r="A249" s="496"/>
      <c r="B249" s="503"/>
      <c r="C249" s="496"/>
      <c r="D249" s="496"/>
      <c r="E249" s="517"/>
      <c r="F249" s="517"/>
      <c r="G249" s="517"/>
      <c r="H249" s="517"/>
      <c r="I249" s="517"/>
      <c r="J249" s="517"/>
      <c r="K249" s="517"/>
      <c r="L249" s="517"/>
      <c r="M249" s="517"/>
    </row>
    <row r="250" spans="1:13" ht="15">
      <c r="A250" s="503" t="s">
        <v>994</v>
      </c>
      <c r="B250" s="503" t="s">
        <v>995</v>
      </c>
      <c r="C250" s="496"/>
      <c r="D250" s="496"/>
      <c r="E250" s="517" t="e">
        <f>#REF!</f>
        <v>#REF!</v>
      </c>
      <c r="F250" s="517" t="e">
        <f>#REF!</f>
        <v>#REF!</v>
      </c>
      <c r="G250" s="517" t="e">
        <f>#REF!</f>
        <v>#REF!</v>
      </c>
      <c r="H250" s="517" t="e">
        <f>#REF!</f>
        <v>#REF!</v>
      </c>
      <c r="I250" s="517" t="e">
        <f>#REF!</f>
        <v>#REF!</v>
      </c>
      <c r="J250" s="517" t="e">
        <f>#REF!</f>
        <v>#REF!</v>
      </c>
      <c r="K250" s="517" t="e">
        <f>#REF!</f>
        <v>#REF!</v>
      </c>
      <c r="L250" s="517" t="e">
        <f>#REF!</f>
        <v>#REF!</v>
      </c>
      <c r="M250" s="517" t="e">
        <f>#REF!</f>
        <v>#REF!</v>
      </c>
    </row>
    <row r="251" spans="1:13" ht="15">
      <c r="A251" s="496"/>
      <c r="B251" s="496"/>
      <c r="C251" s="496"/>
      <c r="D251" s="496"/>
      <c r="E251" s="517"/>
      <c r="F251" s="517"/>
      <c r="G251" s="517"/>
      <c r="H251" s="517"/>
      <c r="I251" s="517"/>
      <c r="J251" s="517"/>
      <c r="K251" s="517"/>
      <c r="L251" s="517"/>
      <c r="M251" s="517"/>
    </row>
    <row r="252" spans="1:13" ht="15">
      <c r="A252" s="503" t="s">
        <v>996</v>
      </c>
      <c r="B252" s="503" t="s">
        <v>997</v>
      </c>
      <c r="C252" s="496"/>
      <c r="D252" s="496"/>
      <c r="E252" s="517" t="s">
        <v>443</v>
      </c>
      <c r="F252" s="517" t="s">
        <v>443</v>
      </c>
      <c r="G252" s="517" t="s">
        <v>443</v>
      </c>
      <c r="H252" s="517" t="s">
        <v>443</v>
      </c>
      <c r="I252" s="517" t="s">
        <v>443</v>
      </c>
      <c r="J252" s="517" t="s">
        <v>443</v>
      </c>
      <c r="K252" s="517" t="s">
        <v>443</v>
      </c>
      <c r="L252" s="517" t="s">
        <v>443</v>
      </c>
      <c r="M252" s="517" t="s">
        <v>443</v>
      </c>
    </row>
    <row r="253" spans="1:13" ht="15">
      <c r="A253" s="496"/>
      <c r="B253" s="496"/>
      <c r="C253" s="496"/>
      <c r="D253" s="496"/>
      <c r="E253" s="517"/>
      <c r="F253" s="517"/>
      <c r="G253" s="517"/>
      <c r="H253" s="517"/>
      <c r="I253" s="517"/>
      <c r="J253" s="517"/>
      <c r="K253" s="517"/>
      <c r="L253" s="517"/>
      <c r="M253" s="517"/>
    </row>
    <row r="254" spans="1:13" ht="15">
      <c r="A254" s="503" t="s">
        <v>998</v>
      </c>
      <c r="B254" s="503" t="s">
        <v>999</v>
      </c>
      <c r="C254" s="496"/>
      <c r="D254" s="496"/>
      <c r="E254" s="517" t="s">
        <v>443</v>
      </c>
      <c r="F254" s="517" t="s">
        <v>443</v>
      </c>
      <c r="G254" s="517" t="s">
        <v>443</v>
      </c>
      <c r="H254" s="517" t="s">
        <v>443</v>
      </c>
      <c r="I254" s="517" t="s">
        <v>443</v>
      </c>
      <c r="J254" s="517" t="s">
        <v>443</v>
      </c>
      <c r="K254" s="517" t="s">
        <v>443</v>
      </c>
      <c r="L254" s="517" t="s">
        <v>443</v>
      </c>
      <c r="M254" s="517" t="s">
        <v>443</v>
      </c>
    </row>
    <row r="255" spans="1:13" ht="15">
      <c r="A255" s="496"/>
      <c r="B255" s="496"/>
      <c r="C255" s="496"/>
      <c r="D255" s="496"/>
      <c r="E255" s="517"/>
      <c r="F255" s="517"/>
      <c r="G255" s="517"/>
      <c r="H255" s="517"/>
      <c r="I255" s="517"/>
      <c r="J255" s="517"/>
      <c r="K255" s="517"/>
      <c r="L255" s="517"/>
      <c r="M255" s="517"/>
    </row>
    <row r="256" spans="1:13" ht="15">
      <c r="A256" s="503" t="s">
        <v>1000</v>
      </c>
      <c r="B256" s="503" t="s">
        <v>1001</v>
      </c>
      <c r="C256" s="496"/>
      <c r="D256" s="496"/>
      <c r="E256" s="517" t="s">
        <v>443</v>
      </c>
      <c r="F256" s="517" t="s">
        <v>443</v>
      </c>
      <c r="G256" s="517" t="s">
        <v>443</v>
      </c>
      <c r="H256" s="517" t="s">
        <v>443</v>
      </c>
      <c r="I256" s="517" t="s">
        <v>443</v>
      </c>
      <c r="J256" s="517" t="s">
        <v>443</v>
      </c>
      <c r="K256" s="517" t="s">
        <v>443</v>
      </c>
      <c r="L256" s="517" t="s">
        <v>443</v>
      </c>
      <c r="M256" s="517" t="s">
        <v>443</v>
      </c>
    </row>
    <row r="257" spans="1:13" ht="15">
      <c r="A257" s="503"/>
      <c r="B257" s="503"/>
      <c r="C257" s="496"/>
      <c r="D257" s="496"/>
      <c r="E257" s="517"/>
      <c r="F257" s="517"/>
      <c r="G257" s="517"/>
      <c r="H257" s="517"/>
      <c r="I257" s="517"/>
      <c r="J257" s="517"/>
      <c r="K257" s="517"/>
      <c r="L257" s="517"/>
      <c r="M257" s="517"/>
    </row>
    <row r="258" spans="1:13" ht="15">
      <c r="A258" s="503" t="s">
        <v>1002</v>
      </c>
      <c r="B258" s="503" t="s">
        <v>1003</v>
      </c>
      <c r="C258" s="496"/>
      <c r="D258" s="496"/>
      <c r="E258" s="517"/>
      <c r="F258" s="517"/>
      <c r="G258" s="517"/>
      <c r="H258" s="517"/>
      <c r="I258" s="517"/>
      <c r="J258" s="517"/>
      <c r="K258" s="517"/>
      <c r="L258" s="517"/>
      <c r="M258" s="517"/>
    </row>
    <row r="259" spans="1:13" ht="15">
      <c r="A259" s="496"/>
      <c r="B259" s="503" t="s">
        <v>1004</v>
      </c>
      <c r="C259" s="496"/>
      <c r="D259" s="496"/>
      <c r="E259" s="517" t="e">
        <f>#REF!</f>
        <v>#REF!</v>
      </c>
      <c r="F259" s="517" t="e">
        <f>#REF!</f>
        <v>#REF!</v>
      </c>
      <c r="G259" s="517" t="e">
        <f>#REF!</f>
        <v>#REF!</v>
      </c>
      <c r="H259" s="517" t="e">
        <f>#REF!</f>
        <v>#REF!</v>
      </c>
      <c r="I259" s="517" t="e">
        <f>#REF!</f>
        <v>#REF!</v>
      </c>
      <c r="J259" s="517" t="e">
        <f>#REF!</f>
        <v>#REF!</v>
      </c>
      <c r="K259" s="517" t="e">
        <f>#REF!</f>
        <v>#REF!</v>
      </c>
      <c r="L259" s="517" t="e">
        <f>#REF!</f>
        <v>#REF!</v>
      </c>
      <c r="M259" s="517" t="e">
        <f>#REF!</f>
        <v>#REF!</v>
      </c>
    </row>
    <row r="260" spans="1:13" ht="15">
      <c r="A260" s="496"/>
      <c r="B260" s="503"/>
      <c r="C260" s="496"/>
      <c r="D260" s="496"/>
      <c r="E260" s="517"/>
      <c r="F260" s="517"/>
      <c r="G260" s="517"/>
      <c r="H260" s="517"/>
      <c r="I260" s="517"/>
      <c r="J260" s="517"/>
      <c r="K260" s="517"/>
      <c r="L260" s="517"/>
      <c r="M260" s="517"/>
    </row>
    <row r="261" spans="1:13" ht="15">
      <c r="A261" s="503" t="s">
        <v>1005</v>
      </c>
      <c r="B261" s="503" t="s">
        <v>1006</v>
      </c>
      <c r="C261" s="496"/>
      <c r="D261" s="496"/>
      <c r="E261" s="517" t="s">
        <v>443</v>
      </c>
      <c r="F261" s="517" t="s">
        <v>443</v>
      </c>
      <c r="G261" s="517" t="s">
        <v>443</v>
      </c>
      <c r="H261" s="517" t="s">
        <v>443</v>
      </c>
      <c r="I261" s="517" t="s">
        <v>443</v>
      </c>
      <c r="J261" s="517" t="s">
        <v>443</v>
      </c>
      <c r="K261" s="517" t="s">
        <v>443</v>
      </c>
      <c r="L261" s="517" t="s">
        <v>443</v>
      </c>
      <c r="M261" s="517" t="s">
        <v>443</v>
      </c>
    </row>
    <row r="262" spans="1:13" ht="15">
      <c r="A262" s="503" t="s">
        <v>1007</v>
      </c>
      <c r="B262" s="535" t="s">
        <v>993</v>
      </c>
      <c r="C262" s="496"/>
      <c r="D262" s="496"/>
      <c r="E262" s="517" t="e">
        <f t="shared" ref="E262:J262" si="28">SUM(E250:E261)</f>
        <v>#REF!</v>
      </c>
      <c r="F262" s="517" t="e">
        <f t="shared" si="28"/>
        <v>#REF!</v>
      </c>
      <c r="G262" s="517" t="e">
        <f t="shared" si="28"/>
        <v>#REF!</v>
      </c>
      <c r="H262" s="517" t="e">
        <f t="shared" si="28"/>
        <v>#REF!</v>
      </c>
      <c r="I262" s="517" t="e">
        <f t="shared" si="28"/>
        <v>#REF!</v>
      </c>
      <c r="J262" s="517" t="e">
        <f t="shared" si="28"/>
        <v>#REF!</v>
      </c>
      <c r="K262" s="517" t="e">
        <f>SUM(K250:K261)</f>
        <v>#REF!</v>
      </c>
      <c r="L262" s="517" t="e">
        <f>SUM(L250:L261)</f>
        <v>#REF!</v>
      </c>
      <c r="M262" s="517" t="e">
        <f>SUM(M250:M261)</f>
        <v>#REF!</v>
      </c>
    </row>
    <row r="263" spans="1:13" ht="15">
      <c r="A263" s="496"/>
      <c r="B263" s="496"/>
      <c r="C263" s="496"/>
      <c r="D263" s="496"/>
      <c r="E263" s="517"/>
      <c r="F263" s="517"/>
      <c r="G263" s="517"/>
      <c r="H263" s="517"/>
      <c r="I263" s="517"/>
      <c r="J263" s="517"/>
      <c r="K263" s="517"/>
      <c r="L263" s="517"/>
      <c r="M263" s="517"/>
    </row>
    <row r="264" spans="1:13" ht="16.5" thickBot="1">
      <c r="A264" s="503" t="s">
        <v>1008</v>
      </c>
      <c r="B264" s="512" t="s">
        <v>1009</v>
      </c>
      <c r="C264" s="496"/>
      <c r="D264" s="496"/>
      <c r="E264" s="536" t="e">
        <f t="shared" ref="E264:J264" si="29">E262+E227</f>
        <v>#REF!</v>
      </c>
      <c r="F264" s="536" t="e">
        <f t="shared" si="29"/>
        <v>#REF!</v>
      </c>
      <c r="G264" s="536" t="e">
        <f t="shared" si="29"/>
        <v>#REF!</v>
      </c>
      <c r="H264" s="536" t="e">
        <f t="shared" si="29"/>
        <v>#REF!</v>
      </c>
      <c r="I264" s="536" t="e">
        <f t="shared" si="29"/>
        <v>#REF!</v>
      </c>
      <c r="J264" s="536" t="e">
        <f t="shared" si="29"/>
        <v>#REF!</v>
      </c>
      <c r="K264" s="536" t="e">
        <f>K262+K227</f>
        <v>#REF!</v>
      </c>
      <c r="L264" s="536" t="e">
        <f>L262+L227</f>
        <v>#REF!</v>
      </c>
      <c r="M264" s="536" t="e">
        <f>M262+M227</f>
        <v>#REF!</v>
      </c>
    </row>
    <row r="265" spans="1:13" ht="15.75" thickTop="1">
      <c r="A265" s="496"/>
      <c r="B265" s="496"/>
      <c r="C265" s="496"/>
      <c r="D265" s="496"/>
      <c r="E265" s="517"/>
      <c r="F265" s="517"/>
      <c r="G265" s="517"/>
      <c r="H265" s="517"/>
      <c r="I265" s="517"/>
      <c r="J265" s="517"/>
      <c r="K265" s="517"/>
      <c r="L265" s="517"/>
      <c r="M265" s="517"/>
    </row>
    <row r="266" spans="1:13" ht="15.75">
      <c r="A266" s="1132" t="s">
        <v>1010</v>
      </c>
      <c r="B266" s="1132"/>
      <c r="C266" s="1132"/>
      <c r="D266" s="1132"/>
      <c r="E266" s="1132"/>
      <c r="F266" s="1132"/>
      <c r="G266" s="1132"/>
      <c r="H266" s="1132"/>
      <c r="I266" s="1132"/>
      <c r="J266" s="1132"/>
      <c r="K266" s="1015"/>
      <c r="L266" s="1015"/>
      <c r="M266" s="1015"/>
    </row>
    <row r="267" spans="1:13" ht="15.75">
      <c r="A267" s="1132" t="s">
        <v>1011</v>
      </c>
      <c r="B267" s="1132"/>
      <c r="C267" s="1132"/>
      <c r="D267" s="1132"/>
      <c r="E267" s="1132"/>
      <c r="F267" s="1132"/>
      <c r="G267" s="1132"/>
      <c r="H267" s="1132"/>
      <c r="I267" s="1132"/>
      <c r="J267" s="1132"/>
      <c r="K267" s="1015"/>
      <c r="L267" s="1015"/>
      <c r="M267" s="1015"/>
    </row>
    <row r="268" spans="1:13" s="7" customFormat="1">
      <c r="A268" s="524" t="s">
        <v>1012</v>
      </c>
      <c r="B268" s="525"/>
      <c r="C268" s="525"/>
      <c r="D268" s="525"/>
      <c r="E268" s="526" t="e">
        <f t="shared" ref="E268:I269" si="30">+E163</f>
        <v>#REF!</v>
      </c>
      <c r="F268" s="526" t="e">
        <f t="shared" si="30"/>
        <v>#REF!</v>
      </c>
      <c r="G268" s="526" t="e">
        <f t="shared" si="30"/>
        <v>#REF!</v>
      </c>
      <c r="H268" s="526" t="e">
        <f t="shared" si="30"/>
        <v>#REF!</v>
      </c>
      <c r="I268" s="526" t="e">
        <f t="shared" si="30"/>
        <v>#REF!</v>
      </c>
      <c r="J268" s="526" t="e">
        <f t="shared" ref="J268:M269" si="31">+J163</f>
        <v>#REF!</v>
      </c>
      <c r="K268" s="526" t="e">
        <f t="shared" si="31"/>
        <v>#REF!</v>
      </c>
      <c r="L268" s="526" t="e">
        <f t="shared" si="31"/>
        <v>#REF!</v>
      </c>
      <c r="M268" s="526" t="e">
        <f t="shared" si="31"/>
        <v>#REF!</v>
      </c>
    </row>
    <row r="269" spans="1:13" ht="15">
      <c r="A269" s="502"/>
      <c r="B269" s="502"/>
      <c r="C269" s="502"/>
      <c r="D269" s="502"/>
      <c r="E269" s="507" t="str">
        <f t="shared" si="30"/>
        <v>(Pro.)</v>
      </c>
      <c r="F269" s="507" t="str">
        <f t="shared" si="30"/>
        <v>(Pro.)</v>
      </c>
      <c r="G269" s="507" t="str">
        <f t="shared" si="30"/>
        <v>(Pro.)</v>
      </c>
      <c r="H269" s="507" t="str">
        <f t="shared" si="30"/>
        <v>(Pro.)</v>
      </c>
      <c r="I269" s="507" t="str">
        <f t="shared" si="30"/>
        <v>(Pro.)</v>
      </c>
      <c r="J269" s="507" t="str">
        <f t="shared" si="31"/>
        <v>(Pro.)</v>
      </c>
      <c r="K269" s="507" t="str">
        <f t="shared" si="31"/>
        <v>(Pro.)</v>
      </c>
      <c r="L269" s="507" t="str">
        <f t="shared" si="31"/>
        <v>(Pro.)</v>
      </c>
      <c r="M269" s="507" t="str">
        <f t="shared" si="31"/>
        <v>(Pro.)</v>
      </c>
    </row>
    <row r="270" spans="1:13" ht="15">
      <c r="A270" s="528"/>
      <c r="B270" s="528"/>
      <c r="C270" s="528"/>
      <c r="D270" s="528"/>
      <c r="E270" s="508" t="s">
        <v>864</v>
      </c>
      <c r="F270" s="508" t="s">
        <v>865</v>
      </c>
      <c r="G270" s="508" t="s">
        <v>866</v>
      </c>
      <c r="H270" s="509" t="s">
        <v>867</v>
      </c>
      <c r="I270" s="509" t="s">
        <v>868</v>
      </c>
      <c r="J270" s="509" t="s">
        <v>868</v>
      </c>
      <c r="K270" s="509" t="s">
        <v>868</v>
      </c>
      <c r="L270" s="509" t="s">
        <v>868</v>
      </c>
      <c r="M270" s="509" t="s">
        <v>868</v>
      </c>
    </row>
    <row r="271" spans="1:13" ht="15.75">
      <c r="A271" s="512" t="s">
        <v>1013</v>
      </c>
      <c r="B271" s="496"/>
      <c r="C271" s="496"/>
      <c r="D271" s="496"/>
      <c r="E271" s="538"/>
      <c r="F271" s="538"/>
      <c r="G271" s="538"/>
      <c r="H271" s="539"/>
      <c r="I271" s="539"/>
      <c r="J271" s="539"/>
      <c r="K271" s="539"/>
      <c r="L271" s="539"/>
      <c r="M271" s="539"/>
    </row>
    <row r="272" spans="1:13" ht="15">
      <c r="A272" s="503"/>
      <c r="B272" s="496"/>
      <c r="C272" s="496"/>
      <c r="D272" s="496"/>
      <c r="E272" s="540"/>
      <c r="F272" s="540"/>
      <c r="G272" s="540"/>
      <c r="H272" s="540"/>
      <c r="I272" s="540"/>
      <c r="J272" s="540"/>
      <c r="K272" s="540"/>
      <c r="L272" s="540"/>
      <c r="M272" s="540"/>
    </row>
    <row r="273" spans="1:13" ht="15">
      <c r="A273" s="503" t="s">
        <v>1014</v>
      </c>
      <c r="B273" s="503" t="s">
        <v>1015</v>
      </c>
      <c r="C273" s="496"/>
      <c r="D273" s="496"/>
      <c r="E273" s="519" t="e">
        <f>#REF!</f>
        <v>#REF!</v>
      </c>
      <c r="F273" s="519" t="e">
        <f>#REF!</f>
        <v>#REF!</v>
      </c>
      <c r="G273" s="519" t="e">
        <f>#REF!</f>
        <v>#REF!</v>
      </c>
      <c r="H273" s="519" t="e">
        <f>#REF!</f>
        <v>#REF!</v>
      </c>
      <c r="I273" s="519" t="e">
        <f>#REF!</f>
        <v>#REF!</v>
      </c>
      <c r="J273" s="519" t="e">
        <f>#REF!</f>
        <v>#REF!</v>
      </c>
      <c r="K273" s="519" t="e">
        <f>#REF!</f>
        <v>#REF!</v>
      </c>
      <c r="L273" s="519" t="e">
        <f>#REF!</f>
        <v>#REF!</v>
      </c>
      <c r="M273" s="519" t="e">
        <f>#REF!</f>
        <v>#REF!</v>
      </c>
    </row>
    <row r="274" spans="1:13" ht="15">
      <c r="A274" s="496"/>
      <c r="B274" s="496"/>
      <c r="C274" s="496"/>
      <c r="D274" s="496"/>
      <c r="E274" s="519"/>
      <c r="F274" s="519"/>
      <c r="G274" s="519"/>
      <c r="H274" s="519"/>
      <c r="I274" s="519"/>
      <c r="J274" s="519"/>
      <c r="K274" s="519"/>
      <c r="L274" s="519"/>
      <c r="M274" s="519"/>
    </row>
    <row r="275" spans="1:13" ht="15">
      <c r="A275" s="503" t="s">
        <v>1016</v>
      </c>
      <c r="B275" s="503" t="s">
        <v>1017</v>
      </c>
      <c r="C275" s="496"/>
      <c r="D275" s="496"/>
      <c r="E275" s="538" t="s">
        <v>443</v>
      </c>
      <c r="F275" s="538" t="s">
        <v>443</v>
      </c>
      <c r="G275" s="538" t="s">
        <v>443</v>
      </c>
      <c r="H275" s="538" t="s">
        <v>443</v>
      </c>
      <c r="I275" s="538" t="s">
        <v>443</v>
      </c>
      <c r="J275" s="538" t="s">
        <v>443</v>
      </c>
      <c r="K275" s="538" t="s">
        <v>443</v>
      </c>
      <c r="L275" s="538" t="s">
        <v>443</v>
      </c>
      <c r="M275" s="538" t="s">
        <v>443</v>
      </c>
    </row>
    <row r="276" spans="1:13" ht="15">
      <c r="A276" s="496"/>
      <c r="B276" s="503" t="s">
        <v>1018</v>
      </c>
      <c r="C276" s="496"/>
      <c r="D276" s="496"/>
      <c r="E276" s="519"/>
      <c r="F276" s="519"/>
      <c r="G276" s="519"/>
      <c r="H276" s="519"/>
      <c r="I276" s="519"/>
      <c r="J276" s="519"/>
      <c r="K276" s="519"/>
      <c r="L276" s="519"/>
      <c r="M276" s="519"/>
    </row>
    <row r="277" spans="1:13" ht="15">
      <c r="A277" s="496"/>
      <c r="B277" s="496" t="s">
        <v>1019</v>
      </c>
      <c r="C277" s="496"/>
      <c r="D277" s="496"/>
      <c r="E277" s="519"/>
      <c r="F277" s="519"/>
      <c r="G277" s="519"/>
      <c r="H277" s="519"/>
      <c r="I277" s="519"/>
      <c r="J277" s="519"/>
      <c r="K277" s="519"/>
      <c r="L277" s="519"/>
      <c r="M277" s="519"/>
    </row>
    <row r="278" spans="1:13" ht="15">
      <c r="A278" s="503" t="s">
        <v>1020</v>
      </c>
      <c r="B278" s="503" t="s">
        <v>1021</v>
      </c>
      <c r="C278" s="496"/>
      <c r="D278" s="496"/>
      <c r="E278" s="519" t="e">
        <f>#REF!</f>
        <v>#REF!</v>
      </c>
      <c r="F278" s="519" t="e">
        <f>#REF!</f>
        <v>#REF!</v>
      </c>
      <c r="G278" s="519" t="e">
        <f>#REF!</f>
        <v>#REF!</v>
      </c>
      <c r="H278" s="519" t="e">
        <f>#REF!</f>
        <v>#REF!</v>
      </c>
      <c r="I278" s="519" t="e">
        <f>#REF!</f>
        <v>#REF!</v>
      </c>
      <c r="J278" s="519" t="e">
        <f>#REF!</f>
        <v>#REF!</v>
      </c>
      <c r="K278" s="519" t="e">
        <f>#REF!</f>
        <v>#REF!</v>
      </c>
      <c r="L278" s="519" t="e">
        <f>#REF!</f>
        <v>#REF!</v>
      </c>
      <c r="M278" s="519" t="e">
        <f>#REF!</f>
        <v>#REF!</v>
      </c>
    </row>
    <row r="279" spans="1:13" ht="15">
      <c r="A279" s="496"/>
      <c r="B279" s="503" t="s">
        <v>1022</v>
      </c>
      <c r="C279" s="496"/>
      <c r="D279" s="496"/>
      <c r="E279" s="519"/>
      <c r="F279" s="519"/>
      <c r="G279" s="519"/>
      <c r="H279" s="519"/>
      <c r="I279" s="519"/>
      <c r="J279" s="519"/>
      <c r="K279" s="519"/>
      <c r="L279" s="519"/>
      <c r="M279" s="519"/>
    </row>
    <row r="280" spans="1:13" ht="15">
      <c r="A280" s="496"/>
      <c r="B280" s="503" t="s">
        <v>1023</v>
      </c>
      <c r="C280" s="496"/>
      <c r="D280" s="496"/>
      <c r="E280" s="519"/>
      <c r="F280" s="519"/>
      <c r="G280" s="519"/>
      <c r="H280" s="519"/>
      <c r="I280" s="519"/>
      <c r="J280" s="519"/>
      <c r="K280" s="519"/>
      <c r="L280" s="519"/>
      <c r="M280" s="519"/>
    </row>
    <row r="281" spans="1:13" ht="15">
      <c r="A281" s="496"/>
      <c r="B281" s="503" t="s">
        <v>1024</v>
      </c>
      <c r="C281" s="496"/>
      <c r="D281" s="496"/>
    </row>
    <row r="282" spans="1:13" ht="15">
      <c r="A282" s="496"/>
      <c r="B282" s="503" t="s">
        <v>1025</v>
      </c>
      <c r="C282" s="496"/>
      <c r="D282" s="496"/>
      <c r="E282" s="538"/>
      <c r="F282" s="538"/>
      <c r="G282" s="538"/>
      <c r="H282" s="538"/>
      <c r="I282" s="538"/>
      <c r="J282" s="538"/>
      <c r="K282" s="538"/>
      <c r="L282" s="538"/>
      <c r="M282" s="538"/>
    </row>
    <row r="283" spans="1:13" ht="15">
      <c r="A283" s="496"/>
      <c r="B283" s="503" t="s">
        <v>1026</v>
      </c>
      <c r="C283" s="496"/>
      <c r="D283" s="496"/>
      <c r="E283" s="519"/>
      <c r="F283" s="519"/>
      <c r="G283" s="519"/>
      <c r="H283" s="519"/>
      <c r="I283" s="519"/>
      <c r="J283" s="519"/>
      <c r="K283" s="519"/>
      <c r="L283" s="519"/>
      <c r="M283" s="519"/>
    </row>
    <row r="284" spans="1:13" ht="15">
      <c r="A284" s="496"/>
      <c r="B284" s="503" t="s">
        <v>1027</v>
      </c>
      <c r="C284" s="496"/>
      <c r="D284" s="496"/>
      <c r="E284" s="519"/>
      <c r="F284" s="519"/>
      <c r="G284" s="519"/>
      <c r="H284" s="519"/>
      <c r="I284" s="519"/>
      <c r="J284" s="519"/>
      <c r="K284" s="519"/>
      <c r="L284" s="519"/>
      <c r="M284" s="519"/>
    </row>
    <row r="285" spans="1:13" ht="15">
      <c r="A285" s="496"/>
      <c r="B285" s="496"/>
      <c r="C285" s="496"/>
      <c r="D285" s="496"/>
      <c r="E285" s="519"/>
      <c r="F285" s="519"/>
      <c r="G285" s="519"/>
      <c r="H285" s="519"/>
      <c r="I285" s="519"/>
      <c r="J285" s="519"/>
      <c r="K285" s="519"/>
      <c r="L285" s="519"/>
      <c r="M285" s="519"/>
    </row>
    <row r="286" spans="1:13" ht="15">
      <c r="A286" s="503" t="s">
        <v>1028</v>
      </c>
      <c r="B286" s="503" t="s">
        <v>1029</v>
      </c>
      <c r="C286" s="496"/>
      <c r="D286" s="496"/>
      <c r="E286" s="519"/>
      <c r="F286" s="519"/>
      <c r="G286" s="519"/>
      <c r="H286" s="519"/>
      <c r="I286" s="519"/>
      <c r="J286" s="519"/>
      <c r="K286" s="519"/>
      <c r="L286" s="519"/>
      <c r="M286" s="519"/>
    </row>
    <row r="287" spans="1:13" ht="15">
      <c r="A287" s="496"/>
      <c r="B287" s="503" t="s">
        <v>1030</v>
      </c>
      <c r="C287" s="496"/>
      <c r="D287" s="496"/>
      <c r="E287" s="538" t="s">
        <v>443</v>
      </c>
      <c r="F287" s="538" t="s">
        <v>443</v>
      </c>
      <c r="G287" s="538" t="s">
        <v>443</v>
      </c>
      <c r="H287" s="538" t="s">
        <v>443</v>
      </c>
      <c r="I287" s="538" t="s">
        <v>443</v>
      </c>
      <c r="J287" s="538" t="s">
        <v>443</v>
      </c>
      <c r="K287" s="538" t="s">
        <v>443</v>
      </c>
      <c r="L287" s="538" t="s">
        <v>443</v>
      </c>
      <c r="M287" s="538" t="s">
        <v>443</v>
      </c>
    </row>
    <row r="288" spans="1:13" ht="15">
      <c r="A288" s="496"/>
      <c r="B288" s="496"/>
      <c r="C288" s="496"/>
      <c r="D288" s="496"/>
      <c r="E288" s="519"/>
      <c r="F288" s="519"/>
      <c r="G288" s="519"/>
      <c r="H288" s="519"/>
      <c r="I288" s="519"/>
      <c r="J288" s="519"/>
      <c r="K288" s="519"/>
      <c r="L288" s="519"/>
      <c r="M288" s="519"/>
    </row>
    <row r="289" spans="1:13" ht="15">
      <c r="A289" s="503" t="s">
        <v>1031</v>
      </c>
      <c r="B289" s="503" t="s">
        <v>1032</v>
      </c>
      <c r="C289" s="496"/>
      <c r="D289" s="496"/>
      <c r="E289" s="519"/>
      <c r="F289" s="519"/>
      <c r="G289" s="519"/>
      <c r="H289" s="519"/>
      <c r="I289" s="519"/>
      <c r="J289" s="519"/>
      <c r="K289" s="519"/>
      <c r="L289" s="519"/>
      <c r="M289" s="519"/>
    </row>
    <row r="290" spans="1:13" ht="15">
      <c r="A290" s="496"/>
      <c r="B290" s="503" t="s">
        <v>1033</v>
      </c>
      <c r="C290" s="496"/>
      <c r="D290" s="496"/>
    </row>
    <row r="291" spans="1:13" ht="15">
      <c r="A291" s="496"/>
      <c r="B291" s="503" t="s">
        <v>1034</v>
      </c>
      <c r="C291" s="496"/>
      <c r="D291" s="496"/>
      <c r="E291" s="519"/>
      <c r="F291" s="519"/>
      <c r="G291" s="519"/>
      <c r="H291" s="519"/>
      <c r="I291" s="519"/>
      <c r="J291" s="519"/>
      <c r="K291" s="519"/>
      <c r="L291" s="519"/>
      <c r="M291" s="519"/>
    </row>
    <row r="292" spans="1:13" ht="15">
      <c r="A292" s="496"/>
      <c r="B292" s="503" t="s">
        <v>1035</v>
      </c>
      <c r="C292" s="496"/>
      <c r="D292" s="496"/>
      <c r="E292" s="519"/>
      <c r="F292" s="519"/>
      <c r="G292" s="519"/>
      <c r="H292" s="519"/>
      <c r="I292" s="519"/>
      <c r="J292" s="519"/>
      <c r="K292" s="519"/>
      <c r="L292" s="519"/>
      <c r="M292" s="519"/>
    </row>
    <row r="293" spans="1:13" ht="15">
      <c r="A293" s="496"/>
      <c r="B293" s="503" t="s">
        <v>1036</v>
      </c>
      <c r="C293" s="496"/>
      <c r="D293" s="496"/>
      <c r="E293" s="538" t="s">
        <v>443</v>
      </c>
      <c r="F293" s="538" t="s">
        <v>443</v>
      </c>
      <c r="G293" s="538" t="s">
        <v>443</v>
      </c>
      <c r="H293" s="538" t="s">
        <v>443</v>
      </c>
      <c r="I293" s="538" t="s">
        <v>443</v>
      </c>
      <c r="J293" s="538" t="s">
        <v>443</v>
      </c>
      <c r="K293" s="538" t="s">
        <v>443</v>
      </c>
      <c r="L293" s="538" t="s">
        <v>443</v>
      </c>
      <c r="M293" s="538" t="s">
        <v>443</v>
      </c>
    </row>
    <row r="294" spans="1:13" ht="4.5" customHeight="1">
      <c r="A294" s="496"/>
      <c r="B294" s="496"/>
      <c r="C294" s="496"/>
      <c r="D294" s="496"/>
      <c r="E294" s="519"/>
      <c r="F294" s="519"/>
      <c r="G294" s="519"/>
      <c r="H294" s="519"/>
      <c r="I294" s="519"/>
      <c r="J294" s="519"/>
      <c r="K294" s="519"/>
      <c r="L294" s="519"/>
      <c r="M294" s="519"/>
    </row>
    <row r="295" spans="1:13" ht="15">
      <c r="A295" s="496"/>
      <c r="B295" s="503" t="s">
        <v>1037</v>
      </c>
      <c r="C295" s="496"/>
      <c r="D295" s="496"/>
      <c r="E295" s="519"/>
      <c r="F295" s="519"/>
      <c r="G295" s="519"/>
      <c r="H295" s="519"/>
      <c r="I295" s="519"/>
      <c r="J295" s="519"/>
      <c r="K295" s="519"/>
      <c r="L295" s="519"/>
      <c r="M295" s="519"/>
    </row>
    <row r="296" spans="1:13" ht="3.75" customHeight="1">
      <c r="A296" s="496"/>
      <c r="B296" s="496"/>
      <c r="C296" s="496"/>
      <c r="D296" s="496"/>
      <c r="E296" s="519"/>
      <c r="F296" s="519"/>
      <c r="G296" s="519"/>
      <c r="H296" s="519"/>
      <c r="I296" s="519"/>
      <c r="J296" s="519"/>
      <c r="K296" s="519"/>
      <c r="L296" s="519"/>
      <c r="M296" s="519"/>
    </row>
    <row r="297" spans="1:13" ht="15">
      <c r="A297" s="496"/>
      <c r="B297" s="503" t="s">
        <v>1038</v>
      </c>
      <c r="C297" s="496"/>
      <c r="D297" s="496"/>
      <c r="E297" s="538"/>
      <c r="F297" s="538"/>
      <c r="G297" s="538"/>
      <c r="H297" s="538"/>
      <c r="I297" s="538"/>
      <c r="J297" s="538"/>
      <c r="K297" s="538"/>
      <c r="L297" s="538"/>
      <c r="M297" s="538"/>
    </row>
    <row r="298" spans="1:13" ht="4.5" customHeight="1">
      <c r="A298" s="496"/>
      <c r="B298" s="496"/>
      <c r="C298" s="496"/>
      <c r="D298" s="496"/>
    </row>
    <row r="299" spans="1:13" ht="15">
      <c r="A299" s="496"/>
      <c r="B299" s="503" t="s">
        <v>1039</v>
      </c>
      <c r="C299" s="496"/>
      <c r="D299" s="496"/>
      <c r="E299" s="519"/>
      <c r="F299" s="519"/>
      <c r="G299" s="519"/>
      <c r="H299" s="519"/>
      <c r="I299" s="519"/>
      <c r="J299" s="519"/>
      <c r="K299" s="519"/>
      <c r="L299" s="519"/>
      <c r="M299" s="519"/>
    </row>
    <row r="300" spans="1:13" ht="5.25" customHeight="1">
      <c r="A300" s="496"/>
      <c r="B300" s="496"/>
      <c r="C300" s="496"/>
      <c r="D300" s="496"/>
      <c r="E300" s="519"/>
      <c r="F300" s="519"/>
      <c r="G300" s="519"/>
      <c r="H300" s="519"/>
      <c r="I300" s="519"/>
      <c r="J300" s="519"/>
      <c r="K300" s="519"/>
      <c r="L300" s="519"/>
      <c r="M300" s="519"/>
    </row>
    <row r="301" spans="1:13" ht="15">
      <c r="A301" s="496"/>
      <c r="B301" s="503" t="s">
        <v>1040</v>
      </c>
      <c r="C301" s="496"/>
      <c r="D301" s="496"/>
      <c r="E301" s="519"/>
      <c r="F301" s="519"/>
      <c r="G301" s="519"/>
      <c r="H301" s="519"/>
      <c r="I301" s="519"/>
      <c r="J301" s="519"/>
      <c r="K301" s="519"/>
      <c r="L301" s="519"/>
      <c r="M301" s="519"/>
    </row>
    <row r="302" spans="1:13" ht="15">
      <c r="A302" s="496"/>
      <c r="B302" s="503" t="s">
        <v>1041</v>
      </c>
      <c r="C302" s="496"/>
      <c r="D302" s="496"/>
      <c r="E302" s="537" t="s">
        <v>872</v>
      </c>
      <c r="F302" s="537" t="s">
        <v>872</v>
      </c>
      <c r="G302" s="537"/>
      <c r="H302" s="537" t="s">
        <v>872</v>
      </c>
      <c r="I302" s="537" t="s">
        <v>872</v>
      </c>
      <c r="J302" s="537" t="s">
        <v>872</v>
      </c>
      <c r="K302" s="537" t="s">
        <v>872</v>
      </c>
      <c r="L302" s="537" t="s">
        <v>872</v>
      </c>
      <c r="M302" s="537" t="s">
        <v>872</v>
      </c>
    </row>
    <row r="303" spans="1:13" ht="15">
      <c r="A303" s="496"/>
      <c r="B303" s="503" t="s">
        <v>1042</v>
      </c>
      <c r="C303" s="496"/>
      <c r="D303" s="496"/>
      <c r="E303" s="519" t="e">
        <f>#REF!</f>
        <v>#REF!</v>
      </c>
      <c r="F303" s="519" t="e">
        <f>#REF!</f>
        <v>#REF!</v>
      </c>
      <c r="G303" s="519" t="e">
        <f>#REF!</f>
        <v>#REF!</v>
      </c>
      <c r="H303" s="519" t="e">
        <f>#REF!</f>
        <v>#REF!</v>
      </c>
      <c r="I303" s="519" t="e">
        <f>#REF!</f>
        <v>#REF!</v>
      </c>
      <c r="J303" s="519" t="e">
        <f>#REF!</f>
        <v>#REF!</v>
      </c>
      <c r="K303" s="519" t="e">
        <f>#REF!</f>
        <v>#REF!</v>
      </c>
      <c r="L303" s="519" t="e">
        <f>#REF!</f>
        <v>#REF!</v>
      </c>
      <c r="M303" s="519" t="e">
        <f>#REF!</f>
        <v>#REF!</v>
      </c>
    </row>
    <row r="304" spans="1:13" ht="15">
      <c r="A304" s="503" t="s">
        <v>1043</v>
      </c>
      <c r="B304" s="503" t="s">
        <v>1044</v>
      </c>
      <c r="C304" s="496"/>
      <c r="D304" s="496"/>
      <c r="E304" s="519"/>
      <c r="F304" s="519"/>
      <c r="G304" s="519"/>
      <c r="H304" s="519"/>
      <c r="I304" s="519"/>
      <c r="J304" s="519"/>
      <c r="K304" s="519"/>
      <c r="L304" s="519"/>
      <c r="M304" s="519"/>
    </row>
    <row r="305" spans="1:13" ht="15">
      <c r="A305" s="496"/>
      <c r="B305" s="503" t="s">
        <v>1045</v>
      </c>
      <c r="C305" s="496"/>
      <c r="D305" s="496"/>
      <c r="E305" s="538" t="s">
        <v>443</v>
      </c>
      <c r="F305" s="538" t="s">
        <v>443</v>
      </c>
      <c r="G305" s="538" t="s">
        <v>443</v>
      </c>
      <c r="H305" s="538" t="s">
        <v>443</v>
      </c>
      <c r="I305" s="538" t="s">
        <v>443</v>
      </c>
      <c r="J305" s="538" t="s">
        <v>443</v>
      </c>
      <c r="K305" s="538" t="s">
        <v>443</v>
      </c>
      <c r="L305" s="538" t="s">
        <v>443</v>
      </c>
      <c r="M305" s="538" t="s">
        <v>443</v>
      </c>
    </row>
    <row r="306" spans="1:13" ht="15">
      <c r="A306" s="503" t="s">
        <v>1046</v>
      </c>
      <c r="B306" s="503" t="s">
        <v>1047</v>
      </c>
      <c r="C306" s="496"/>
      <c r="D306" s="496"/>
      <c r="E306" s="538" t="s">
        <v>443</v>
      </c>
      <c r="F306" s="538" t="s">
        <v>443</v>
      </c>
      <c r="G306" s="538" t="s">
        <v>443</v>
      </c>
      <c r="H306" s="538" t="s">
        <v>443</v>
      </c>
      <c r="I306" s="538" t="s">
        <v>443</v>
      </c>
      <c r="J306" s="538" t="s">
        <v>443</v>
      </c>
      <c r="K306" s="538" t="s">
        <v>443</v>
      </c>
      <c r="L306" s="538" t="s">
        <v>443</v>
      </c>
      <c r="M306" s="538" t="s">
        <v>443</v>
      </c>
    </row>
    <row r="307" spans="1:13" ht="15">
      <c r="A307" s="503" t="s">
        <v>1048</v>
      </c>
      <c r="B307" s="503" t="s">
        <v>419</v>
      </c>
      <c r="C307" s="496"/>
      <c r="D307" s="496"/>
      <c r="E307" s="537" t="s">
        <v>872</v>
      </c>
      <c r="F307" s="537" t="s">
        <v>872</v>
      </c>
      <c r="G307" s="537" t="s">
        <v>872</v>
      </c>
      <c r="H307" s="537" t="s">
        <v>872</v>
      </c>
      <c r="I307" s="537" t="s">
        <v>872</v>
      </c>
      <c r="J307" s="537" t="s">
        <v>872</v>
      </c>
      <c r="K307" s="537" t="s">
        <v>872</v>
      </c>
      <c r="L307" s="537" t="s">
        <v>872</v>
      </c>
      <c r="M307" s="537" t="s">
        <v>872</v>
      </c>
    </row>
    <row r="308" spans="1:13" ht="15">
      <c r="A308" s="496"/>
      <c r="B308" s="503" t="s">
        <v>1049</v>
      </c>
      <c r="C308" s="496"/>
      <c r="D308" s="496"/>
      <c r="E308" s="519" t="e">
        <f>#REF!</f>
        <v>#REF!</v>
      </c>
      <c r="F308" s="519" t="e">
        <f>#REF!</f>
        <v>#REF!</v>
      </c>
      <c r="G308" s="519" t="e">
        <f>#REF!</f>
        <v>#REF!</v>
      </c>
      <c r="H308" s="519" t="e">
        <f>#REF!</f>
        <v>#REF!</v>
      </c>
      <c r="I308" s="519" t="e">
        <f>#REF!</f>
        <v>#REF!</v>
      </c>
      <c r="J308" s="519" t="e">
        <f>#REF!</f>
        <v>#REF!</v>
      </c>
      <c r="K308" s="519" t="e">
        <f>#REF!</f>
        <v>#REF!</v>
      </c>
      <c r="L308" s="519" t="e">
        <f>#REF!</f>
        <v>#REF!</v>
      </c>
      <c r="M308" s="519" t="e">
        <f>#REF!</f>
        <v>#REF!</v>
      </c>
    </row>
    <row r="309" spans="1:13" ht="15">
      <c r="A309" s="496"/>
      <c r="B309" s="496" t="s">
        <v>1050</v>
      </c>
      <c r="C309" s="496"/>
      <c r="D309" s="496"/>
      <c r="E309" s="517"/>
      <c r="F309" s="517"/>
      <c r="G309" s="517"/>
      <c r="H309" s="517"/>
      <c r="I309" s="517"/>
      <c r="J309" s="517"/>
      <c r="K309" s="517"/>
      <c r="L309" s="517"/>
      <c r="M309" s="517"/>
    </row>
    <row r="310" spans="1:13" ht="15.75">
      <c r="A310" s="503" t="s">
        <v>1051</v>
      </c>
      <c r="B310" s="1137" t="s">
        <v>1052</v>
      </c>
      <c r="C310" s="1137"/>
      <c r="D310" s="1137"/>
      <c r="E310" s="541" t="e">
        <f t="shared" ref="E310:J310" si="32">SUM(E273:E309)</f>
        <v>#REF!</v>
      </c>
      <c r="F310" s="541" t="e">
        <f t="shared" si="32"/>
        <v>#REF!</v>
      </c>
      <c r="G310" s="541" t="e">
        <f t="shared" si="32"/>
        <v>#REF!</v>
      </c>
      <c r="H310" s="541" t="e">
        <f t="shared" si="32"/>
        <v>#REF!</v>
      </c>
      <c r="I310" s="541" t="e">
        <f t="shared" si="32"/>
        <v>#REF!</v>
      </c>
      <c r="J310" s="541" t="e">
        <f t="shared" si="32"/>
        <v>#REF!</v>
      </c>
      <c r="K310" s="541" t="e">
        <f>SUM(K273:K309)</f>
        <v>#REF!</v>
      </c>
      <c r="L310" s="541" t="e">
        <f>SUM(L273:L309)</f>
        <v>#REF!</v>
      </c>
      <c r="M310" s="541" t="e">
        <f>SUM(M273:M309)</f>
        <v>#REF!</v>
      </c>
    </row>
    <row r="311" spans="1:13" ht="15">
      <c r="A311" s="496"/>
      <c r="B311" s="503" t="s">
        <v>1053</v>
      </c>
      <c r="C311" s="496"/>
      <c r="D311" s="496"/>
      <c r="E311" s="540"/>
      <c r="F311" s="517"/>
      <c r="G311" s="517"/>
      <c r="H311" s="517"/>
      <c r="I311" s="517"/>
      <c r="J311" s="517"/>
      <c r="K311" s="517"/>
      <c r="L311" s="517"/>
      <c r="M311" s="517"/>
    </row>
    <row r="312" spans="1:13" ht="15">
      <c r="A312" s="503" t="s">
        <v>872</v>
      </c>
      <c r="B312" s="496"/>
      <c r="C312" s="496"/>
      <c r="D312" s="496"/>
      <c r="E312" s="519"/>
      <c r="F312" s="519"/>
      <c r="G312" s="519"/>
      <c r="H312" s="519"/>
      <c r="I312" s="519"/>
      <c r="J312" s="519"/>
      <c r="K312" s="519"/>
      <c r="L312" s="519"/>
      <c r="M312" s="519"/>
    </row>
    <row r="313" spans="1:13" ht="15.75">
      <c r="A313" s="496"/>
      <c r="B313" s="512" t="s">
        <v>1054</v>
      </c>
      <c r="C313" s="496"/>
      <c r="D313" s="496"/>
      <c r="E313" s="519"/>
      <c r="F313" s="519"/>
      <c r="G313" s="519"/>
      <c r="H313" s="519"/>
      <c r="I313" s="519"/>
      <c r="J313" s="519"/>
      <c r="K313" s="519"/>
      <c r="L313" s="519"/>
      <c r="M313" s="519"/>
    </row>
    <row r="314" spans="1:13" ht="15">
      <c r="A314" s="503" t="s">
        <v>1055</v>
      </c>
      <c r="B314" s="503" t="s">
        <v>1056</v>
      </c>
      <c r="C314" s="496"/>
      <c r="D314" s="496"/>
      <c r="E314" s="519"/>
      <c r="F314" s="519"/>
      <c r="G314" s="519"/>
      <c r="H314" s="519"/>
      <c r="I314" s="519"/>
      <c r="J314" s="519"/>
      <c r="K314" s="519"/>
      <c r="L314" s="519"/>
      <c r="M314" s="519"/>
    </row>
    <row r="315" spans="1:13" ht="15">
      <c r="A315" s="496"/>
      <c r="B315" s="503" t="s">
        <v>1057</v>
      </c>
      <c r="C315" s="496"/>
      <c r="D315" s="496"/>
      <c r="E315" s="519" t="e">
        <f>#REF!</f>
        <v>#REF!</v>
      </c>
      <c r="F315" s="519" t="e">
        <f>#REF!</f>
        <v>#REF!</v>
      </c>
      <c r="G315" s="519" t="e">
        <f>#REF!</f>
        <v>#REF!</v>
      </c>
      <c r="H315" s="519" t="e">
        <f>#REF!</f>
        <v>#REF!</v>
      </c>
      <c r="I315" s="519" t="e">
        <f>#REF!</f>
        <v>#REF!</v>
      </c>
      <c r="J315" s="519" t="e">
        <f>#REF!</f>
        <v>#REF!</v>
      </c>
      <c r="K315" s="519" t="e">
        <f>#REF!</f>
        <v>#REF!</v>
      </c>
      <c r="L315" s="519" t="e">
        <f>#REF!</f>
        <v>#REF!</v>
      </c>
      <c r="M315" s="519" t="e">
        <f>#REF!</f>
        <v>#REF!</v>
      </c>
    </row>
    <row r="316" spans="1:13" ht="15">
      <c r="A316" s="503" t="s">
        <v>1058</v>
      </c>
      <c r="B316" s="503" t="s">
        <v>1059</v>
      </c>
      <c r="C316" s="496"/>
      <c r="D316" s="496"/>
      <c r="E316" s="519" t="e">
        <f>#REF!</f>
        <v>#REF!</v>
      </c>
      <c r="F316" s="519" t="e">
        <f>#REF!</f>
        <v>#REF!</v>
      </c>
      <c r="G316" s="519" t="e">
        <f>#REF!</f>
        <v>#REF!</v>
      </c>
      <c r="H316" s="519" t="e">
        <f>#REF!</f>
        <v>#REF!</v>
      </c>
      <c r="I316" s="519" t="e">
        <f>#REF!</f>
        <v>#REF!</v>
      </c>
      <c r="J316" s="519" t="e">
        <f>#REF!</f>
        <v>#REF!</v>
      </c>
      <c r="K316" s="519" t="e">
        <f>#REF!</f>
        <v>#REF!</v>
      </c>
      <c r="L316" s="519" t="e">
        <f>#REF!</f>
        <v>#REF!</v>
      </c>
      <c r="M316" s="519" t="e">
        <f>#REF!</f>
        <v>#REF!</v>
      </c>
    </row>
    <row r="317" spans="1:13" ht="15">
      <c r="A317" s="496"/>
      <c r="B317" s="496"/>
      <c r="C317" s="496"/>
      <c r="D317" s="496"/>
      <c r="E317" s="540"/>
      <c r="F317" s="540"/>
      <c r="G317" s="540"/>
      <c r="H317" s="540"/>
      <c r="I317" s="540"/>
      <c r="J317" s="540"/>
      <c r="K317" s="540"/>
      <c r="L317" s="540"/>
      <c r="M317" s="540"/>
    </row>
    <row r="318" spans="1:13" ht="15">
      <c r="A318" s="503" t="s">
        <v>1060</v>
      </c>
      <c r="B318" s="503" t="s">
        <v>1061</v>
      </c>
      <c r="C318" s="496"/>
      <c r="D318" s="496"/>
      <c r="E318" s="541" t="e">
        <f t="shared" ref="E318:J318" si="33">E315-E316</f>
        <v>#REF!</v>
      </c>
      <c r="F318" s="541" t="e">
        <f t="shared" si="33"/>
        <v>#REF!</v>
      </c>
      <c r="G318" s="541" t="e">
        <f t="shared" si="33"/>
        <v>#REF!</v>
      </c>
      <c r="H318" s="541" t="e">
        <f t="shared" si="33"/>
        <v>#REF!</v>
      </c>
      <c r="I318" s="541" t="e">
        <f t="shared" si="33"/>
        <v>#REF!</v>
      </c>
      <c r="J318" s="541" t="e">
        <f t="shared" si="33"/>
        <v>#REF!</v>
      </c>
      <c r="K318" s="541" t="e">
        <f>K315-K316</f>
        <v>#REF!</v>
      </c>
      <c r="L318" s="541" t="e">
        <f>L315-L316</f>
        <v>#REF!</v>
      </c>
      <c r="M318" s="541" t="e">
        <f>M315-M316</f>
        <v>#REF!</v>
      </c>
    </row>
    <row r="319" spans="1:13" ht="15">
      <c r="A319" s="496"/>
      <c r="B319" s="496"/>
      <c r="C319" s="496"/>
      <c r="D319" s="496"/>
      <c r="E319" s="540"/>
      <c r="F319" s="540"/>
      <c r="G319" s="540"/>
      <c r="H319" s="540"/>
      <c r="I319" s="540"/>
      <c r="J319" s="540"/>
      <c r="K319" s="540"/>
      <c r="L319" s="540"/>
      <c r="M319" s="540"/>
    </row>
    <row r="320" spans="1:13" ht="15">
      <c r="A320" s="496"/>
      <c r="B320" s="496"/>
      <c r="C320" s="496"/>
      <c r="D320" s="496"/>
      <c r="E320" s="540"/>
      <c r="F320" s="540"/>
      <c r="G320" s="540"/>
      <c r="H320" s="540"/>
      <c r="I320" s="540"/>
      <c r="J320" s="540"/>
      <c r="K320" s="540"/>
      <c r="L320" s="540"/>
      <c r="M320" s="540"/>
    </row>
    <row r="321" spans="1:13" ht="15">
      <c r="A321" s="496"/>
      <c r="B321" s="496"/>
      <c r="C321" s="496"/>
      <c r="D321" s="496"/>
      <c r="E321" s="540"/>
      <c r="F321" s="540"/>
      <c r="G321" s="540"/>
      <c r="H321" s="540"/>
      <c r="I321" s="540"/>
      <c r="J321" s="540"/>
      <c r="K321" s="540"/>
      <c r="L321" s="540"/>
      <c r="M321" s="540"/>
    </row>
    <row r="322" spans="1:13" ht="15">
      <c r="A322" s="496"/>
      <c r="B322" s="496"/>
      <c r="C322" s="496"/>
      <c r="D322" s="496"/>
      <c r="E322" s="540"/>
      <c r="F322" s="540"/>
      <c r="G322" s="540"/>
      <c r="H322" s="540"/>
      <c r="I322" s="540"/>
      <c r="J322" s="540"/>
      <c r="K322" s="540"/>
      <c r="L322" s="540"/>
      <c r="M322" s="540"/>
    </row>
    <row r="323" spans="1:13" ht="15">
      <c r="A323" s="496"/>
      <c r="B323" s="496"/>
      <c r="C323" s="496"/>
      <c r="D323" s="496"/>
      <c r="E323" s="540"/>
      <c r="F323" s="540"/>
      <c r="G323" s="540"/>
      <c r="H323" s="540"/>
      <c r="I323" s="540"/>
      <c r="J323" s="540"/>
      <c r="K323" s="540"/>
      <c r="L323" s="540"/>
      <c r="M323" s="540"/>
    </row>
    <row r="324" spans="1:13" ht="15">
      <c r="A324" s="496"/>
      <c r="B324" s="496"/>
      <c r="C324" s="496"/>
      <c r="D324" s="496"/>
      <c r="E324" s="540"/>
      <c r="F324" s="540"/>
      <c r="G324" s="540"/>
      <c r="H324" s="540"/>
      <c r="I324" s="540"/>
      <c r="J324" s="540"/>
      <c r="K324" s="540"/>
      <c r="L324" s="540"/>
      <c r="M324" s="540"/>
    </row>
    <row r="325" spans="1:13" ht="15.75">
      <c r="A325" s="496"/>
      <c r="B325" s="512" t="s">
        <v>1062</v>
      </c>
      <c r="C325" s="496"/>
      <c r="D325" s="496"/>
      <c r="E325" s="519"/>
      <c r="F325" s="519"/>
      <c r="G325" s="519"/>
      <c r="H325" s="519"/>
      <c r="I325" s="519"/>
      <c r="J325" s="519"/>
      <c r="K325" s="519"/>
      <c r="L325" s="519"/>
      <c r="M325" s="519"/>
    </row>
    <row r="326" spans="1:13" ht="15">
      <c r="A326" s="503" t="s">
        <v>1063</v>
      </c>
      <c r="B326" s="503" t="s">
        <v>1064</v>
      </c>
      <c r="C326" s="496"/>
      <c r="D326" s="496"/>
      <c r="E326" s="519"/>
      <c r="F326" s="519"/>
      <c r="G326" s="519"/>
      <c r="H326" s="519"/>
      <c r="I326" s="519"/>
      <c r="J326" s="519"/>
      <c r="K326" s="519"/>
      <c r="L326" s="519"/>
      <c r="M326" s="519"/>
    </row>
    <row r="327" spans="1:13" ht="15">
      <c r="A327" s="496"/>
      <c r="B327" s="503" t="s">
        <v>1065</v>
      </c>
      <c r="C327" s="496"/>
      <c r="D327" s="496"/>
      <c r="E327" s="519"/>
      <c r="F327" s="519"/>
      <c r="G327" s="519"/>
      <c r="H327" s="519"/>
      <c r="I327" s="519"/>
      <c r="J327" s="519"/>
      <c r="K327" s="519"/>
      <c r="L327" s="519"/>
      <c r="M327" s="519"/>
    </row>
    <row r="328" spans="1:13" ht="15">
      <c r="A328" s="496"/>
      <c r="B328" s="503" t="s">
        <v>415</v>
      </c>
      <c r="C328" s="496"/>
      <c r="D328" s="496"/>
      <c r="E328" s="519"/>
      <c r="F328" s="519"/>
      <c r="G328" s="519"/>
      <c r="H328" s="519"/>
      <c r="I328" s="519"/>
      <c r="J328" s="519"/>
      <c r="K328" s="519"/>
      <c r="L328" s="519"/>
      <c r="M328" s="519"/>
    </row>
    <row r="329" spans="1:13" ht="15">
      <c r="A329" s="496"/>
      <c r="B329" s="503" t="s">
        <v>1066</v>
      </c>
      <c r="C329" s="496"/>
      <c r="D329" s="496"/>
      <c r="E329" s="519"/>
      <c r="F329" s="519"/>
      <c r="G329" s="519"/>
      <c r="H329" s="519"/>
      <c r="I329" s="519"/>
      <c r="J329" s="519"/>
      <c r="K329" s="519"/>
      <c r="L329" s="519"/>
      <c r="M329" s="519"/>
    </row>
    <row r="330" spans="1:13" ht="15">
      <c r="A330" s="496"/>
      <c r="B330" s="503" t="s">
        <v>1067</v>
      </c>
      <c r="C330" s="496"/>
      <c r="D330" s="496"/>
      <c r="F330" s="538"/>
      <c r="G330" s="538"/>
      <c r="H330" s="538"/>
      <c r="I330" s="538"/>
      <c r="J330" s="538"/>
      <c r="K330" s="538"/>
      <c r="L330" s="538"/>
      <c r="M330" s="538"/>
    </row>
    <row r="331" spans="1:13" ht="15">
      <c r="A331" s="496"/>
      <c r="B331" s="503" t="s">
        <v>1068</v>
      </c>
      <c r="C331" s="496"/>
      <c r="D331" s="496"/>
      <c r="E331" s="519"/>
      <c r="F331" s="519"/>
      <c r="G331" s="519"/>
      <c r="H331" s="519"/>
      <c r="I331" s="519"/>
      <c r="J331" s="519"/>
      <c r="K331" s="519"/>
      <c r="L331" s="519"/>
      <c r="M331" s="519"/>
    </row>
    <row r="332" spans="1:13" ht="15">
      <c r="A332" s="496"/>
      <c r="B332" s="503" t="s">
        <v>1069</v>
      </c>
      <c r="C332" s="496"/>
      <c r="D332" s="496"/>
      <c r="E332" s="519"/>
      <c r="F332" s="519"/>
      <c r="G332" s="519"/>
      <c r="H332" s="519"/>
      <c r="I332" s="519"/>
      <c r="J332" s="519"/>
      <c r="K332" s="519"/>
      <c r="L332" s="519"/>
      <c r="M332" s="519"/>
    </row>
    <row r="333" spans="1:13" ht="15">
      <c r="A333" s="496"/>
      <c r="B333" s="503" t="s">
        <v>1070</v>
      </c>
      <c r="C333" s="496"/>
      <c r="D333" s="496"/>
      <c r="E333" s="538" t="s">
        <v>443</v>
      </c>
      <c r="F333" s="538" t="s">
        <v>443</v>
      </c>
      <c r="G333" s="538" t="s">
        <v>443</v>
      </c>
      <c r="H333" s="538" t="s">
        <v>443</v>
      </c>
      <c r="I333" s="538" t="s">
        <v>443</v>
      </c>
      <c r="J333" s="538" t="s">
        <v>443</v>
      </c>
      <c r="K333" s="538" t="s">
        <v>443</v>
      </c>
      <c r="L333" s="538" t="s">
        <v>443</v>
      </c>
      <c r="M333" s="538" t="s">
        <v>443</v>
      </c>
    </row>
    <row r="334" spans="1:13" ht="15">
      <c r="A334" s="496"/>
      <c r="B334" s="503" t="s">
        <v>1071</v>
      </c>
      <c r="C334" s="496"/>
      <c r="D334" s="496"/>
      <c r="E334" s="538" t="s">
        <v>443</v>
      </c>
      <c r="F334" s="538" t="s">
        <v>443</v>
      </c>
      <c r="G334" s="538" t="s">
        <v>443</v>
      </c>
      <c r="H334" s="538" t="s">
        <v>443</v>
      </c>
      <c r="I334" s="538" t="s">
        <v>443</v>
      </c>
      <c r="J334" s="538" t="s">
        <v>443</v>
      </c>
      <c r="K334" s="538" t="s">
        <v>443</v>
      </c>
      <c r="L334" s="538" t="s">
        <v>443</v>
      </c>
      <c r="M334" s="538" t="s">
        <v>443</v>
      </c>
    </row>
    <row r="335" spans="1:13" ht="15">
      <c r="A335" s="496"/>
      <c r="B335" s="503" t="s">
        <v>1072</v>
      </c>
      <c r="C335" s="496"/>
      <c r="D335" s="496"/>
      <c r="E335" s="519"/>
      <c r="F335" s="519"/>
      <c r="G335" s="519"/>
      <c r="H335" s="519"/>
      <c r="I335" s="519"/>
      <c r="J335" s="519"/>
      <c r="K335" s="519"/>
      <c r="L335" s="519"/>
      <c r="M335" s="519"/>
    </row>
    <row r="336" spans="1:13" ht="15">
      <c r="A336" s="496"/>
      <c r="B336" s="503" t="s">
        <v>1073</v>
      </c>
      <c r="C336" s="496"/>
      <c r="D336" s="496"/>
      <c r="E336" s="538" t="e">
        <f>#REF!</f>
        <v>#REF!</v>
      </c>
      <c r="F336" s="538" t="e">
        <f>#REF!</f>
        <v>#REF!</v>
      </c>
      <c r="G336" s="538" t="e">
        <f>#REF!</f>
        <v>#REF!</v>
      </c>
      <c r="H336" s="538" t="e">
        <f>#REF!</f>
        <v>#REF!</v>
      </c>
      <c r="I336" s="538" t="e">
        <f>#REF!</f>
        <v>#REF!</v>
      </c>
      <c r="J336" s="538" t="e">
        <f>#REF!</f>
        <v>#REF!</v>
      </c>
      <c r="K336" s="538" t="e">
        <f>#REF!</f>
        <v>#REF!</v>
      </c>
      <c r="L336" s="538" t="e">
        <f>#REF!</f>
        <v>#REF!</v>
      </c>
      <c r="M336" s="538" t="e">
        <f>#REF!</f>
        <v>#REF!</v>
      </c>
    </row>
    <row r="337" spans="1:13" ht="15">
      <c r="A337" s="496"/>
      <c r="B337" s="503"/>
      <c r="C337" s="496"/>
      <c r="D337" s="496"/>
      <c r="E337" s="519"/>
      <c r="F337" s="519"/>
      <c r="G337" s="519"/>
      <c r="H337" s="519"/>
      <c r="I337" s="519"/>
      <c r="J337" s="519"/>
      <c r="K337" s="519"/>
      <c r="L337" s="519"/>
      <c r="M337" s="519"/>
    </row>
    <row r="338" spans="1:13" ht="15">
      <c r="A338" s="503" t="s">
        <v>1074</v>
      </c>
      <c r="B338" s="503" t="s">
        <v>1075</v>
      </c>
      <c r="C338" s="496"/>
      <c r="D338" s="496"/>
      <c r="E338" s="519"/>
      <c r="F338" s="519"/>
      <c r="G338" s="519"/>
      <c r="H338" s="519"/>
      <c r="I338" s="519"/>
      <c r="J338" s="519"/>
      <c r="K338" s="519"/>
      <c r="L338" s="519"/>
      <c r="M338" s="519"/>
    </row>
    <row r="339" spans="1:13" ht="15">
      <c r="A339" s="496"/>
      <c r="B339" s="496"/>
      <c r="C339" s="496"/>
      <c r="D339" s="496"/>
      <c r="E339" s="538" t="s">
        <v>443</v>
      </c>
      <c r="F339" s="538" t="s">
        <v>443</v>
      </c>
      <c r="G339" s="538" t="s">
        <v>443</v>
      </c>
      <c r="H339" s="538" t="s">
        <v>443</v>
      </c>
      <c r="I339" s="538" t="s">
        <v>443</v>
      </c>
      <c r="J339" s="538" t="s">
        <v>443</v>
      </c>
      <c r="K339" s="538" t="s">
        <v>443</v>
      </c>
      <c r="L339" s="538" t="s">
        <v>443</v>
      </c>
      <c r="M339" s="538" t="s">
        <v>443</v>
      </c>
    </row>
    <row r="340" spans="1:13" ht="15">
      <c r="A340" s="503" t="s">
        <v>1076</v>
      </c>
      <c r="B340" s="503" t="s">
        <v>1077</v>
      </c>
      <c r="C340" s="496"/>
      <c r="D340" s="496"/>
      <c r="E340" s="519"/>
      <c r="F340" s="519"/>
      <c r="G340" s="519"/>
      <c r="H340" s="519"/>
      <c r="I340" s="519"/>
      <c r="J340" s="519"/>
      <c r="K340" s="519"/>
      <c r="L340" s="519"/>
      <c r="M340" s="519"/>
    </row>
    <row r="341" spans="1:13" ht="15">
      <c r="A341" s="496"/>
      <c r="B341" s="503" t="s">
        <v>1078</v>
      </c>
      <c r="C341" s="496"/>
      <c r="D341" s="496"/>
      <c r="E341" s="538" t="s">
        <v>443</v>
      </c>
      <c r="F341" s="538" t="s">
        <v>443</v>
      </c>
      <c r="G341" s="538" t="s">
        <v>443</v>
      </c>
      <c r="H341" s="538" t="s">
        <v>443</v>
      </c>
      <c r="I341" s="538" t="s">
        <v>443</v>
      </c>
      <c r="J341" s="538" t="s">
        <v>443</v>
      </c>
      <c r="K341" s="538" t="s">
        <v>443</v>
      </c>
      <c r="L341" s="538" t="s">
        <v>443</v>
      </c>
      <c r="M341" s="538" t="s">
        <v>443</v>
      </c>
    </row>
    <row r="342" spans="1:13" ht="15">
      <c r="A342" s="496"/>
      <c r="B342" s="496"/>
      <c r="C342" s="496"/>
      <c r="D342" s="496"/>
      <c r="E342" s="540"/>
      <c r="F342" s="540"/>
      <c r="G342" s="540"/>
      <c r="H342" s="540"/>
      <c r="I342" s="540"/>
      <c r="J342" s="540"/>
      <c r="K342" s="540"/>
      <c r="L342" s="540"/>
      <c r="M342" s="540"/>
    </row>
    <row r="343" spans="1:13" ht="15.75">
      <c r="A343" s="503" t="s">
        <v>1079</v>
      </c>
      <c r="B343" s="1138" t="s">
        <v>1080</v>
      </c>
      <c r="C343" s="1139"/>
      <c r="D343" s="1139"/>
      <c r="E343" s="541" t="e">
        <f t="shared" ref="E343:J343" si="34">SUM(E326:E341)</f>
        <v>#REF!</v>
      </c>
      <c r="F343" s="541" t="e">
        <f t="shared" si="34"/>
        <v>#REF!</v>
      </c>
      <c r="G343" s="541" t="e">
        <f t="shared" si="34"/>
        <v>#REF!</v>
      </c>
      <c r="H343" s="541" t="e">
        <f t="shared" si="34"/>
        <v>#REF!</v>
      </c>
      <c r="I343" s="541" t="e">
        <f t="shared" si="34"/>
        <v>#REF!</v>
      </c>
      <c r="J343" s="541" t="e">
        <f t="shared" si="34"/>
        <v>#REF!</v>
      </c>
      <c r="K343" s="541" t="e">
        <f>SUM(K326:K341)</f>
        <v>#REF!</v>
      </c>
      <c r="L343" s="541" t="e">
        <f>SUM(L326:L341)</f>
        <v>#REF!</v>
      </c>
      <c r="M343" s="541" t="e">
        <f>SUM(M326:M341)</f>
        <v>#REF!</v>
      </c>
    </row>
    <row r="344" spans="1:13" ht="15">
      <c r="A344" s="496"/>
      <c r="B344" s="496"/>
      <c r="C344" s="496"/>
      <c r="D344" s="496"/>
      <c r="E344" s="540"/>
      <c r="F344" s="540"/>
      <c r="G344" s="540"/>
      <c r="H344" s="540"/>
      <c r="I344" s="540"/>
      <c r="J344" s="540"/>
      <c r="K344" s="540"/>
      <c r="L344" s="540"/>
      <c r="M344" s="540"/>
    </row>
    <row r="345" spans="1:13" ht="15">
      <c r="A345" s="503" t="s">
        <v>1081</v>
      </c>
      <c r="B345" s="503" t="s">
        <v>1082</v>
      </c>
      <c r="C345" s="496"/>
      <c r="D345" s="496"/>
      <c r="E345" s="519"/>
      <c r="F345" s="519"/>
      <c r="G345" s="519"/>
      <c r="H345" s="519"/>
      <c r="I345" s="519"/>
      <c r="J345" s="519"/>
      <c r="K345" s="519"/>
      <c r="L345" s="519"/>
      <c r="M345" s="519"/>
    </row>
    <row r="346" spans="1:13" ht="15">
      <c r="A346" s="496"/>
      <c r="B346" s="503" t="s">
        <v>1083</v>
      </c>
      <c r="C346" s="496"/>
      <c r="D346" s="496"/>
      <c r="E346" s="519">
        <v>0</v>
      </c>
      <c r="F346" s="519">
        <f>E346-F109</f>
        <v>0</v>
      </c>
      <c r="G346" s="519">
        <f>F346-G109</f>
        <v>0</v>
      </c>
      <c r="H346" s="519">
        <v>0</v>
      </c>
      <c r="I346" s="519">
        <f>H346-I109</f>
        <v>0</v>
      </c>
      <c r="J346" s="519">
        <f>I346-J109</f>
        <v>0</v>
      </c>
      <c r="K346" s="519">
        <f>J346-K109</f>
        <v>0</v>
      </c>
      <c r="L346" s="519">
        <f>K346-L109</f>
        <v>0</v>
      </c>
      <c r="M346" s="519">
        <f>L346-M109</f>
        <v>0</v>
      </c>
    </row>
    <row r="347" spans="1:13" ht="15">
      <c r="A347" s="496"/>
      <c r="B347" s="503" t="s">
        <v>1084</v>
      </c>
      <c r="C347" s="496"/>
      <c r="D347" s="496"/>
      <c r="E347" s="519"/>
      <c r="F347" s="519"/>
      <c r="G347" s="519"/>
      <c r="H347" s="519"/>
      <c r="I347" s="519"/>
      <c r="J347" s="519"/>
      <c r="K347" s="519"/>
      <c r="L347" s="519"/>
      <c r="M347" s="519"/>
    </row>
    <row r="348" spans="1:13" ht="15">
      <c r="A348" s="496"/>
      <c r="B348" s="503" t="s">
        <v>1085</v>
      </c>
      <c r="C348" s="496"/>
      <c r="D348" s="496"/>
      <c r="E348" s="519"/>
      <c r="F348" s="519"/>
      <c r="G348" s="519"/>
      <c r="H348" s="519"/>
      <c r="I348" s="519"/>
      <c r="J348" s="519"/>
      <c r="K348" s="519"/>
      <c r="L348" s="519"/>
      <c r="M348" s="519"/>
    </row>
    <row r="349" spans="1:13" ht="16.5" thickBot="1">
      <c r="A349" s="503" t="s">
        <v>1086</v>
      </c>
      <c r="B349" s="512" t="s">
        <v>1087</v>
      </c>
      <c r="C349" s="496"/>
      <c r="D349" s="496"/>
      <c r="E349" s="542" t="e">
        <f>E310+E343+E318+E346</f>
        <v>#REF!</v>
      </c>
      <c r="F349" s="542" t="e">
        <f t="shared" ref="F349:K349" si="35">F310+F318+F343+F346</f>
        <v>#REF!</v>
      </c>
      <c r="G349" s="542" t="e">
        <f t="shared" si="35"/>
        <v>#REF!</v>
      </c>
      <c r="H349" s="542" t="e">
        <f t="shared" si="35"/>
        <v>#REF!</v>
      </c>
      <c r="I349" s="542" t="e">
        <f t="shared" si="35"/>
        <v>#REF!</v>
      </c>
      <c r="J349" s="542" t="e">
        <f t="shared" si="35"/>
        <v>#REF!</v>
      </c>
      <c r="K349" s="542" t="e">
        <f t="shared" si="35"/>
        <v>#REF!</v>
      </c>
      <c r="L349" s="542" t="e">
        <f>L310+L318+L343+L346</f>
        <v>#REF!</v>
      </c>
      <c r="M349" s="542" t="e">
        <f>M310+M318+M343+M346</f>
        <v>#REF!</v>
      </c>
    </row>
    <row r="350" spans="1:13" ht="15.75" thickTop="1">
      <c r="A350" s="537" t="s">
        <v>872</v>
      </c>
      <c r="B350" s="537" t="s">
        <v>872</v>
      </c>
      <c r="C350" s="537" t="s">
        <v>872</v>
      </c>
      <c r="D350" s="537" t="s">
        <v>872</v>
      </c>
      <c r="E350" s="517" t="e">
        <f t="shared" ref="E350:J350" si="36">+E349-E264</f>
        <v>#REF!</v>
      </c>
      <c r="F350" s="517" t="e">
        <f t="shared" si="36"/>
        <v>#REF!</v>
      </c>
      <c r="G350" s="517" t="e">
        <f t="shared" si="36"/>
        <v>#REF!</v>
      </c>
      <c r="H350" s="517" t="e">
        <f t="shared" si="36"/>
        <v>#REF!</v>
      </c>
      <c r="I350" s="517" t="e">
        <f t="shared" si="36"/>
        <v>#REF!</v>
      </c>
      <c r="J350" s="517" t="e">
        <f t="shared" si="36"/>
        <v>#REF!</v>
      </c>
      <c r="K350" s="517" t="e">
        <f>+K349-K264</f>
        <v>#REF!</v>
      </c>
      <c r="L350" s="517" t="e">
        <f>+L349-L264</f>
        <v>#REF!</v>
      </c>
      <c r="M350" s="517" t="e">
        <f>+M349-M264</f>
        <v>#REF!</v>
      </c>
    </row>
    <row r="351" spans="1:13" ht="15">
      <c r="A351" s="503" t="s">
        <v>1088</v>
      </c>
      <c r="B351" s="503" t="s">
        <v>1089</v>
      </c>
      <c r="C351" s="496"/>
      <c r="D351" s="496"/>
      <c r="E351" s="519" t="e">
        <f t="shared" ref="E351:J351" si="37">E262-E346</f>
        <v>#REF!</v>
      </c>
      <c r="F351" s="519" t="e">
        <f t="shared" si="37"/>
        <v>#REF!</v>
      </c>
      <c r="G351" s="519" t="e">
        <f t="shared" si="37"/>
        <v>#REF!</v>
      </c>
      <c r="H351" s="519" t="e">
        <f t="shared" si="37"/>
        <v>#REF!</v>
      </c>
      <c r="I351" s="519" t="e">
        <f t="shared" si="37"/>
        <v>#REF!</v>
      </c>
      <c r="J351" s="519" t="e">
        <f t="shared" si="37"/>
        <v>#REF!</v>
      </c>
      <c r="K351" s="519" t="e">
        <f>K262-K346</f>
        <v>#REF!</v>
      </c>
      <c r="L351" s="519" t="e">
        <f>L262-L346</f>
        <v>#REF!</v>
      </c>
      <c r="M351" s="519" t="e">
        <f>M262-M346</f>
        <v>#REF!</v>
      </c>
    </row>
    <row r="352" spans="1:13" ht="15">
      <c r="A352" s="496"/>
      <c r="B352" s="496"/>
      <c r="C352" s="496"/>
      <c r="D352" s="496"/>
      <c r="E352" s="537"/>
      <c r="F352" s="537"/>
      <c r="G352" s="537"/>
      <c r="H352" s="537"/>
      <c r="I352" s="537"/>
      <c r="J352" s="537"/>
      <c r="K352" s="537"/>
      <c r="L352" s="537"/>
      <c r="M352" s="537"/>
    </row>
    <row r="353" spans="1:13" ht="15">
      <c r="A353" s="503" t="s">
        <v>1090</v>
      </c>
      <c r="B353" s="503" t="s">
        <v>1091</v>
      </c>
      <c r="C353" s="496"/>
      <c r="D353" s="496"/>
      <c r="E353" s="519" t="e">
        <f t="shared" ref="E353:J353" si="38">+E310-E203</f>
        <v>#REF!</v>
      </c>
      <c r="F353" s="519" t="e">
        <f t="shared" si="38"/>
        <v>#REF!</v>
      </c>
      <c r="G353" s="519" t="e">
        <f t="shared" si="38"/>
        <v>#REF!</v>
      </c>
      <c r="H353" s="519" t="e">
        <f t="shared" si="38"/>
        <v>#REF!</v>
      </c>
      <c r="I353" s="519" t="e">
        <f t="shared" si="38"/>
        <v>#REF!</v>
      </c>
      <c r="J353" s="519" t="e">
        <f t="shared" si="38"/>
        <v>#REF!</v>
      </c>
      <c r="K353" s="519" t="e">
        <f>+K310-K203</f>
        <v>#REF!</v>
      </c>
      <c r="L353" s="519" t="e">
        <f>+L310-L203</f>
        <v>#REF!</v>
      </c>
      <c r="M353" s="519" t="e">
        <f>+M310-M203</f>
        <v>#REF!</v>
      </c>
    </row>
    <row r="354" spans="1:13" ht="15">
      <c r="A354" s="496"/>
      <c r="B354" s="496"/>
      <c r="C354" s="496"/>
      <c r="D354" s="496"/>
      <c r="E354" s="519"/>
      <c r="F354" s="519"/>
      <c r="G354" s="519"/>
      <c r="H354" s="519"/>
      <c r="I354" s="519"/>
      <c r="J354" s="519"/>
      <c r="K354" s="519"/>
      <c r="L354" s="519"/>
      <c r="M354" s="519"/>
    </row>
    <row r="355" spans="1:13" ht="15">
      <c r="A355" s="503" t="s">
        <v>1092</v>
      </c>
      <c r="B355" s="503" t="s">
        <v>448</v>
      </c>
      <c r="C355" s="496"/>
      <c r="D355" s="496"/>
      <c r="E355" s="519" t="e">
        <f t="shared" ref="E355:J355" si="39">ROUND(E310/E203,2)</f>
        <v>#REF!</v>
      </c>
      <c r="F355" s="519" t="e">
        <f t="shared" si="39"/>
        <v>#REF!</v>
      </c>
      <c r="G355" s="519" t="e">
        <f t="shared" si="39"/>
        <v>#REF!</v>
      </c>
      <c r="H355" s="519" t="e">
        <f t="shared" si="39"/>
        <v>#REF!</v>
      </c>
      <c r="I355" s="519" t="e">
        <f t="shared" si="39"/>
        <v>#REF!</v>
      </c>
      <c r="J355" s="519" t="e">
        <f t="shared" si="39"/>
        <v>#REF!</v>
      </c>
      <c r="K355" s="519" t="e">
        <f>ROUND(K310/K203,2)</f>
        <v>#REF!</v>
      </c>
      <c r="L355" s="519" t="e">
        <f>ROUND(L310/L203,2)</f>
        <v>#REF!</v>
      </c>
      <c r="M355" s="519" t="e">
        <f>ROUND(M310/M203,2)</f>
        <v>#REF!</v>
      </c>
    </row>
    <row r="356" spans="1:13" ht="15">
      <c r="A356" s="496"/>
      <c r="B356" s="496"/>
      <c r="C356" s="496"/>
      <c r="D356" s="496"/>
      <c r="E356" s="519"/>
      <c r="F356" s="519"/>
      <c r="G356" s="519"/>
      <c r="H356" s="519"/>
      <c r="I356" s="519"/>
      <c r="J356" s="519"/>
      <c r="K356" s="519"/>
      <c r="L356" s="519"/>
      <c r="M356" s="519"/>
    </row>
    <row r="357" spans="1:13" ht="15">
      <c r="A357" s="503" t="s">
        <v>1093</v>
      </c>
      <c r="B357" s="503" t="s">
        <v>1094</v>
      </c>
      <c r="C357" s="496"/>
      <c r="D357" s="496"/>
      <c r="E357" s="519"/>
      <c r="F357" s="519"/>
      <c r="G357" s="519"/>
      <c r="H357" s="519"/>
      <c r="I357" s="519"/>
      <c r="J357" s="519"/>
      <c r="K357" s="519"/>
      <c r="L357" s="519"/>
      <c r="M357" s="519"/>
    </row>
    <row r="358" spans="1:13" ht="15">
      <c r="A358" s="496"/>
      <c r="B358" s="503" t="s">
        <v>1095</v>
      </c>
      <c r="C358" s="496"/>
      <c r="D358" s="496"/>
      <c r="E358" s="519" t="e">
        <f t="shared" ref="E358:J358" si="40">ROUND(E227/E351,2)</f>
        <v>#REF!</v>
      </c>
      <c r="F358" s="519" t="e">
        <f t="shared" si="40"/>
        <v>#REF!</v>
      </c>
      <c r="G358" s="519" t="e">
        <f t="shared" si="40"/>
        <v>#REF!</v>
      </c>
      <c r="H358" s="519" t="e">
        <f t="shared" si="40"/>
        <v>#REF!</v>
      </c>
      <c r="I358" s="519" t="e">
        <f t="shared" si="40"/>
        <v>#REF!</v>
      </c>
      <c r="J358" s="519" t="e">
        <f t="shared" si="40"/>
        <v>#REF!</v>
      </c>
      <c r="K358" s="519" t="e">
        <f>ROUND(K227/K351,2)</f>
        <v>#REF!</v>
      </c>
      <c r="L358" s="519" t="e">
        <f>ROUND(L227/L351,2)</f>
        <v>#REF!</v>
      </c>
      <c r="M358" s="519" t="e">
        <f>ROUND(M227/M351,2)</f>
        <v>#REF!</v>
      </c>
    </row>
    <row r="359" spans="1:13" ht="15">
      <c r="A359" s="496"/>
      <c r="B359" s="496"/>
      <c r="C359" s="496"/>
      <c r="D359" s="496"/>
      <c r="E359" s="519"/>
      <c r="F359" s="519"/>
      <c r="G359" s="519"/>
      <c r="H359" s="519"/>
      <c r="I359" s="519"/>
      <c r="J359" s="519"/>
      <c r="K359" s="519"/>
      <c r="L359" s="519"/>
      <c r="M359" s="519"/>
    </row>
    <row r="360" spans="1:13" ht="15">
      <c r="A360" s="503" t="s">
        <v>1096</v>
      </c>
      <c r="B360" s="503" t="s">
        <v>1097</v>
      </c>
      <c r="C360" s="496"/>
      <c r="D360" s="496"/>
      <c r="E360" s="519"/>
      <c r="F360" s="519"/>
      <c r="G360" s="519"/>
      <c r="H360" s="519"/>
      <c r="I360" s="519"/>
      <c r="J360" s="519"/>
      <c r="K360" s="519"/>
      <c r="L360" s="519"/>
      <c r="M360" s="519"/>
    </row>
    <row r="361" spans="1:13" ht="15">
      <c r="A361" s="496"/>
      <c r="B361" s="503" t="s">
        <v>1095</v>
      </c>
      <c r="C361" s="496"/>
      <c r="D361" s="496"/>
      <c r="E361" s="519" t="e">
        <f t="shared" ref="E361:J361" si="41">ROUND(E225/E351,2)</f>
        <v>#REF!</v>
      </c>
      <c r="F361" s="519" t="e">
        <f t="shared" si="41"/>
        <v>#REF!</v>
      </c>
      <c r="G361" s="519" t="e">
        <f t="shared" si="41"/>
        <v>#REF!</v>
      </c>
      <c r="H361" s="519" t="e">
        <f t="shared" si="41"/>
        <v>#REF!</v>
      </c>
      <c r="I361" s="519" t="e">
        <f t="shared" si="41"/>
        <v>#REF!</v>
      </c>
      <c r="J361" s="519" t="e">
        <f t="shared" si="41"/>
        <v>#REF!</v>
      </c>
      <c r="K361" s="519" t="e">
        <f>ROUND(K225/K351,2)</f>
        <v>#REF!</v>
      </c>
      <c r="L361" s="519" t="e">
        <f>ROUND(L225/L351,2)</f>
        <v>#REF!</v>
      </c>
      <c r="M361" s="519" t="e">
        <f>ROUND(M225/M351,2)</f>
        <v>#REF!</v>
      </c>
    </row>
    <row r="362" spans="1:13" ht="15">
      <c r="A362" s="496"/>
      <c r="B362" s="496"/>
      <c r="C362" s="496"/>
      <c r="D362" s="496"/>
      <c r="E362" s="543"/>
      <c r="F362" s="543"/>
      <c r="G362" s="543"/>
      <c r="H362" s="543"/>
      <c r="I362" s="543"/>
      <c r="J362" s="544"/>
      <c r="K362" s="544"/>
      <c r="L362" s="544"/>
      <c r="M362" s="544"/>
    </row>
    <row r="363" spans="1:13" ht="15">
      <c r="A363" s="496"/>
      <c r="B363" s="496"/>
      <c r="C363" s="496"/>
      <c r="D363" s="496"/>
      <c r="E363" s="544"/>
      <c r="F363" s="544"/>
      <c r="G363" s="544"/>
      <c r="H363" s="544"/>
      <c r="I363" s="544"/>
      <c r="J363" s="544"/>
      <c r="K363" s="544"/>
      <c r="L363" s="520"/>
    </row>
    <row r="364" spans="1:13" ht="15">
      <c r="A364" s="496"/>
      <c r="B364" s="496"/>
      <c r="C364" s="496"/>
      <c r="D364" s="496"/>
      <c r="E364" s="544"/>
      <c r="F364" s="544"/>
      <c r="G364" s="544"/>
      <c r="H364" s="544"/>
      <c r="I364" s="544"/>
      <c r="J364" s="544"/>
      <c r="K364" s="544"/>
      <c r="L364" s="520"/>
    </row>
    <row r="365" spans="1:13" ht="15">
      <c r="A365" s="496"/>
      <c r="B365" s="496"/>
      <c r="C365" s="496"/>
      <c r="D365" s="496"/>
      <c r="E365" s="544"/>
      <c r="F365" s="544"/>
      <c r="G365" s="544"/>
      <c r="H365" s="544"/>
      <c r="I365" s="544"/>
      <c r="J365" s="544"/>
      <c r="K365" s="544"/>
      <c r="L365" s="520"/>
    </row>
    <row r="366" spans="1:13" ht="15">
      <c r="A366" s="496"/>
      <c r="B366" s="496"/>
      <c r="C366" s="496"/>
      <c r="D366" s="496"/>
      <c r="E366" s="544"/>
      <c r="F366" s="544"/>
      <c r="G366" s="544"/>
      <c r="H366" s="544"/>
      <c r="I366" s="544"/>
      <c r="J366" s="544"/>
      <c r="K366" s="544"/>
      <c r="L366" s="520"/>
    </row>
    <row r="367" spans="1:13" ht="15">
      <c r="A367" s="496"/>
      <c r="B367" s="496"/>
      <c r="C367" s="496"/>
      <c r="D367" s="496"/>
      <c r="E367" s="544"/>
      <c r="F367" s="544"/>
      <c r="G367" s="544"/>
      <c r="H367" s="544"/>
      <c r="I367" s="544"/>
      <c r="J367" s="544"/>
      <c r="K367" s="544"/>
      <c r="L367" s="520"/>
    </row>
    <row r="368" spans="1:13" ht="15">
      <c r="A368" s="496"/>
      <c r="B368" s="496"/>
      <c r="C368" s="496"/>
      <c r="D368" s="496"/>
      <c r="E368" s="544"/>
      <c r="F368" s="544"/>
      <c r="G368" s="544"/>
      <c r="H368" s="544"/>
      <c r="I368" s="544"/>
      <c r="J368" s="544"/>
      <c r="K368" s="544"/>
      <c r="L368" s="520"/>
    </row>
    <row r="369" spans="1:12" ht="15">
      <c r="A369" s="496"/>
      <c r="B369" s="496"/>
      <c r="C369" s="496"/>
      <c r="D369" s="496"/>
      <c r="E369" s="544"/>
      <c r="F369" s="544"/>
      <c r="G369" s="544"/>
      <c r="H369" s="544"/>
      <c r="I369" s="544"/>
      <c r="J369" s="544"/>
      <c r="K369" s="544"/>
      <c r="L369" s="520"/>
    </row>
    <row r="370" spans="1:12" ht="15">
      <c r="A370" s="496"/>
      <c r="B370" s="496"/>
      <c r="C370" s="496"/>
      <c r="D370" s="496"/>
      <c r="E370" s="544"/>
      <c r="F370" s="544"/>
      <c r="G370" s="544"/>
      <c r="H370" s="544"/>
      <c r="I370" s="544"/>
      <c r="J370" s="544"/>
      <c r="K370" s="544"/>
      <c r="L370" s="520"/>
    </row>
    <row r="371" spans="1:12" ht="15">
      <c r="A371" s="496"/>
      <c r="B371" s="496"/>
      <c r="C371" s="496"/>
      <c r="D371" s="496"/>
      <c r="E371" s="544"/>
      <c r="F371" s="544"/>
      <c r="G371" s="544"/>
      <c r="H371" s="544"/>
      <c r="I371" s="544"/>
      <c r="J371" s="544"/>
      <c r="K371" s="544"/>
      <c r="L371" s="520"/>
    </row>
    <row r="372" spans="1:12" ht="15">
      <c r="A372" s="496"/>
      <c r="B372" s="496"/>
      <c r="C372" s="496"/>
      <c r="D372" s="496"/>
      <c r="E372" s="544"/>
      <c r="F372" s="544"/>
      <c r="G372" s="544"/>
      <c r="H372" s="544"/>
      <c r="I372" s="544"/>
      <c r="J372" s="544"/>
      <c r="K372" s="544"/>
      <c r="L372" s="520"/>
    </row>
    <row r="373" spans="1:12" ht="15">
      <c r="A373" s="496"/>
      <c r="B373" s="496"/>
      <c r="C373" s="496"/>
      <c r="D373" s="496"/>
      <c r="E373" s="544"/>
      <c r="F373" s="544"/>
      <c r="G373" s="544"/>
      <c r="H373" s="544"/>
      <c r="I373" s="544"/>
      <c r="J373" s="544"/>
      <c r="K373" s="544"/>
      <c r="L373" s="520"/>
    </row>
    <row r="374" spans="1:12" ht="15">
      <c r="A374" s="496"/>
      <c r="B374" s="496"/>
      <c r="C374" s="496"/>
      <c r="D374" s="496"/>
      <c r="E374" s="544"/>
      <c r="F374" s="544"/>
      <c r="G374" s="544"/>
      <c r="H374" s="544"/>
      <c r="I374" s="544"/>
      <c r="J374" s="544"/>
      <c r="K374" s="544"/>
      <c r="L374" s="520"/>
    </row>
    <row r="375" spans="1:12" ht="15">
      <c r="A375" s="496"/>
      <c r="B375" s="496"/>
      <c r="C375" s="496"/>
      <c r="D375" s="496"/>
      <c r="E375" s="544"/>
      <c r="F375" s="544"/>
      <c r="G375" s="544"/>
      <c r="H375" s="544"/>
      <c r="I375" s="544"/>
      <c r="J375" s="544"/>
      <c r="K375" s="544"/>
      <c r="L375" s="520"/>
    </row>
    <row r="376" spans="1:12" ht="15">
      <c r="A376" s="496"/>
      <c r="B376" s="496"/>
      <c r="C376" s="496"/>
      <c r="D376" s="496"/>
      <c r="E376" s="544"/>
      <c r="F376" s="544"/>
      <c r="G376" s="544"/>
      <c r="H376" s="544"/>
      <c r="I376" s="544"/>
      <c r="J376" s="544"/>
      <c r="K376" s="544"/>
      <c r="L376" s="520"/>
    </row>
    <row r="377" spans="1:12" ht="15">
      <c r="A377" s="496"/>
      <c r="B377" s="496"/>
      <c r="C377" s="496"/>
      <c r="D377" s="496"/>
      <c r="E377" s="544"/>
      <c r="F377" s="544"/>
      <c r="G377" s="544"/>
      <c r="H377" s="544"/>
      <c r="I377" s="544"/>
      <c r="J377" s="544"/>
      <c r="K377" s="544"/>
      <c r="L377" s="520"/>
    </row>
    <row r="378" spans="1:12" ht="15">
      <c r="A378" s="496"/>
      <c r="B378" s="496"/>
      <c r="C378" s="496"/>
      <c r="D378" s="496"/>
      <c r="E378" s="544"/>
      <c r="F378" s="544"/>
      <c r="G378" s="544"/>
      <c r="H378" s="544"/>
      <c r="I378" s="544"/>
      <c r="J378" s="544"/>
      <c r="K378" s="544"/>
      <c r="L378" s="520"/>
    </row>
    <row r="379" spans="1:12" ht="15">
      <c r="A379" s="496"/>
      <c r="B379" s="496"/>
      <c r="C379" s="496"/>
      <c r="D379" s="496"/>
      <c r="E379" s="544"/>
      <c r="F379" s="544"/>
      <c r="G379" s="544"/>
      <c r="H379" s="544"/>
      <c r="I379" s="544"/>
      <c r="J379" s="544"/>
      <c r="K379" s="544"/>
      <c r="L379" s="520"/>
    </row>
    <row r="380" spans="1:12" ht="15">
      <c r="A380" s="496"/>
      <c r="B380" s="496"/>
      <c r="C380" s="496"/>
      <c r="D380" s="496"/>
      <c r="E380" s="544"/>
      <c r="F380" s="544"/>
      <c r="G380" s="544"/>
      <c r="H380" s="544"/>
      <c r="I380" s="544"/>
      <c r="J380" s="544"/>
      <c r="K380" s="544"/>
      <c r="L380" s="520"/>
    </row>
    <row r="381" spans="1:12" ht="15">
      <c r="A381" s="496"/>
      <c r="B381" s="496"/>
      <c r="C381" s="496"/>
      <c r="D381" s="496"/>
      <c r="E381" s="544"/>
      <c r="F381" s="544"/>
      <c r="G381" s="544"/>
      <c r="H381" s="544"/>
      <c r="I381" s="544"/>
      <c r="J381" s="544"/>
      <c r="K381" s="544"/>
      <c r="L381" s="520"/>
    </row>
    <row r="382" spans="1:12" ht="15">
      <c r="A382" s="496"/>
      <c r="B382" s="496"/>
      <c r="C382" s="496"/>
      <c r="D382" s="496"/>
      <c r="E382" s="544"/>
      <c r="F382" s="544"/>
      <c r="G382" s="544"/>
      <c r="H382" s="544"/>
      <c r="I382" s="544"/>
      <c r="J382" s="544"/>
      <c r="K382" s="544"/>
      <c r="L382" s="520"/>
    </row>
    <row r="383" spans="1:12" ht="15">
      <c r="A383" s="496"/>
      <c r="B383" s="496"/>
      <c r="C383" s="496"/>
      <c r="D383" s="496"/>
      <c r="E383" s="544"/>
      <c r="F383" s="544"/>
      <c r="G383" s="544"/>
      <c r="H383" s="544"/>
      <c r="I383" s="544"/>
      <c r="J383" s="544"/>
      <c r="K383" s="544"/>
      <c r="L383" s="520"/>
    </row>
    <row r="384" spans="1:12" ht="15">
      <c r="A384" s="496"/>
      <c r="B384" s="496"/>
      <c r="C384" s="496"/>
      <c r="D384" s="496"/>
      <c r="E384" s="544"/>
      <c r="F384" s="544"/>
      <c r="G384" s="544"/>
      <c r="H384" s="544"/>
      <c r="I384" s="544"/>
      <c r="J384" s="544"/>
      <c r="K384" s="544"/>
      <c r="L384" s="520"/>
    </row>
    <row r="385" spans="1:12" ht="15">
      <c r="A385" s="496"/>
      <c r="B385" s="496"/>
      <c r="C385" s="496"/>
      <c r="D385" s="496"/>
      <c r="E385" s="544"/>
      <c r="F385" s="544"/>
      <c r="G385" s="544"/>
      <c r="H385" s="544"/>
      <c r="I385" s="544"/>
      <c r="J385" s="544"/>
      <c r="K385" s="544"/>
      <c r="L385" s="520"/>
    </row>
    <row r="386" spans="1:12" ht="15">
      <c r="A386" s="496"/>
      <c r="B386" s="496"/>
      <c r="C386" s="496"/>
      <c r="D386" s="496"/>
      <c r="E386" s="544"/>
      <c r="F386" s="544"/>
      <c r="G386" s="544"/>
      <c r="H386" s="544"/>
      <c r="I386" s="544"/>
      <c r="J386" s="544"/>
      <c r="K386" s="544"/>
      <c r="L386" s="520"/>
    </row>
    <row r="387" spans="1:12" ht="15">
      <c r="A387" s="496"/>
      <c r="B387" s="496"/>
      <c r="C387" s="496"/>
      <c r="D387" s="496"/>
      <c r="E387" s="544"/>
      <c r="F387" s="544"/>
      <c r="G387" s="544"/>
      <c r="H387" s="544"/>
      <c r="I387" s="544"/>
      <c r="J387" s="544"/>
      <c r="K387" s="544"/>
      <c r="L387" s="520"/>
    </row>
    <row r="388" spans="1:12" ht="15">
      <c r="A388" s="496"/>
      <c r="B388" s="496"/>
      <c r="C388" s="496"/>
      <c r="D388" s="496"/>
      <c r="E388" s="544"/>
      <c r="F388" s="544"/>
      <c r="G388" s="544"/>
      <c r="H388" s="544"/>
      <c r="I388" s="544"/>
      <c r="J388" s="544"/>
      <c r="K388" s="544"/>
      <c r="L388" s="520"/>
    </row>
    <row r="389" spans="1:12" ht="15">
      <c r="A389" s="496"/>
      <c r="B389" s="496"/>
      <c r="C389" s="496"/>
      <c r="D389" s="496"/>
      <c r="E389" s="544"/>
      <c r="F389" s="544"/>
      <c r="G389" s="544"/>
      <c r="H389" s="544"/>
      <c r="I389" s="544"/>
      <c r="J389" s="544"/>
      <c r="K389" s="544"/>
      <c r="L389" s="520"/>
    </row>
    <row r="390" spans="1:12" ht="15">
      <c r="A390" s="496"/>
      <c r="B390" s="496"/>
      <c r="C390" s="496"/>
      <c r="D390" s="496"/>
      <c r="E390" s="544"/>
      <c r="F390" s="544"/>
      <c r="G390" s="544"/>
      <c r="H390" s="544"/>
      <c r="I390" s="544"/>
      <c r="J390" s="544"/>
      <c r="K390" s="544"/>
      <c r="L390" s="520"/>
    </row>
    <row r="391" spans="1:12" ht="15">
      <c r="A391" s="496"/>
      <c r="B391" s="496"/>
      <c r="C391" s="496"/>
      <c r="D391" s="496"/>
      <c r="E391" s="544"/>
      <c r="F391" s="544"/>
      <c r="G391" s="544"/>
      <c r="H391" s="544"/>
      <c r="I391" s="544"/>
      <c r="J391" s="544"/>
      <c r="K391" s="544"/>
      <c r="L391" s="520"/>
    </row>
    <row r="392" spans="1:12" ht="15">
      <c r="A392" s="496"/>
      <c r="B392" s="496"/>
      <c r="C392" s="496"/>
      <c r="D392" s="496"/>
      <c r="E392" s="544"/>
      <c r="F392" s="544"/>
      <c r="G392" s="544"/>
      <c r="H392" s="544"/>
      <c r="I392" s="544"/>
      <c r="J392" s="544"/>
      <c r="K392" s="544"/>
      <c r="L392" s="520"/>
    </row>
    <row r="393" spans="1:12" ht="15">
      <c r="A393" s="496"/>
      <c r="B393" s="496"/>
      <c r="C393" s="496"/>
      <c r="D393" s="496"/>
      <c r="E393" s="544"/>
      <c r="F393" s="544"/>
      <c r="G393" s="544"/>
      <c r="H393" s="544"/>
      <c r="I393" s="544"/>
      <c r="J393" s="544"/>
      <c r="K393" s="544"/>
      <c r="L393" s="520"/>
    </row>
    <row r="394" spans="1:12" ht="15">
      <c r="A394" s="496"/>
      <c r="B394" s="496"/>
      <c r="C394" s="496"/>
      <c r="D394" s="496"/>
      <c r="E394" s="544"/>
      <c r="F394" s="544"/>
      <c r="G394" s="544"/>
      <c r="H394" s="544"/>
      <c r="I394" s="544"/>
      <c r="J394" s="544"/>
      <c r="K394" s="544"/>
      <c r="L394" s="520"/>
    </row>
    <row r="395" spans="1:12" ht="15">
      <c r="A395" s="496"/>
      <c r="B395" s="496"/>
      <c r="C395" s="496"/>
      <c r="D395" s="496"/>
      <c r="E395" s="544"/>
      <c r="F395" s="544"/>
      <c r="G395" s="544"/>
      <c r="H395" s="544"/>
      <c r="I395" s="544"/>
      <c r="J395" s="544"/>
      <c r="K395" s="544"/>
      <c r="L395" s="520"/>
    </row>
    <row r="396" spans="1:12" ht="15">
      <c r="A396" s="496"/>
      <c r="B396" s="496"/>
      <c r="C396" s="496"/>
      <c r="D396" s="496"/>
      <c r="E396" s="544"/>
      <c r="F396" s="544"/>
      <c r="G396" s="544"/>
      <c r="H396" s="544"/>
      <c r="I396" s="544"/>
      <c r="J396" s="544"/>
      <c r="K396" s="544"/>
      <c r="L396" s="520"/>
    </row>
    <row r="397" spans="1:12" ht="15">
      <c r="A397" s="496"/>
      <c r="B397" s="496"/>
      <c r="C397" s="496"/>
      <c r="D397" s="496"/>
      <c r="E397" s="544"/>
      <c r="F397" s="544"/>
      <c r="G397" s="544"/>
      <c r="H397" s="544"/>
      <c r="I397" s="544"/>
      <c r="J397" s="544"/>
      <c r="K397" s="544"/>
      <c r="L397" s="520"/>
    </row>
    <row r="398" spans="1:12" ht="15">
      <c r="A398" s="496"/>
      <c r="B398" s="496"/>
      <c r="C398" s="496"/>
      <c r="D398" s="496"/>
      <c r="E398" s="544"/>
      <c r="F398" s="544"/>
      <c r="G398" s="544"/>
      <c r="H398" s="544"/>
      <c r="I398" s="544"/>
      <c r="J398" s="544"/>
      <c r="K398" s="544"/>
      <c r="L398" s="520"/>
    </row>
    <row r="399" spans="1:12" ht="15">
      <c r="A399" s="496"/>
      <c r="B399" s="496"/>
      <c r="C399" s="496"/>
      <c r="D399" s="496"/>
      <c r="E399" s="544"/>
      <c r="F399" s="544"/>
      <c r="G399" s="544"/>
      <c r="H399" s="544"/>
      <c r="I399" s="544"/>
      <c r="J399" s="544"/>
      <c r="K399" s="544"/>
      <c r="L399" s="520"/>
    </row>
    <row r="400" spans="1:12" ht="15.75">
      <c r="A400" s="1140" t="s">
        <v>1098</v>
      </c>
      <c r="B400" s="1140"/>
      <c r="C400" s="1140"/>
      <c r="D400" s="1140"/>
      <c r="E400" s="1140"/>
      <c r="F400" s="1140"/>
      <c r="G400" s="1140"/>
      <c r="H400" s="1140"/>
      <c r="I400" s="1140"/>
      <c r="J400" s="1140"/>
      <c r="K400" s="1016"/>
      <c r="L400" s="520"/>
    </row>
    <row r="401" spans="1:13" ht="15.75">
      <c r="A401" s="1132" t="s">
        <v>1099</v>
      </c>
      <c r="B401" s="1132"/>
      <c r="C401" s="1132"/>
      <c r="D401" s="1132"/>
      <c r="E401" s="1132"/>
      <c r="F401" s="1132"/>
      <c r="G401" s="1132"/>
      <c r="H401" s="1132"/>
      <c r="I401" s="1132"/>
      <c r="J401" s="1132"/>
      <c r="K401" s="1015"/>
      <c r="L401" s="520"/>
    </row>
    <row r="402" spans="1:13" ht="15.75">
      <c r="A402" s="1132" t="s">
        <v>1100</v>
      </c>
      <c r="B402" s="1132"/>
      <c r="C402" s="1132"/>
      <c r="D402" s="1132"/>
      <c r="E402" s="1132"/>
      <c r="F402" s="1132"/>
      <c r="G402" s="1132"/>
      <c r="H402" s="1132"/>
      <c r="I402" s="1132"/>
      <c r="J402" s="1132"/>
      <c r="K402" s="1015"/>
      <c r="L402" s="520"/>
    </row>
    <row r="403" spans="1:13" ht="15" hidden="1">
      <c r="A403" s="496"/>
      <c r="B403" s="496"/>
      <c r="C403" s="503"/>
      <c r="D403" s="496"/>
      <c r="E403" s="519"/>
      <c r="F403" s="519"/>
      <c r="G403" s="519"/>
      <c r="H403" s="519"/>
      <c r="I403" s="519"/>
      <c r="J403" s="519"/>
      <c r="K403" s="519"/>
      <c r="L403" s="520"/>
    </row>
    <row r="404" spans="1:13" ht="15" hidden="1">
      <c r="A404" s="496"/>
      <c r="B404" s="496"/>
      <c r="C404" s="496"/>
      <c r="D404" s="496"/>
      <c r="E404" s="519"/>
      <c r="F404" s="496"/>
      <c r="G404" s="520"/>
      <c r="H404" s="520"/>
      <c r="I404" s="520"/>
      <c r="J404" s="516"/>
      <c r="K404" s="516"/>
      <c r="L404" s="520"/>
    </row>
    <row r="405" spans="1:13" ht="15">
      <c r="A405" s="496"/>
      <c r="B405" s="496"/>
      <c r="C405" s="496"/>
      <c r="D405" s="497"/>
      <c r="E405" s="519"/>
      <c r="F405" s="496"/>
      <c r="G405" s="520"/>
      <c r="H405" s="520"/>
      <c r="I405" s="519"/>
      <c r="J405" s="516"/>
      <c r="K405" s="516"/>
      <c r="L405" s="544"/>
    </row>
    <row r="406" spans="1:13" s="7" customFormat="1">
      <c r="A406" s="524" t="s">
        <v>1101</v>
      </c>
      <c r="B406" s="525"/>
      <c r="C406" s="525"/>
      <c r="D406" s="545"/>
      <c r="E406" s="526" t="e">
        <f t="shared" ref="E406:I407" si="42">+E268</f>
        <v>#REF!</v>
      </c>
      <c r="F406" s="526" t="e">
        <f t="shared" si="42"/>
        <v>#REF!</v>
      </c>
      <c r="G406" s="526" t="e">
        <f t="shared" si="42"/>
        <v>#REF!</v>
      </c>
      <c r="H406" s="526" t="e">
        <f t="shared" si="42"/>
        <v>#REF!</v>
      </c>
      <c r="I406" s="526" t="e">
        <f t="shared" si="42"/>
        <v>#REF!</v>
      </c>
      <c r="J406" s="526" t="e">
        <f t="shared" ref="J406:M407" si="43">+J268</f>
        <v>#REF!</v>
      </c>
      <c r="K406" s="526" t="e">
        <f t="shared" si="43"/>
        <v>#REF!</v>
      </c>
      <c r="L406" s="526" t="e">
        <f t="shared" si="43"/>
        <v>#REF!</v>
      </c>
      <c r="M406" s="526" t="e">
        <f t="shared" si="43"/>
        <v>#REF!</v>
      </c>
    </row>
    <row r="407" spans="1:13" ht="15">
      <c r="A407" s="502"/>
      <c r="B407" s="502"/>
      <c r="C407" s="502"/>
      <c r="D407" s="546"/>
      <c r="E407" s="547" t="str">
        <f t="shared" si="42"/>
        <v>(Pro.)</v>
      </c>
      <c r="F407" s="547" t="str">
        <f t="shared" si="42"/>
        <v>(Pro.)</v>
      </c>
      <c r="G407" s="547" t="str">
        <f t="shared" si="42"/>
        <v>(Pro.)</v>
      </c>
      <c r="H407" s="547" t="str">
        <f t="shared" si="42"/>
        <v>(Pro.)</v>
      </c>
      <c r="I407" s="547" t="str">
        <f t="shared" si="42"/>
        <v>(Pro.)</v>
      </c>
      <c r="J407" s="547" t="str">
        <f t="shared" si="43"/>
        <v>(Pro.)</v>
      </c>
      <c r="K407" s="547" t="str">
        <f t="shared" si="43"/>
        <v>(Pro.)</v>
      </c>
      <c r="L407" s="547" t="str">
        <f t="shared" si="43"/>
        <v>(Pro.)</v>
      </c>
      <c r="M407" s="547" t="str">
        <f t="shared" si="43"/>
        <v>(Pro.)</v>
      </c>
    </row>
    <row r="408" spans="1:13" ht="15">
      <c r="A408" s="528"/>
      <c r="B408" s="528"/>
      <c r="C408" s="528"/>
      <c r="D408" s="528"/>
      <c r="E408" s="548" t="s">
        <v>864</v>
      </c>
      <c r="F408" s="508" t="s">
        <v>865</v>
      </c>
      <c r="G408" s="508" t="s">
        <v>866</v>
      </c>
      <c r="H408" s="509" t="s">
        <v>867</v>
      </c>
      <c r="I408" s="509" t="s">
        <v>868</v>
      </c>
      <c r="J408" s="509" t="s">
        <v>868</v>
      </c>
      <c r="K408" s="509" t="s">
        <v>868</v>
      </c>
      <c r="L408" s="509" t="s">
        <v>868</v>
      </c>
      <c r="M408" s="509" t="s">
        <v>868</v>
      </c>
    </row>
    <row r="409" spans="1:13" ht="7.5" customHeight="1">
      <c r="A409" s="503"/>
      <c r="B409" s="496"/>
      <c r="C409" s="496"/>
      <c r="D409" s="497"/>
      <c r="E409" s="540"/>
      <c r="F409" s="540"/>
      <c r="G409" s="540"/>
      <c r="H409" s="540"/>
      <c r="I409" s="540"/>
      <c r="J409" s="540"/>
      <c r="K409" s="540"/>
      <c r="L409" s="540"/>
      <c r="M409" s="540"/>
    </row>
    <row r="410" spans="1:13" ht="15">
      <c r="A410" s="503" t="s">
        <v>307</v>
      </c>
      <c r="B410" s="503" t="s">
        <v>1102</v>
      </c>
      <c r="C410" s="496"/>
      <c r="D410" s="496"/>
      <c r="E410" s="538"/>
      <c r="F410" s="538"/>
      <c r="G410" s="538"/>
      <c r="H410" s="538"/>
      <c r="I410" s="538"/>
      <c r="J410" s="538"/>
      <c r="K410" s="538"/>
      <c r="L410" s="538"/>
      <c r="M410" s="538"/>
    </row>
    <row r="411" spans="1:13" ht="15">
      <c r="A411" s="496"/>
      <c r="B411" s="503" t="s">
        <v>1103</v>
      </c>
      <c r="C411" s="496"/>
      <c r="D411" s="496"/>
      <c r="E411" s="520"/>
      <c r="F411" s="520"/>
      <c r="G411" s="520"/>
      <c r="H411" s="520"/>
      <c r="I411" s="520"/>
      <c r="J411" s="520"/>
      <c r="K411" s="520"/>
      <c r="L411" s="520"/>
      <c r="M411" s="520"/>
    </row>
    <row r="412" spans="1:13" ht="15">
      <c r="A412" s="496"/>
      <c r="B412" s="503" t="s">
        <v>1104</v>
      </c>
      <c r="C412" s="496"/>
      <c r="D412" s="496"/>
      <c r="E412" s="520"/>
      <c r="F412" s="520"/>
      <c r="G412" s="520"/>
      <c r="H412" s="520"/>
      <c r="I412" s="520"/>
      <c r="J412" s="520"/>
      <c r="K412" s="520"/>
      <c r="L412" s="520"/>
      <c r="M412" s="520"/>
    </row>
    <row r="413" spans="1:13" ht="15">
      <c r="A413" s="496"/>
      <c r="B413" s="503" t="s">
        <v>889</v>
      </c>
      <c r="C413" s="496"/>
      <c r="D413" s="496"/>
      <c r="E413" s="538" t="s">
        <v>443</v>
      </c>
      <c r="F413" s="538" t="s">
        <v>443</v>
      </c>
      <c r="G413" s="538" t="s">
        <v>443</v>
      </c>
      <c r="H413" s="538" t="s">
        <v>443</v>
      </c>
      <c r="I413" s="538" t="s">
        <v>443</v>
      </c>
      <c r="J413" s="538" t="s">
        <v>443</v>
      </c>
      <c r="K413" s="538" t="s">
        <v>443</v>
      </c>
      <c r="L413" s="538" t="s">
        <v>443</v>
      </c>
      <c r="M413" s="538" t="s">
        <v>443</v>
      </c>
    </row>
    <row r="414" spans="1:13" ht="15">
      <c r="A414" s="496"/>
      <c r="B414" s="503" t="s">
        <v>1105</v>
      </c>
      <c r="C414" s="496"/>
      <c r="D414" s="496"/>
      <c r="E414" s="538"/>
      <c r="F414" s="538"/>
      <c r="G414" s="538"/>
      <c r="H414" s="520"/>
      <c r="I414" s="520"/>
      <c r="J414" s="520"/>
      <c r="K414" s="520"/>
      <c r="L414" s="520"/>
      <c r="M414" s="520"/>
    </row>
    <row r="415" spans="1:13" ht="4.5" customHeight="1">
      <c r="A415" s="496"/>
      <c r="B415" s="496"/>
      <c r="C415" s="496"/>
      <c r="D415" s="496"/>
      <c r="E415" s="519"/>
      <c r="F415" s="519"/>
      <c r="G415" s="519"/>
      <c r="H415" s="519"/>
      <c r="I415" s="519"/>
      <c r="J415" s="519"/>
      <c r="K415" s="519"/>
      <c r="L415" s="519"/>
      <c r="M415" s="519"/>
    </row>
    <row r="416" spans="1:13" ht="15">
      <c r="A416" s="496"/>
      <c r="B416" s="503" t="s">
        <v>1106</v>
      </c>
      <c r="C416" s="496"/>
      <c r="D416" s="496"/>
      <c r="E416" s="496"/>
      <c r="F416" s="496"/>
      <c r="G416" s="496"/>
      <c r="H416" s="496"/>
      <c r="I416" s="496"/>
      <c r="J416" s="496"/>
      <c r="K416" s="496"/>
      <c r="L416" s="496"/>
      <c r="M416" s="496"/>
    </row>
    <row r="417" spans="1:13" ht="2.25" customHeight="1">
      <c r="A417" s="496"/>
      <c r="B417" s="496"/>
      <c r="C417" s="496"/>
      <c r="D417" s="496"/>
      <c r="E417" s="519"/>
      <c r="F417" s="519"/>
      <c r="G417" s="519"/>
      <c r="H417" s="519"/>
      <c r="I417" s="519"/>
      <c r="J417" s="519"/>
      <c r="K417" s="519"/>
      <c r="L417" s="519"/>
      <c r="M417" s="519"/>
    </row>
    <row r="418" spans="1:13" ht="15">
      <c r="A418" s="496"/>
      <c r="B418" s="503" t="s">
        <v>1107</v>
      </c>
      <c r="C418" s="496"/>
      <c r="D418" s="496"/>
      <c r="E418" s="519"/>
      <c r="F418" s="519"/>
      <c r="G418" s="519"/>
      <c r="H418" s="519"/>
      <c r="I418" s="519"/>
      <c r="J418" s="519"/>
      <c r="K418" s="519"/>
      <c r="L418" s="519"/>
      <c r="M418" s="519"/>
    </row>
    <row r="419" spans="1:13" ht="15">
      <c r="A419" s="496"/>
      <c r="B419" s="503" t="s">
        <v>1105</v>
      </c>
      <c r="C419" s="496"/>
      <c r="D419" s="496"/>
      <c r="E419" s="519">
        <f t="shared" ref="E419:J419" si="44">+E295</f>
        <v>0</v>
      </c>
      <c r="F419" s="519">
        <f t="shared" si="44"/>
        <v>0</v>
      </c>
      <c r="G419" s="519">
        <f t="shared" si="44"/>
        <v>0</v>
      </c>
      <c r="H419" s="519">
        <f t="shared" si="44"/>
        <v>0</v>
      </c>
      <c r="I419" s="519">
        <f t="shared" si="44"/>
        <v>0</v>
      </c>
      <c r="J419" s="519">
        <f t="shared" si="44"/>
        <v>0</v>
      </c>
      <c r="K419" s="519">
        <f>+K295</f>
        <v>0</v>
      </c>
      <c r="L419" s="519">
        <f>+L295</f>
        <v>0</v>
      </c>
      <c r="M419" s="519">
        <f>+M295</f>
        <v>0</v>
      </c>
    </row>
    <row r="420" spans="1:13" ht="3.75" customHeight="1">
      <c r="A420" s="496"/>
      <c r="B420" s="496"/>
      <c r="C420" s="496"/>
      <c r="D420" s="496"/>
      <c r="E420" s="519"/>
      <c r="F420" s="519"/>
      <c r="G420" s="519"/>
      <c r="H420" s="519"/>
      <c r="I420" s="519"/>
      <c r="J420" s="519"/>
      <c r="K420" s="519"/>
      <c r="L420" s="519"/>
      <c r="M420" s="519"/>
    </row>
    <row r="421" spans="1:13" ht="15">
      <c r="A421" s="496"/>
      <c r="B421" s="503" t="s">
        <v>1106</v>
      </c>
      <c r="C421" s="496"/>
      <c r="D421" s="496"/>
      <c r="E421" s="517" t="e">
        <f t="shared" ref="E421:K421" si="45">+E419/E42*12</f>
        <v>#REF!</v>
      </c>
      <c r="F421" s="517" t="e">
        <f t="shared" si="45"/>
        <v>#REF!</v>
      </c>
      <c r="G421" s="517" t="e">
        <f t="shared" si="45"/>
        <v>#REF!</v>
      </c>
      <c r="H421" s="517" t="e">
        <f t="shared" si="45"/>
        <v>#REF!</v>
      </c>
      <c r="I421" s="517" t="e">
        <f t="shared" si="45"/>
        <v>#REF!</v>
      </c>
      <c r="J421" s="517" t="e">
        <f t="shared" si="45"/>
        <v>#REF!</v>
      </c>
      <c r="K421" s="517" t="e">
        <f t="shared" si="45"/>
        <v>#REF!</v>
      </c>
      <c r="L421" s="517" t="e">
        <f>+L419/L42*12</f>
        <v>#REF!</v>
      </c>
      <c r="M421" s="517" t="e">
        <f>+M419/M42*12</f>
        <v>#REF!</v>
      </c>
    </row>
    <row r="422" spans="1:13" ht="6.75" customHeight="1">
      <c r="A422" s="496"/>
      <c r="B422" s="496"/>
      <c r="C422" s="496"/>
      <c r="D422" s="496"/>
      <c r="E422" s="519"/>
      <c r="F422" s="519"/>
      <c r="G422" s="519"/>
      <c r="H422" s="519"/>
      <c r="I422" s="519"/>
      <c r="J422" s="519"/>
      <c r="K422" s="519"/>
      <c r="L422" s="519"/>
      <c r="M422" s="519"/>
    </row>
    <row r="423" spans="1:13" ht="15">
      <c r="A423" s="503" t="s">
        <v>877</v>
      </c>
      <c r="B423" s="503" t="s">
        <v>1108</v>
      </c>
      <c r="C423" s="496"/>
      <c r="D423" s="496"/>
      <c r="E423" s="519"/>
      <c r="F423" s="519"/>
      <c r="G423" s="519"/>
      <c r="H423" s="519"/>
      <c r="I423" s="519"/>
      <c r="J423" s="519"/>
      <c r="K423" s="519"/>
      <c r="L423" s="519"/>
      <c r="M423" s="519"/>
    </row>
    <row r="424" spans="1:13" ht="15">
      <c r="A424" s="496"/>
      <c r="B424" s="503" t="s">
        <v>1109</v>
      </c>
      <c r="C424" s="496"/>
      <c r="D424" s="496"/>
      <c r="E424" s="519"/>
      <c r="F424" s="519"/>
      <c r="G424" s="519"/>
      <c r="H424" s="519"/>
      <c r="I424" s="519"/>
      <c r="J424" s="519"/>
      <c r="K424" s="519"/>
      <c r="L424" s="519"/>
      <c r="M424" s="519"/>
    </row>
    <row r="425" spans="1:13" ht="15">
      <c r="A425" s="496"/>
      <c r="B425" s="503" t="s">
        <v>1110</v>
      </c>
      <c r="C425" s="496"/>
      <c r="D425" s="496"/>
      <c r="E425" s="519"/>
      <c r="F425" s="519"/>
      <c r="G425" s="519"/>
      <c r="H425" s="519"/>
      <c r="I425" s="519"/>
      <c r="J425" s="519"/>
      <c r="K425" s="519"/>
      <c r="L425" s="519"/>
      <c r="M425" s="519"/>
    </row>
    <row r="426" spans="1:13" ht="15">
      <c r="A426" s="496"/>
      <c r="B426" s="503" t="s">
        <v>1111</v>
      </c>
      <c r="C426" s="496"/>
      <c r="D426" s="496"/>
      <c r="E426" s="519"/>
      <c r="F426" s="519"/>
      <c r="G426" s="519"/>
      <c r="H426" s="519"/>
      <c r="I426" s="519"/>
      <c r="J426" s="519"/>
      <c r="K426" s="519"/>
      <c r="L426" s="519"/>
      <c r="M426" s="519"/>
    </row>
    <row r="427" spans="1:13" ht="15">
      <c r="A427" s="496"/>
      <c r="B427" s="503" t="s">
        <v>1112</v>
      </c>
      <c r="C427" s="496"/>
      <c r="D427" s="496"/>
      <c r="E427" s="538" t="s">
        <v>443</v>
      </c>
      <c r="F427" s="538" t="s">
        <v>443</v>
      </c>
      <c r="G427" s="538" t="s">
        <v>443</v>
      </c>
      <c r="H427" s="538" t="s">
        <v>443</v>
      </c>
      <c r="I427" s="538" t="s">
        <v>443</v>
      </c>
      <c r="J427" s="538" t="s">
        <v>443</v>
      </c>
      <c r="K427" s="538" t="s">
        <v>443</v>
      </c>
      <c r="L427" s="538" t="s">
        <v>443</v>
      </c>
      <c r="M427" s="538" t="s">
        <v>443</v>
      </c>
    </row>
    <row r="428" spans="1:13" ht="6" customHeight="1">
      <c r="A428" s="496"/>
      <c r="B428" s="496"/>
      <c r="C428" s="496"/>
      <c r="D428" s="496"/>
      <c r="E428" s="519"/>
      <c r="F428" s="519"/>
      <c r="G428" s="519"/>
      <c r="H428" s="519"/>
      <c r="I428" s="519"/>
      <c r="J428" s="519"/>
      <c r="K428" s="519"/>
      <c r="L428" s="519"/>
      <c r="M428" s="519"/>
    </row>
    <row r="429" spans="1:13" ht="15">
      <c r="A429" s="496"/>
      <c r="B429" s="503" t="s">
        <v>1113</v>
      </c>
      <c r="C429" s="496"/>
      <c r="D429" s="496"/>
      <c r="E429" s="538" t="s">
        <v>443</v>
      </c>
      <c r="F429" s="538" t="s">
        <v>443</v>
      </c>
      <c r="G429" s="538" t="s">
        <v>443</v>
      </c>
      <c r="H429" s="538" t="s">
        <v>443</v>
      </c>
      <c r="I429" s="538" t="s">
        <v>443</v>
      </c>
      <c r="J429" s="538" t="s">
        <v>443</v>
      </c>
      <c r="K429" s="538" t="s">
        <v>443</v>
      </c>
      <c r="L429" s="538" t="s">
        <v>443</v>
      </c>
      <c r="M429" s="538" t="s">
        <v>443</v>
      </c>
    </row>
    <row r="430" spans="1:13" ht="3.75" customHeight="1">
      <c r="A430" s="496"/>
      <c r="B430" s="496"/>
      <c r="C430" s="496"/>
      <c r="D430" s="496"/>
      <c r="E430" s="519"/>
      <c r="F430" s="519"/>
      <c r="G430" s="519"/>
      <c r="H430" s="519"/>
      <c r="I430" s="519"/>
      <c r="J430" s="519"/>
      <c r="K430" s="519"/>
      <c r="L430" s="519"/>
      <c r="M430" s="519"/>
    </row>
    <row r="431" spans="1:13" ht="15">
      <c r="A431" s="496"/>
      <c r="B431" s="503" t="s">
        <v>1114</v>
      </c>
      <c r="C431" s="496"/>
      <c r="D431" s="496"/>
      <c r="E431" s="519"/>
      <c r="F431" s="519"/>
      <c r="G431" s="519"/>
      <c r="H431" s="519"/>
      <c r="I431" s="519"/>
      <c r="J431" s="519"/>
      <c r="K431" s="519"/>
      <c r="L431" s="519"/>
      <c r="M431" s="519"/>
    </row>
    <row r="432" spans="1:13" ht="15">
      <c r="A432" s="496"/>
      <c r="B432" s="503" t="s">
        <v>1112</v>
      </c>
      <c r="C432" s="496"/>
      <c r="D432" s="496"/>
      <c r="E432" s="519" t="e">
        <f t="shared" ref="E432:J432" si="46">+E303</f>
        <v>#REF!</v>
      </c>
      <c r="F432" s="519" t="e">
        <f t="shared" si="46"/>
        <v>#REF!</v>
      </c>
      <c r="G432" s="519" t="e">
        <f t="shared" si="46"/>
        <v>#REF!</v>
      </c>
      <c r="H432" s="519" t="e">
        <f t="shared" si="46"/>
        <v>#REF!</v>
      </c>
      <c r="I432" s="519" t="e">
        <f t="shared" si="46"/>
        <v>#REF!</v>
      </c>
      <c r="J432" s="519" t="e">
        <f t="shared" si="46"/>
        <v>#REF!</v>
      </c>
      <c r="K432" s="519" t="e">
        <f>+K303</f>
        <v>#REF!</v>
      </c>
      <c r="L432" s="519" t="e">
        <f>+L303</f>
        <v>#REF!</v>
      </c>
      <c r="M432" s="519" t="e">
        <f>+M303</f>
        <v>#REF!</v>
      </c>
    </row>
    <row r="433" spans="1:13" ht="7.5" customHeight="1">
      <c r="A433" s="496"/>
      <c r="B433" s="496"/>
      <c r="C433" s="496"/>
      <c r="D433" s="496"/>
      <c r="E433" s="519"/>
      <c r="F433" s="519"/>
      <c r="G433" s="519"/>
      <c r="H433" s="519"/>
      <c r="I433" s="519"/>
      <c r="J433" s="519"/>
      <c r="K433" s="519"/>
      <c r="L433" s="519"/>
      <c r="M433" s="519"/>
    </row>
    <row r="434" spans="1:13" ht="15">
      <c r="A434" s="496"/>
      <c r="B434" s="503" t="s">
        <v>1115</v>
      </c>
      <c r="C434" s="496"/>
      <c r="D434" s="496"/>
      <c r="E434" s="517" t="e">
        <f t="shared" ref="E434:K434" si="47">ROUND(E432/E46*12,2)</f>
        <v>#REF!</v>
      </c>
      <c r="F434" s="517" t="e">
        <f t="shared" si="47"/>
        <v>#REF!</v>
      </c>
      <c r="G434" s="517" t="e">
        <f t="shared" si="47"/>
        <v>#REF!</v>
      </c>
      <c r="H434" s="517" t="e">
        <f t="shared" si="47"/>
        <v>#REF!</v>
      </c>
      <c r="I434" s="517" t="e">
        <f t="shared" si="47"/>
        <v>#REF!</v>
      </c>
      <c r="J434" s="517" t="e">
        <f t="shared" si="47"/>
        <v>#REF!</v>
      </c>
      <c r="K434" s="517" t="e">
        <f t="shared" si="47"/>
        <v>#REF!</v>
      </c>
      <c r="L434" s="517" t="e">
        <f>ROUND(L432/L46*12,2)</f>
        <v>#REF!</v>
      </c>
      <c r="M434" s="517" t="e">
        <f>ROUND(M432/M46*12,2)</f>
        <v>#REF!</v>
      </c>
    </row>
    <row r="435" spans="1:13" ht="5.25" customHeight="1">
      <c r="A435" s="496"/>
      <c r="B435" s="496"/>
      <c r="C435" s="496"/>
      <c r="D435" s="496"/>
      <c r="E435" s="519"/>
      <c r="F435" s="519"/>
      <c r="G435" s="519"/>
      <c r="H435" s="519"/>
      <c r="I435" s="519"/>
      <c r="J435" s="519"/>
      <c r="K435" s="519"/>
      <c r="L435" s="519"/>
      <c r="M435" s="519"/>
    </row>
    <row r="436" spans="1:13" ht="15">
      <c r="A436" s="503" t="s">
        <v>297</v>
      </c>
      <c r="B436" s="503" t="s">
        <v>1116</v>
      </c>
      <c r="C436" s="496"/>
      <c r="D436" s="496"/>
      <c r="E436" s="519"/>
      <c r="F436" s="519"/>
      <c r="G436" s="519"/>
      <c r="H436" s="519"/>
      <c r="I436" s="519"/>
      <c r="J436" s="519"/>
      <c r="K436" s="519"/>
      <c r="L436" s="519"/>
      <c r="M436" s="519"/>
    </row>
    <row r="437" spans="1:13" ht="15">
      <c r="A437" s="496"/>
      <c r="B437" s="503" t="s">
        <v>551</v>
      </c>
      <c r="C437" s="496"/>
      <c r="D437" s="496"/>
      <c r="E437" s="538" t="s">
        <v>443</v>
      </c>
      <c r="F437" s="538" t="s">
        <v>443</v>
      </c>
      <c r="G437" s="538" t="s">
        <v>443</v>
      </c>
      <c r="H437" s="538" t="s">
        <v>443</v>
      </c>
      <c r="I437" s="538" t="s">
        <v>443</v>
      </c>
      <c r="J437" s="538" t="s">
        <v>443</v>
      </c>
      <c r="K437" s="538" t="s">
        <v>443</v>
      </c>
      <c r="L437" s="538" t="s">
        <v>443</v>
      </c>
      <c r="M437" s="538" t="s">
        <v>443</v>
      </c>
    </row>
    <row r="438" spans="1:13" ht="3.75" customHeight="1">
      <c r="A438" s="496"/>
      <c r="B438" s="496"/>
      <c r="C438" s="496"/>
      <c r="D438" s="496"/>
      <c r="E438" s="519"/>
      <c r="F438" s="519"/>
      <c r="G438" s="519"/>
      <c r="H438" s="519"/>
      <c r="I438" s="519"/>
      <c r="J438" s="519"/>
      <c r="K438" s="519"/>
      <c r="L438" s="519"/>
      <c r="M438" s="519"/>
    </row>
    <row r="439" spans="1:13" ht="15">
      <c r="A439" s="496"/>
      <c r="B439" s="503" t="s">
        <v>1117</v>
      </c>
      <c r="C439" s="496"/>
      <c r="D439" s="496"/>
      <c r="E439" s="519"/>
      <c r="F439" s="519"/>
      <c r="G439" s="519"/>
      <c r="H439" s="519"/>
      <c r="I439" s="519"/>
      <c r="J439" s="519"/>
      <c r="K439" s="519"/>
      <c r="L439" s="519"/>
      <c r="M439" s="519"/>
    </row>
    <row r="440" spans="1:13" ht="15">
      <c r="A440" s="496"/>
      <c r="B440" s="503" t="s">
        <v>1118</v>
      </c>
      <c r="C440" s="496"/>
      <c r="D440" s="496"/>
      <c r="E440" s="538" t="s">
        <v>443</v>
      </c>
      <c r="F440" s="538" t="s">
        <v>443</v>
      </c>
      <c r="G440" s="538" t="s">
        <v>443</v>
      </c>
      <c r="H440" s="538" t="s">
        <v>443</v>
      </c>
      <c r="I440" s="538" t="s">
        <v>443</v>
      </c>
      <c r="J440" s="538" t="s">
        <v>443</v>
      </c>
      <c r="K440" s="538" t="s">
        <v>443</v>
      </c>
      <c r="L440" s="538" t="s">
        <v>443</v>
      </c>
      <c r="M440" s="538" t="s">
        <v>443</v>
      </c>
    </row>
    <row r="441" spans="1:13" ht="4.5" customHeight="1">
      <c r="A441" s="496"/>
      <c r="B441" s="496"/>
      <c r="C441" s="496"/>
      <c r="D441" s="496"/>
      <c r="E441" s="519"/>
      <c r="F441" s="519"/>
      <c r="G441" s="519"/>
      <c r="H441" s="519"/>
      <c r="I441" s="519"/>
      <c r="J441" s="519"/>
      <c r="K441" s="519"/>
      <c r="L441" s="519"/>
      <c r="M441" s="519"/>
    </row>
    <row r="442" spans="1:13" ht="15">
      <c r="A442" s="503" t="s">
        <v>299</v>
      </c>
      <c r="B442" s="503" t="s">
        <v>1119</v>
      </c>
      <c r="C442" s="496"/>
      <c r="D442" s="496"/>
      <c r="E442" s="519"/>
      <c r="F442" s="519"/>
      <c r="G442" s="519"/>
      <c r="H442" s="519"/>
      <c r="I442" s="519"/>
      <c r="J442" s="519"/>
      <c r="K442" s="519"/>
      <c r="L442" s="519"/>
      <c r="M442" s="519"/>
    </row>
    <row r="443" spans="1:13" ht="15">
      <c r="A443" s="496"/>
      <c r="B443" s="503" t="s">
        <v>551</v>
      </c>
      <c r="C443" s="496"/>
      <c r="D443" s="496"/>
      <c r="E443" s="519">
        <f t="shared" ref="E443:J443" si="48">+E299</f>
        <v>0</v>
      </c>
      <c r="F443" s="519">
        <f t="shared" si="48"/>
        <v>0</v>
      </c>
      <c r="G443" s="519">
        <f t="shared" si="48"/>
        <v>0</v>
      </c>
      <c r="H443" s="519">
        <f t="shared" si="48"/>
        <v>0</v>
      </c>
      <c r="I443" s="519">
        <f t="shared" si="48"/>
        <v>0</v>
      </c>
      <c r="J443" s="519">
        <f t="shared" si="48"/>
        <v>0</v>
      </c>
      <c r="K443" s="519">
        <f>+K299</f>
        <v>0</v>
      </c>
      <c r="L443" s="519">
        <f>+L299</f>
        <v>0</v>
      </c>
      <c r="M443" s="519">
        <f>+M299</f>
        <v>0</v>
      </c>
    </row>
    <row r="444" spans="1:13" ht="15">
      <c r="A444" s="496"/>
      <c r="B444" s="503" t="s">
        <v>1120</v>
      </c>
      <c r="C444" s="496"/>
      <c r="D444" s="496"/>
      <c r="E444" s="519" t="e">
        <f t="shared" ref="E444:K444" si="49">+E443/E66*12</f>
        <v>#REF!</v>
      </c>
      <c r="F444" s="519" t="e">
        <f t="shared" si="49"/>
        <v>#REF!</v>
      </c>
      <c r="G444" s="519" t="e">
        <f t="shared" si="49"/>
        <v>#REF!</v>
      </c>
      <c r="H444" s="519" t="e">
        <f t="shared" si="49"/>
        <v>#REF!</v>
      </c>
      <c r="I444" s="519" t="e">
        <f t="shared" si="49"/>
        <v>#REF!</v>
      </c>
      <c r="J444" s="519" t="e">
        <f t="shared" si="49"/>
        <v>#REF!</v>
      </c>
      <c r="K444" s="519" t="e">
        <f t="shared" si="49"/>
        <v>#REF!</v>
      </c>
      <c r="L444" s="519" t="e">
        <f>+L443/L66*12</f>
        <v>#REF!</v>
      </c>
      <c r="M444" s="519" t="e">
        <f>+M443/M66*12</f>
        <v>#REF!</v>
      </c>
    </row>
    <row r="445" spans="1:13" ht="3" customHeight="1">
      <c r="A445" s="503" t="s">
        <v>872</v>
      </c>
      <c r="B445" s="496"/>
      <c r="C445" s="496"/>
      <c r="D445" s="496"/>
      <c r="E445" s="519"/>
      <c r="F445" s="519"/>
      <c r="G445" s="519"/>
      <c r="H445" s="519"/>
      <c r="I445" s="519"/>
      <c r="J445" s="519"/>
      <c r="K445" s="519"/>
      <c r="L445" s="519"/>
      <c r="M445" s="519"/>
    </row>
    <row r="446" spans="1:13" ht="15">
      <c r="A446" s="503" t="s">
        <v>301</v>
      </c>
      <c r="B446" s="503" t="s">
        <v>1121</v>
      </c>
      <c r="C446" s="496"/>
      <c r="D446" s="496"/>
      <c r="E446" s="519"/>
      <c r="F446" s="519"/>
      <c r="G446" s="519"/>
      <c r="H446" s="519"/>
      <c r="I446" s="519"/>
      <c r="J446" s="519"/>
      <c r="K446" s="519"/>
      <c r="L446" s="519"/>
      <c r="M446" s="519"/>
    </row>
    <row r="447" spans="1:13" ht="15">
      <c r="A447" s="496"/>
      <c r="B447" s="503" t="s">
        <v>1122</v>
      </c>
      <c r="C447" s="496"/>
      <c r="D447" s="496"/>
      <c r="E447" s="519"/>
      <c r="F447" s="519"/>
      <c r="G447" s="519"/>
      <c r="H447" s="519"/>
      <c r="I447" s="519"/>
      <c r="J447" s="519"/>
      <c r="K447" s="519"/>
      <c r="L447" s="519"/>
      <c r="M447" s="519"/>
    </row>
    <row r="448" spans="1:13" ht="15">
      <c r="A448" s="496"/>
      <c r="B448" s="503" t="s">
        <v>1123</v>
      </c>
      <c r="C448" s="496"/>
      <c r="D448" s="496"/>
      <c r="E448" s="519"/>
      <c r="F448" s="519"/>
      <c r="G448" s="519"/>
      <c r="H448" s="519"/>
      <c r="I448" s="519"/>
      <c r="J448" s="519"/>
      <c r="K448" s="519"/>
      <c r="L448" s="519"/>
      <c r="M448" s="519"/>
    </row>
    <row r="449" spans="1:13" ht="15">
      <c r="A449" s="496"/>
      <c r="B449" s="503" t="s">
        <v>1124</v>
      </c>
      <c r="C449" s="496"/>
      <c r="D449" s="496"/>
      <c r="E449" s="519"/>
      <c r="F449" s="519"/>
      <c r="G449" s="519"/>
      <c r="H449" s="519"/>
      <c r="I449" s="519"/>
      <c r="J449" s="519"/>
      <c r="K449" s="519"/>
      <c r="L449" s="519"/>
      <c r="M449" s="519"/>
    </row>
    <row r="450" spans="1:13" ht="15">
      <c r="A450" s="496"/>
      <c r="B450" s="503" t="s">
        <v>1125</v>
      </c>
      <c r="C450" s="496"/>
      <c r="D450" s="496"/>
      <c r="E450" s="519"/>
      <c r="F450" s="519"/>
      <c r="G450" s="519"/>
      <c r="H450" s="519"/>
      <c r="I450" s="519"/>
      <c r="J450" s="519"/>
      <c r="K450" s="519"/>
      <c r="L450" s="519"/>
      <c r="M450" s="519"/>
    </row>
    <row r="451" spans="1:13" ht="15">
      <c r="A451" s="496"/>
      <c r="B451" s="503" t="s">
        <v>551</v>
      </c>
      <c r="C451" s="496"/>
      <c r="D451" s="496"/>
      <c r="E451" s="519" t="e">
        <f t="shared" ref="E451:J451" si="50">E278</f>
        <v>#REF!</v>
      </c>
      <c r="F451" s="519" t="e">
        <f t="shared" si="50"/>
        <v>#REF!</v>
      </c>
      <c r="G451" s="519" t="e">
        <f t="shared" si="50"/>
        <v>#REF!</v>
      </c>
      <c r="H451" s="519" t="e">
        <f t="shared" si="50"/>
        <v>#REF!</v>
      </c>
      <c r="I451" s="519" t="e">
        <f t="shared" si="50"/>
        <v>#REF!</v>
      </c>
      <c r="J451" s="519" t="e">
        <f t="shared" si="50"/>
        <v>#REF!</v>
      </c>
      <c r="K451" s="519" t="e">
        <f>K278</f>
        <v>#REF!</v>
      </c>
      <c r="L451" s="519" t="e">
        <f>L278</f>
        <v>#REF!</v>
      </c>
      <c r="M451" s="519" t="e">
        <f>M278</f>
        <v>#REF!</v>
      </c>
    </row>
    <row r="452" spans="1:13" ht="5.25" customHeight="1">
      <c r="A452" s="496"/>
      <c r="B452" s="496"/>
      <c r="C452" s="496"/>
      <c r="D452" s="496"/>
      <c r="E452" s="519"/>
      <c r="F452" s="519"/>
      <c r="G452" s="519"/>
      <c r="H452" s="519"/>
      <c r="I452" s="519"/>
      <c r="J452" s="519"/>
      <c r="K452" s="519"/>
      <c r="L452" s="519"/>
      <c r="M452" s="519"/>
    </row>
    <row r="453" spans="1:13" ht="15">
      <c r="A453" s="496"/>
      <c r="B453" s="503" t="s">
        <v>1126</v>
      </c>
      <c r="C453" s="496"/>
      <c r="D453" s="496"/>
      <c r="E453" s="519" t="e">
        <f t="shared" ref="E453:K453" si="51">ROUND(E451/E18*12,2)</f>
        <v>#REF!</v>
      </c>
      <c r="F453" s="519" t="e">
        <f t="shared" si="51"/>
        <v>#REF!</v>
      </c>
      <c r="G453" s="519" t="e">
        <f t="shared" si="51"/>
        <v>#REF!</v>
      </c>
      <c r="H453" s="519" t="e">
        <f t="shared" si="51"/>
        <v>#REF!</v>
      </c>
      <c r="I453" s="519" t="e">
        <f t="shared" si="51"/>
        <v>#REF!</v>
      </c>
      <c r="J453" s="519" t="e">
        <f t="shared" si="51"/>
        <v>#REF!</v>
      </c>
      <c r="K453" s="519" t="e">
        <f t="shared" si="51"/>
        <v>#REF!</v>
      </c>
      <c r="L453" s="519" t="e">
        <f>ROUND(L451/L18*12,2)</f>
        <v>#REF!</v>
      </c>
      <c r="M453" s="519" t="e">
        <f>ROUND(M451/M18*12,2)</f>
        <v>#REF!</v>
      </c>
    </row>
    <row r="454" spans="1:13" ht="15">
      <c r="A454" s="496"/>
      <c r="B454" s="503" t="s">
        <v>1127</v>
      </c>
      <c r="C454" s="496"/>
      <c r="D454" s="496"/>
      <c r="E454" s="519"/>
      <c r="F454" s="519"/>
      <c r="G454" s="519"/>
      <c r="H454" s="519"/>
      <c r="I454" s="519"/>
      <c r="J454" s="519"/>
      <c r="K454" s="519"/>
      <c r="L454" s="519"/>
      <c r="M454" s="519"/>
    </row>
    <row r="455" spans="1:13" ht="4.5" customHeight="1">
      <c r="A455" s="496"/>
      <c r="B455" s="496"/>
      <c r="C455" s="496"/>
      <c r="D455" s="496"/>
      <c r="E455" s="519"/>
      <c r="F455" s="519"/>
      <c r="G455" s="519"/>
      <c r="H455" s="519"/>
      <c r="I455" s="519"/>
      <c r="J455" s="519"/>
      <c r="K455" s="519"/>
      <c r="L455" s="519"/>
      <c r="M455" s="519"/>
    </row>
    <row r="456" spans="1:13" ht="15">
      <c r="A456" s="503" t="s">
        <v>302</v>
      </c>
      <c r="B456" s="503" t="s">
        <v>1128</v>
      </c>
      <c r="C456" s="496"/>
      <c r="D456" s="496"/>
      <c r="E456" s="519"/>
      <c r="F456" s="519"/>
      <c r="G456" s="519"/>
      <c r="H456" s="519"/>
      <c r="I456" s="519"/>
      <c r="J456" s="519"/>
      <c r="K456" s="519"/>
      <c r="L456" s="519"/>
      <c r="M456" s="519"/>
    </row>
    <row r="457" spans="1:13" ht="15">
      <c r="A457" s="496"/>
      <c r="B457" s="503" t="s">
        <v>1129</v>
      </c>
      <c r="C457" s="496"/>
      <c r="D457" s="496"/>
      <c r="E457" s="538">
        <f t="shared" ref="E457:J457" si="52">+E282</f>
        <v>0</v>
      </c>
      <c r="F457" s="538">
        <f t="shared" si="52"/>
        <v>0</v>
      </c>
      <c r="G457" s="538">
        <f t="shared" si="52"/>
        <v>0</v>
      </c>
      <c r="H457" s="538">
        <f t="shared" si="52"/>
        <v>0</v>
      </c>
      <c r="I457" s="538">
        <f t="shared" si="52"/>
        <v>0</v>
      </c>
      <c r="J457" s="538">
        <f t="shared" si="52"/>
        <v>0</v>
      </c>
      <c r="K457" s="538">
        <f>+K282</f>
        <v>0</v>
      </c>
      <c r="L457" s="538">
        <f>+L282</f>
        <v>0</v>
      </c>
      <c r="M457" s="538">
        <f>+M282</f>
        <v>0</v>
      </c>
    </row>
    <row r="458" spans="1:13" ht="15">
      <c r="A458" s="496"/>
      <c r="B458" s="503" t="s">
        <v>551</v>
      </c>
      <c r="C458" s="496"/>
      <c r="D458" s="496"/>
      <c r="E458" s="519"/>
      <c r="F458" s="519"/>
      <c r="G458" s="519"/>
      <c r="H458" s="519"/>
      <c r="I458" s="519"/>
      <c r="J458" s="519"/>
      <c r="K458" s="519"/>
      <c r="L458" s="519"/>
      <c r="M458" s="519"/>
    </row>
    <row r="459" spans="1:13" ht="5.25" customHeight="1">
      <c r="A459" s="496"/>
      <c r="B459" s="496"/>
      <c r="C459" s="496"/>
      <c r="D459" s="496"/>
      <c r="E459" s="519"/>
      <c r="F459" s="519"/>
      <c r="G459" s="519"/>
      <c r="H459" s="519"/>
      <c r="I459" s="519"/>
      <c r="J459" s="519"/>
      <c r="K459" s="519"/>
      <c r="L459" s="519"/>
      <c r="M459" s="519"/>
    </row>
    <row r="460" spans="1:13" ht="15">
      <c r="A460" s="496"/>
      <c r="B460" s="503" t="s">
        <v>1130</v>
      </c>
      <c r="C460" s="496"/>
      <c r="D460" s="496"/>
      <c r="E460" s="549" t="e">
        <f t="shared" ref="E460:K460" si="53">+E457/E19*12</f>
        <v>#DIV/0!</v>
      </c>
      <c r="F460" s="549" t="e">
        <f t="shared" si="53"/>
        <v>#DIV/0!</v>
      </c>
      <c r="G460" s="549" t="e">
        <f t="shared" si="53"/>
        <v>#DIV/0!</v>
      </c>
      <c r="H460" s="549" t="e">
        <f t="shared" si="53"/>
        <v>#DIV/0!</v>
      </c>
      <c r="I460" s="549" t="e">
        <f t="shared" si="53"/>
        <v>#DIV/0!</v>
      </c>
      <c r="J460" s="549" t="e">
        <f t="shared" si="53"/>
        <v>#DIV/0!</v>
      </c>
      <c r="K460" s="549" t="e">
        <f t="shared" si="53"/>
        <v>#DIV/0!</v>
      </c>
      <c r="L460" s="549" t="e">
        <f>+L457/L19*12</f>
        <v>#DIV/0!</v>
      </c>
      <c r="M460" s="549" t="e">
        <f>+M457/M19*12</f>
        <v>#DIV/0!</v>
      </c>
    </row>
    <row r="461" spans="1:13" ht="4.5" customHeight="1">
      <c r="A461" s="496"/>
      <c r="B461" s="496"/>
      <c r="C461" s="496"/>
      <c r="D461" s="496"/>
      <c r="E461" s="519"/>
      <c r="F461" s="519"/>
      <c r="G461" s="519"/>
      <c r="H461" s="519"/>
      <c r="I461" s="519"/>
      <c r="J461" s="519"/>
      <c r="K461" s="519"/>
      <c r="L461" s="519"/>
      <c r="M461" s="519"/>
    </row>
    <row r="462" spans="1:13" ht="15">
      <c r="A462" s="503" t="s">
        <v>1131</v>
      </c>
      <c r="B462" s="503" t="s">
        <v>1132</v>
      </c>
      <c r="C462" s="496"/>
      <c r="D462" s="496"/>
      <c r="E462" s="519"/>
      <c r="F462" s="519"/>
      <c r="G462" s="519"/>
      <c r="H462" s="519"/>
      <c r="I462" s="519"/>
      <c r="J462" s="519"/>
      <c r="K462" s="519"/>
      <c r="L462" s="519"/>
      <c r="M462" s="519"/>
    </row>
    <row r="463" spans="1:13" ht="15">
      <c r="A463" s="496"/>
      <c r="B463" s="503" t="s">
        <v>1133</v>
      </c>
      <c r="C463" s="496"/>
      <c r="D463" s="496"/>
      <c r="E463" s="538" t="s">
        <v>443</v>
      </c>
      <c r="F463" s="538" t="s">
        <v>443</v>
      </c>
      <c r="G463" s="538" t="s">
        <v>443</v>
      </c>
      <c r="H463" s="538" t="s">
        <v>443</v>
      </c>
      <c r="I463" s="538" t="s">
        <v>443</v>
      </c>
      <c r="J463" s="538" t="s">
        <v>443</v>
      </c>
      <c r="K463" s="538" t="s">
        <v>443</v>
      </c>
      <c r="L463" s="538" t="s">
        <v>443</v>
      </c>
      <c r="M463" s="538" t="s">
        <v>443</v>
      </c>
    </row>
    <row r="464" spans="1:13" ht="15">
      <c r="A464" s="496"/>
      <c r="B464" s="503" t="s">
        <v>1134</v>
      </c>
      <c r="C464" s="496"/>
      <c r="D464" s="496"/>
      <c r="E464" s="519"/>
      <c r="F464" s="519"/>
      <c r="G464" s="519"/>
      <c r="H464" s="519"/>
      <c r="I464" s="519"/>
      <c r="J464" s="519"/>
      <c r="K464" s="519"/>
      <c r="L464" s="519"/>
      <c r="M464" s="519"/>
    </row>
    <row r="465" spans="1:13" ht="5.25" customHeight="1">
      <c r="A465" s="496"/>
      <c r="B465" s="496"/>
      <c r="C465" s="496"/>
      <c r="D465" s="496"/>
      <c r="E465" s="519"/>
      <c r="F465" s="519"/>
      <c r="G465" s="519"/>
      <c r="H465" s="519"/>
      <c r="I465" s="519"/>
      <c r="J465" s="519"/>
      <c r="K465" s="519"/>
      <c r="L465" s="519"/>
      <c r="M465" s="519"/>
    </row>
    <row r="466" spans="1:13" ht="15">
      <c r="A466" s="503" t="s">
        <v>912</v>
      </c>
      <c r="B466" s="503" t="s">
        <v>1135</v>
      </c>
      <c r="C466" s="496"/>
      <c r="D466" s="496"/>
      <c r="E466" s="519"/>
      <c r="F466" s="519"/>
      <c r="G466" s="519"/>
      <c r="H466" s="519"/>
      <c r="I466" s="519"/>
      <c r="J466" s="519"/>
      <c r="K466" s="519"/>
      <c r="L466" s="519"/>
      <c r="M466" s="519"/>
    </row>
    <row r="467" spans="1:13" ht="15">
      <c r="A467" s="496"/>
      <c r="B467" s="503" t="s">
        <v>1136</v>
      </c>
      <c r="C467" s="496"/>
      <c r="D467" s="496"/>
      <c r="E467" s="519"/>
      <c r="F467" s="519"/>
      <c r="G467" s="519"/>
      <c r="H467" s="519"/>
      <c r="I467" s="519"/>
      <c r="J467" s="519"/>
      <c r="K467" s="519"/>
      <c r="L467" s="519"/>
      <c r="M467" s="519"/>
    </row>
    <row r="468" spans="1:13" ht="15">
      <c r="A468" s="496"/>
      <c r="B468" s="503" t="s">
        <v>1137</v>
      </c>
      <c r="C468" s="496"/>
      <c r="D468" s="496"/>
      <c r="E468" s="519"/>
      <c r="F468" s="519"/>
      <c r="G468" s="519"/>
      <c r="H468" s="519"/>
      <c r="I468" s="519"/>
      <c r="J468" s="519"/>
      <c r="K468" s="519"/>
      <c r="L468" s="519"/>
      <c r="M468" s="519"/>
    </row>
    <row r="469" spans="1:13" ht="15">
      <c r="A469" s="496"/>
      <c r="B469" s="503" t="s">
        <v>1138</v>
      </c>
      <c r="C469" s="496"/>
      <c r="D469" s="496"/>
      <c r="E469" s="519"/>
      <c r="F469" s="519"/>
      <c r="G469" s="519"/>
      <c r="H469" s="519"/>
      <c r="I469" s="519"/>
      <c r="J469" s="519"/>
      <c r="K469" s="519"/>
      <c r="L469" s="519"/>
      <c r="M469" s="519"/>
    </row>
    <row r="470" spans="1:13" ht="15">
      <c r="A470" s="496"/>
      <c r="B470" s="503" t="s">
        <v>973</v>
      </c>
      <c r="C470" s="496"/>
      <c r="D470" s="496"/>
      <c r="E470" s="519"/>
      <c r="F470" s="519"/>
      <c r="G470" s="519"/>
      <c r="H470" s="519"/>
      <c r="I470" s="519"/>
      <c r="J470" s="519"/>
      <c r="K470" s="519"/>
      <c r="L470" s="519"/>
      <c r="M470" s="519"/>
    </row>
    <row r="471" spans="1:13" ht="15">
      <c r="A471" s="496"/>
      <c r="B471" s="503" t="s">
        <v>1139</v>
      </c>
      <c r="C471" s="496"/>
      <c r="D471" s="496"/>
      <c r="E471" s="519"/>
      <c r="F471" s="519"/>
      <c r="G471" s="519"/>
      <c r="H471" s="519"/>
      <c r="I471" s="519"/>
      <c r="J471" s="519"/>
      <c r="K471" s="519"/>
      <c r="L471" s="519"/>
      <c r="M471" s="519"/>
    </row>
    <row r="472" spans="1:13" ht="15">
      <c r="A472" s="496"/>
      <c r="B472" s="503" t="s">
        <v>1140</v>
      </c>
      <c r="C472" s="496"/>
      <c r="D472" s="496"/>
      <c r="E472" s="519"/>
      <c r="F472" s="519"/>
      <c r="G472" s="519"/>
      <c r="H472" s="519"/>
      <c r="I472" s="519"/>
      <c r="J472" s="519"/>
      <c r="K472" s="519"/>
      <c r="L472" s="519"/>
      <c r="M472" s="519"/>
    </row>
    <row r="473" spans="1:13" ht="15">
      <c r="A473" s="496"/>
      <c r="B473" s="503" t="s">
        <v>1141</v>
      </c>
      <c r="C473" s="496"/>
      <c r="D473" s="496"/>
      <c r="E473" s="519" t="e">
        <f t="shared" ref="E473:J473" si="54">+E273+E308</f>
        <v>#REF!</v>
      </c>
      <c r="F473" s="519" t="e">
        <f t="shared" si="54"/>
        <v>#REF!</v>
      </c>
      <c r="G473" s="519" t="e">
        <f t="shared" si="54"/>
        <v>#REF!</v>
      </c>
      <c r="H473" s="519" t="e">
        <f t="shared" si="54"/>
        <v>#REF!</v>
      </c>
      <c r="I473" s="519" t="e">
        <f t="shared" si="54"/>
        <v>#REF!</v>
      </c>
      <c r="J473" s="519" t="e">
        <f t="shared" si="54"/>
        <v>#REF!</v>
      </c>
      <c r="K473" s="519" t="e">
        <f>+K273+K308</f>
        <v>#REF!</v>
      </c>
      <c r="L473" s="519" t="e">
        <f>+L273+L308</f>
        <v>#REF!</v>
      </c>
      <c r="M473" s="519" t="e">
        <f>+M273+M308</f>
        <v>#REF!</v>
      </c>
    </row>
    <row r="474" spans="1:13" ht="15">
      <c r="A474" s="496"/>
      <c r="B474" s="496"/>
      <c r="C474" s="496"/>
      <c r="D474" s="497"/>
      <c r="E474" s="540"/>
      <c r="F474" s="540"/>
      <c r="G474" s="540"/>
      <c r="H474" s="540"/>
      <c r="I474" s="540"/>
      <c r="J474" s="540"/>
      <c r="K474" s="540"/>
      <c r="L474" s="540"/>
      <c r="M474" s="540"/>
    </row>
    <row r="475" spans="1:13" ht="15.75">
      <c r="A475" s="503" t="s">
        <v>915</v>
      </c>
      <c r="B475" s="512" t="s">
        <v>1052</v>
      </c>
      <c r="C475" s="496"/>
      <c r="D475" s="496"/>
      <c r="E475" s="550" t="e">
        <f t="shared" ref="E475:J475" si="55">+E419+E432+E443+E451+E473+E457</f>
        <v>#REF!</v>
      </c>
      <c r="F475" s="550" t="e">
        <f t="shared" si="55"/>
        <v>#REF!</v>
      </c>
      <c r="G475" s="550" t="e">
        <f t="shared" si="55"/>
        <v>#REF!</v>
      </c>
      <c r="H475" s="550" t="e">
        <f t="shared" si="55"/>
        <v>#REF!</v>
      </c>
      <c r="I475" s="550" t="e">
        <f t="shared" si="55"/>
        <v>#REF!</v>
      </c>
      <c r="J475" s="550" t="e">
        <f t="shared" si="55"/>
        <v>#REF!</v>
      </c>
      <c r="K475" s="550" t="e">
        <f>+K419+K432+K443+K451+K473+K457</f>
        <v>#REF!</v>
      </c>
      <c r="L475" s="550" t="e">
        <f>+L419+L432+L443+L451+L473+L457</f>
        <v>#REF!</v>
      </c>
      <c r="M475" s="550" t="e">
        <f>+M419+M432+M443+M451+M473+M457</f>
        <v>#REF!</v>
      </c>
    </row>
    <row r="476" spans="1:13" ht="15">
      <c r="A476" s="496"/>
      <c r="B476" s="496"/>
      <c r="C476" s="496"/>
      <c r="D476" s="497"/>
      <c r="E476" s="517"/>
      <c r="F476" s="517"/>
      <c r="G476" s="517"/>
      <c r="H476" s="517"/>
      <c r="I476" s="517"/>
      <c r="J476" s="517"/>
      <c r="K476" s="517"/>
      <c r="L476" s="540"/>
    </row>
    <row r="477" spans="1:13" ht="15">
      <c r="A477" s="503" t="s">
        <v>872</v>
      </c>
      <c r="B477" s="496"/>
      <c r="C477" s="496"/>
      <c r="D477" s="496"/>
      <c r="E477" s="519"/>
      <c r="F477" s="519"/>
      <c r="G477" s="496"/>
      <c r="H477" s="496"/>
      <c r="I477" s="496"/>
      <c r="J477" s="502"/>
      <c r="K477" s="502"/>
      <c r="L477" s="496"/>
    </row>
    <row r="478" spans="1:13" ht="15">
      <c r="A478" s="503"/>
      <c r="B478" s="496"/>
      <c r="C478" s="496"/>
      <c r="D478" s="496"/>
      <c r="E478" s="519"/>
      <c r="F478" s="519"/>
      <c r="G478" s="496"/>
      <c r="H478" s="496"/>
      <c r="I478" s="496"/>
      <c r="J478" s="502"/>
      <c r="K478" s="502"/>
      <c r="L478" s="496"/>
    </row>
    <row r="479" spans="1:13" ht="15">
      <c r="A479" s="503"/>
      <c r="B479" s="496"/>
      <c r="C479" s="496"/>
      <c r="D479" s="496"/>
      <c r="E479" s="519"/>
      <c r="F479" s="519"/>
      <c r="G479" s="496"/>
      <c r="H479" s="496"/>
      <c r="I479" s="496"/>
      <c r="J479" s="502"/>
      <c r="K479" s="502"/>
      <c r="L479" s="496"/>
    </row>
    <row r="480" spans="1:13" ht="15">
      <c r="A480" s="503"/>
      <c r="B480" s="496"/>
      <c r="C480" s="496"/>
      <c r="D480" s="496"/>
      <c r="E480" s="519"/>
      <c r="F480" s="519"/>
      <c r="G480" s="496"/>
      <c r="H480" s="496"/>
      <c r="I480" s="496"/>
      <c r="J480" s="502"/>
      <c r="K480" s="502"/>
      <c r="L480" s="496"/>
    </row>
    <row r="481" spans="1:13" ht="15">
      <c r="A481" s="503"/>
      <c r="B481" s="496"/>
      <c r="C481" s="496"/>
      <c r="D481" s="496"/>
      <c r="E481" s="519"/>
      <c r="F481" s="519"/>
      <c r="G481" s="496"/>
      <c r="H481" s="496"/>
      <c r="I481" s="496"/>
      <c r="J481" s="502"/>
      <c r="K481" s="502"/>
      <c r="L481" s="496"/>
    </row>
    <row r="482" spans="1:13" ht="15">
      <c r="A482" s="503"/>
      <c r="B482" s="496"/>
      <c r="C482" s="496"/>
      <c r="D482" s="496"/>
      <c r="E482" s="519"/>
      <c r="F482" s="519"/>
      <c r="G482" s="496"/>
      <c r="H482" s="496"/>
      <c r="I482" s="496"/>
      <c r="J482" s="502"/>
      <c r="K482" s="502"/>
      <c r="L482" s="496"/>
    </row>
    <row r="483" spans="1:13" ht="15">
      <c r="A483" s="503"/>
      <c r="B483" s="496"/>
      <c r="C483" s="496"/>
      <c r="D483" s="496"/>
      <c r="E483" s="519"/>
      <c r="F483" s="519"/>
      <c r="G483" s="496"/>
      <c r="H483" s="496"/>
      <c r="I483" s="496"/>
      <c r="J483" s="502"/>
      <c r="K483" s="502"/>
      <c r="L483" s="496"/>
    </row>
    <row r="484" spans="1:13" ht="15">
      <c r="A484" s="503"/>
      <c r="B484" s="496"/>
      <c r="C484" s="496"/>
      <c r="D484" s="496"/>
      <c r="E484" s="519"/>
      <c r="F484" s="519"/>
      <c r="G484" s="496"/>
      <c r="H484" s="496"/>
      <c r="I484" s="496"/>
      <c r="J484" s="502"/>
      <c r="K484" s="502"/>
      <c r="L484" s="496"/>
    </row>
    <row r="485" spans="1:13" ht="15">
      <c r="A485" s="503"/>
      <c r="B485" s="496"/>
      <c r="C485" s="496"/>
      <c r="D485" s="496"/>
      <c r="E485" s="519"/>
      <c r="F485" s="519"/>
      <c r="G485" s="496"/>
      <c r="H485" s="496"/>
      <c r="I485" s="496"/>
      <c r="J485" s="502"/>
      <c r="K485" s="502"/>
      <c r="L485" s="496"/>
    </row>
    <row r="486" spans="1:13" ht="15">
      <c r="A486" s="503"/>
      <c r="B486" s="496"/>
      <c r="C486" s="496"/>
      <c r="D486" s="496"/>
      <c r="E486" s="519"/>
      <c r="F486" s="519"/>
      <c r="G486" s="496"/>
      <c r="H486" s="496"/>
      <c r="I486" s="496"/>
      <c r="J486" s="502"/>
      <c r="K486" s="502"/>
      <c r="L486" s="496"/>
    </row>
    <row r="487" spans="1:13" ht="15">
      <c r="A487" s="503"/>
      <c r="B487" s="496"/>
      <c r="C487" s="496"/>
      <c r="D487" s="496"/>
      <c r="E487" s="519"/>
      <c r="F487" s="519"/>
      <c r="G487" s="496"/>
      <c r="H487" s="496"/>
      <c r="I487" s="496"/>
      <c r="J487" s="502"/>
      <c r="K487" s="502"/>
      <c r="L487" s="496"/>
    </row>
    <row r="488" spans="1:13" ht="15">
      <c r="A488" s="503"/>
      <c r="B488" s="496"/>
      <c r="C488" s="496"/>
      <c r="D488" s="496"/>
      <c r="E488" s="519"/>
      <c r="F488" s="519"/>
      <c r="G488" s="496"/>
      <c r="H488" s="496"/>
      <c r="I488" s="496"/>
      <c r="J488" s="502"/>
      <c r="K488" s="502"/>
      <c r="L488" s="496"/>
    </row>
    <row r="489" spans="1:13" ht="15.75">
      <c r="A489" s="1140" t="s">
        <v>1142</v>
      </c>
      <c r="B489" s="1140"/>
      <c r="C489" s="1140"/>
      <c r="D489" s="1140"/>
      <c r="E489" s="1140"/>
      <c r="F489" s="1140"/>
      <c r="G489" s="1140"/>
      <c r="H489" s="1140"/>
      <c r="I489" s="1140"/>
      <c r="J489" s="1140"/>
      <c r="K489" s="1016"/>
      <c r="L489" s="520"/>
    </row>
    <row r="490" spans="1:13" ht="15.75">
      <c r="A490" s="1132" t="s">
        <v>1099</v>
      </c>
      <c r="B490" s="1132"/>
      <c r="C490" s="1132"/>
      <c r="D490" s="1132"/>
      <c r="E490" s="1132"/>
      <c r="F490" s="1132"/>
      <c r="G490" s="1132"/>
      <c r="H490" s="1132"/>
      <c r="I490" s="1132"/>
      <c r="J490" s="1132"/>
      <c r="K490" s="1015"/>
      <c r="L490" s="520"/>
    </row>
    <row r="491" spans="1:13" ht="15.75">
      <c r="A491" s="1132" t="s">
        <v>1100</v>
      </c>
      <c r="B491" s="1132"/>
      <c r="C491" s="1132"/>
      <c r="D491" s="1132"/>
      <c r="E491" s="1132"/>
      <c r="F491" s="1132"/>
      <c r="G491" s="1132"/>
      <c r="H491" s="1132"/>
      <c r="I491" s="1132"/>
      <c r="J491" s="1132"/>
      <c r="K491" s="1015"/>
      <c r="L491" s="520"/>
    </row>
    <row r="492" spans="1:13" ht="15">
      <c r="A492" s="496"/>
      <c r="B492" s="496"/>
      <c r="C492" s="503"/>
      <c r="D492" s="496"/>
      <c r="E492" s="519"/>
      <c r="F492" s="519"/>
      <c r="G492" s="519"/>
      <c r="H492" s="519"/>
      <c r="I492" s="519"/>
      <c r="J492" s="519"/>
      <c r="K492" s="519"/>
      <c r="L492" s="520"/>
    </row>
    <row r="493" spans="1:13" ht="15">
      <c r="A493" s="496"/>
      <c r="B493" s="496"/>
      <c r="C493" s="496"/>
      <c r="D493" s="496"/>
      <c r="E493" s="519"/>
      <c r="F493" s="496"/>
      <c r="G493" s="520"/>
      <c r="H493" s="520"/>
      <c r="I493" s="519"/>
      <c r="J493" s="410"/>
      <c r="K493" s="410"/>
      <c r="L493" s="520"/>
    </row>
    <row r="494" spans="1:13" ht="15">
      <c r="A494" s="496"/>
      <c r="B494" s="496"/>
      <c r="C494" s="496"/>
      <c r="D494" s="496"/>
      <c r="E494" s="519"/>
      <c r="F494" s="496"/>
      <c r="G494" s="520"/>
      <c r="H494" s="520"/>
      <c r="I494" s="519"/>
      <c r="J494" s="551"/>
      <c r="K494" s="551"/>
      <c r="L494" s="538"/>
    </row>
    <row r="495" spans="1:13" s="7" customFormat="1">
      <c r="A495" s="524" t="s">
        <v>1143</v>
      </c>
      <c r="B495" s="525"/>
      <c r="C495" s="525"/>
      <c r="D495" s="545"/>
      <c r="E495" s="526" t="e">
        <f t="shared" ref="E495:I496" si="56">+E406</f>
        <v>#REF!</v>
      </c>
      <c r="F495" s="526" t="e">
        <f t="shared" si="56"/>
        <v>#REF!</v>
      </c>
      <c r="G495" s="526" t="e">
        <f t="shared" si="56"/>
        <v>#REF!</v>
      </c>
      <c r="H495" s="526" t="e">
        <f t="shared" si="56"/>
        <v>#REF!</v>
      </c>
      <c r="I495" s="526" t="e">
        <f t="shared" si="56"/>
        <v>#REF!</v>
      </c>
      <c r="J495" s="526" t="e">
        <f t="shared" ref="J495:M496" si="57">+J406</f>
        <v>#REF!</v>
      </c>
      <c r="K495" s="526" t="e">
        <f t="shared" si="57"/>
        <v>#REF!</v>
      </c>
      <c r="L495" s="526" t="e">
        <f t="shared" si="57"/>
        <v>#REF!</v>
      </c>
      <c r="M495" s="526" t="e">
        <f t="shared" si="57"/>
        <v>#REF!</v>
      </c>
    </row>
    <row r="496" spans="1:13" ht="15">
      <c r="A496" s="503" t="s">
        <v>1144</v>
      </c>
      <c r="B496" s="502"/>
      <c r="C496" s="502"/>
      <c r="D496" s="511"/>
      <c r="E496" s="507" t="str">
        <f t="shared" si="56"/>
        <v>(Pro.)</v>
      </c>
      <c r="F496" s="507" t="str">
        <f t="shared" si="56"/>
        <v>(Pro.)</v>
      </c>
      <c r="G496" s="507" t="str">
        <f t="shared" si="56"/>
        <v>(Pro.)</v>
      </c>
      <c r="H496" s="507" t="str">
        <f t="shared" si="56"/>
        <v>(Pro.)</v>
      </c>
      <c r="I496" s="507" t="str">
        <f t="shared" si="56"/>
        <v>(Pro.)</v>
      </c>
      <c r="J496" s="507" t="str">
        <f t="shared" si="57"/>
        <v>(Pro.)</v>
      </c>
      <c r="K496" s="507" t="str">
        <f t="shared" si="57"/>
        <v>(Pro.)</v>
      </c>
      <c r="L496" s="507" t="str">
        <f t="shared" si="57"/>
        <v>(Pro.)</v>
      </c>
      <c r="M496" s="507" t="str">
        <f t="shared" si="57"/>
        <v>(Pro.)</v>
      </c>
    </row>
    <row r="497" spans="1:13" ht="15">
      <c r="A497" s="527" t="s">
        <v>1145</v>
      </c>
      <c r="B497" s="528"/>
      <c r="C497" s="528"/>
      <c r="D497" s="528" t="s">
        <v>872</v>
      </c>
      <c r="E497" s="508" t="s">
        <v>864</v>
      </c>
      <c r="F497" s="508" t="s">
        <v>865</v>
      </c>
      <c r="G497" s="508" t="s">
        <v>866</v>
      </c>
      <c r="H497" s="509" t="s">
        <v>867</v>
      </c>
      <c r="I497" s="509" t="s">
        <v>868</v>
      </c>
      <c r="J497" s="509" t="s">
        <v>868</v>
      </c>
      <c r="K497" s="509" t="s">
        <v>868</v>
      </c>
      <c r="L497" s="509" t="s">
        <v>868</v>
      </c>
      <c r="M497" s="509" t="s">
        <v>868</v>
      </c>
    </row>
    <row r="498" spans="1:13" ht="15">
      <c r="A498" s="496"/>
      <c r="B498" s="496"/>
      <c r="C498" s="496"/>
      <c r="D498" s="497" t="s">
        <v>872</v>
      </c>
      <c r="E498" s="540"/>
      <c r="F498" s="540"/>
      <c r="G498" s="540"/>
      <c r="H498" s="540"/>
      <c r="I498" s="540"/>
      <c r="J498" s="540"/>
      <c r="K498" s="540"/>
      <c r="L498" s="540"/>
      <c r="M498" s="540"/>
    </row>
    <row r="499" spans="1:13" ht="15">
      <c r="A499" s="503" t="s">
        <v>918</v>
      </c>
      <c r="B499" s="503" t="s">
        <v>1146</v>
      </c>
      <c r="C499" s="496"/>
      <c r="D499" s="496"/>
      <c r="E499" s="519"/>
      <c r="F499" s="519"/>
      <c r="G499" s="519"/>
      <c r="H499" s="519"/>
      <c r="I499" s="519"/>
      <c r="J499" s="519"/>
      <c r="K499" s="519"/>
      <c r="L499" s="519"/>
      <c r="M499" s="519"/>
    </row>
    <row r="500" spans="1:13" ht="15">
      <c r="A500" s="496"/>
      <c r="B500" s="503" t="s">
        <v>1147</v>
      </c>
      <c r="C500" s="496"/>
      <c r="D500" s="496"/>
      <c r="E500" s="519"/>
      <c r="F500" s="519"/>
      <c r="G500" s="519"/>
      <c r="H500" s="519"/>
      <c r="I500" s="519"/>
      <c r="J500" s="519"/>
      <c r="K500" s="519"/>
      <c r="L500" s="519"/>
      <c r="M500" s="519"/>
    </row>
    <row r="501" spans="1:13" ht="15">
      <c r="A501" s="496"/>
      <c r="B501" s="503" t="s">
        <v>1148</v>
      </c>
      <c r="C501" s="496"/>
      <c r="D501" s="496"/>
      <c r="E501" s="519"/>
      <c r="F501" s="519"/>
      <c r="G501" s="519"/>
      <c r="H501" s="519"/>
      <c r="I501" s="519"/>
      <c r="J501" s="519"/>
      <c r="K501" s="519"/>
      <c r="L501" s="519"/>
      <c r="M501" s="519"/>
    </row>
    <row r="502" spans="1:13" ht="15">
      <c r="A502" s="496"/>
      <c r="B502" s="503" t="s">
        <v>551</v>
      </c>
      <c r="C502" s="496"/>
      <c r="D502" s="496"/>
      <c r="E502" s="519" t="e">
        <f t="shared" ref="E502:J502" si="58">E184</f>
        <v>#REF!</v>
      </c>
      <c r="F502" s="519" t="e">
        <f t="shared" si="58"/>
        <v>#REF!</v>
      </c>
      <c r="G502" s="519" t="e">
        <f t="shared" si="58"/>
        <v>#REF!</v>
      </c>
      <c r="H502" s="519" t="e">
        <f t="shared" si="58"/>
        <v>#REF!</v>
      </c>
      <c r="I502" s="519" t="e">
        <f t="shared" si="58"/>
        <v>#REF!</v>
      </c>
      <c r="J502" s="519" t="e">
        <f t="shared" si="58"/>
        <v>#REF!</v>
      </c>
      <c r="K502" s="519" t="e">
        <f>K184</f>
        <v>#REF!</v>
      </c>
      <c r="L502" s="519" t="e">
        <f>L184</f>
        <v>#REF!</v>
      </c>
      <c r="M502" s="519" t="e">
        <f>M184</f>
        <v>#REF!</v>
      </c>
    </row>
    <row r="503" spans="1:13" ht="15">
      <c r="A503" s="496"/>
      <c r="B503" s="496"/>
      <c r="C503" s="496"/>
      <c r="D503" s="496"/>
      <c r="E503" s="519"/>
      <c r="F503" s="519"/>
      <c r="G503" s="519"/>
      <c r="H503" s="519"/>
      <c r="I503" s="519"/>
      <c r="J503" s="519"/>
      <c r="K503" s="519"/>
      <c r="L503" s="519"/>
      <c r="M503" s="519"/>
    </row>
    <row r="504" spans="1:13" ht="15">
      <c r="A504" s="496"/>
      <c r="B504" s="503" t="s">
        <v>1149</v>
      </c>
      <c r="C504" s="496"/>
      <c r="D504" s="496"/>
      <c r="E504" s="519" t="e">
        <f t="shared" ref="E504:K504" si="59">E502/E42*12</f>
        <v>#REF!</v>
      </c>
      <c r="F504" s="519" t="e">
        <f t="shared" si="59"/>
        <v>#REF!</v>
      </c>
      <c r="G504" s="519" t="e">
        <f t="shared" si="59"/>
        <v>#REF!</v>
      </c>
      <c r="H504" s="519" t="e">
        <f t="shared" si="59"/>
        <v>#REF!</v>
      </c>
      <c r="I504" s="519" t="e">
        <f t="shared" si="59"/>
        <v>#REF!</v>
      </c>
      <c r="J504" s="519" t="e">
        <f t="shared" si="59"/>
        <v>#REF!</v>
      </c>
      <c r="K504" s="519" t="e">
        <f t="shared" si="59"/>
        <v>#REF!</v>
      </c>
      <c r="L504" s="519" t="e">
        <f>L502/L42*12</f>
        <v>#REF!</v>
      </c>
      <c r="M504" s="519" t="e">
        <f>M502/M42*12</f>
        <v>#REF!</v>
      </c>
    </row>
    <row r="505" spans="1:13" ht="15">
      <c r="A505" s="496"/>
      <c r="B505" s="496"/>
      <c r="C505" s="496"/>
      <c r="D505" s="496"/>
      <c r="E505" s="519"/>
      <c r="F505" s="519"/>
      <c r="G505" s="519"/>
      <c r="H505" s="519"/>
      <c r="I505" s="519"/>
      <c r="J505" s="519"/>
      <c r="K505" s="519"/>
      <c r="L505" s="519"/>
      <c r="M505" s="519"/>
    </row>
    <row r="506" spans="1:13" ht="15">
      <c r="A506" s="503" t="s">
        <v>978</v>
      </c>
      <c r="B506" s="503" t="s">
        <v>1150</v>
      </c>
      <c r="C506" s="496"/>
      <c r="D506" s="496"/>
      <c r="E506" s="519">
        <v>0</v>
      </c>
      <c r="F506" s="519">
        <v>0</v>
      </c>
      <c r="G506" s="519">
        <v>0</v>
      </c>
      <c r="H506" s="519">
        <v>0</v>
      </c>
      <c r="I506" s="519">
        <v>0</v>
      </c>
      <c r="J506" s="519">
        <v>0</v>
      </c>
      <c r="K506" s="519">
        <v>0</v>
      </c>
      <c r="L506" s="519">
        <v>0</v>
      </c>
      <c r="M506" s="519">
        <v>0</v>
      </c>
    </row>
    <row r="507" spans="1:13" ht="15">
      <c r="A507" s="496"/>
      <c r="B507" s="496"/>
      <c r="C507" s="496"/>
      <c r="D507" s="496"/>
      <c r="E507" s="519"/>
      <c r="F507" s="519"/>
      <c r="G507" s="519"/>
      <c r="H507" s="519"/>
      <c r="I507" s="519"/>
      <c r="J507" s="519"/>
      <c r="K507" s="519"/>
      <c r="L507" s="519"/>
      <c r="M507" s="519"/>
    </row>
    <row r="508" spans="1:13" ht="15">
      <c r="A508" s="503" t="s">
        <v>931</v>
      </c>
      <c r="B508" s="503" t="s">
        <v>1151</v>
      </c>
      <c r="C508" s="496"/>
      <c r="D508" s="496"/>
      <c r="E508" s="519">
        <v>0</v>
      </c>
      <c r="F508" s="519">
        <v>0</v>
      </c>
      <c r="G508" s="519">
        <v>0</v>
      </c>
      <c r="H508" s="519">
        <v>0</v>
      </c>
      <c r="I508" s="519">
        <v>0</v>
      </c>
      <c r="J508" s="519">
        <v>0</v>
      </c>
      <c r="K508" s="519">
        <v>0</v>
      </c>
      <c r="L508" s="519">
        <v>0</v>
      </c>
      <c r="M508" s="519">
        <v>0</v>
      </c>
    </row>
    <row r="509" spans="1:13" ht="15">
      <c r="A509" s="496"/>
      <c r="B509" s="503" t="s">
        <v>872</v>
      </c>
      <c r="C509" s="496"/>
      <c r="D509" s="496"/>
      <c r="E509" s="496"/>
      <c r="F509" s="496"/>
      <c r="G509" s="496"/>
      <c r="H509" s="496"/>
      <c r="I509" s="496"/>
      <c r="J509" s="496"/>
      <c r="K509" s="496"/>
      <c r="L509" s="496"/>
      <c r="M509" s="496"/>
    </row>
    <row r="510" spans="1:13" ht="15">
      <c r="A510" s="503" t="s">
        <v>934</v>
      </c>
      <c r="B510" s="503" t="s">
        <v>1152</v>
      </c>
      <c r="C510" s="496"/>
      <c r="D510" s="496"/>
      <c r="E510" s="519"/>
      <c r="F510" s="519"/>
      <c r="G510" s="519"/>
      <c r="H510" s="519"/>
      <c r="I510" s="519"/>
      <c r="J510" s="519"/>
      <c r="K510" s="519"/>
      <c r="L510" s="519"/>
      <c r="M510" s="519"/>
    </row>
    <row r="511" spans="1:13" ht="15">
      <c r="A511" s="496"/>
      <c r="B511" s="503" t="s">
        <v>1153</v>
      </c>
      <c r="C511" s="496"/>
      <c r="D511" s="496"/>
      <c r="E511" s="519"/>
      <c r="F511" s="519"/>
      <c r="G511" s="519"/>
      <c r="H511" s="519"/>
      <c r="I511" s="519"/>
      <c r="J511" s="519"/>
      <c r="K511" s="519"/>
      <c r="L511" s="519"/>
      <c r="M511" s="519"/>
    </row>
    <row r="512" spans="1:13" ht="15">
      <c r="A512" s="496"/>
      <c r="B512" s="503" t="s">
        <v>1154</v>
      </c>
      <c r="C512" s="496"/>
      <c r="D512" s="496"/>
      <c r="E512" s="519">
        <v>0</v>
      </c>
      <c r="F512" s="519">
        <v>0</v>
      </c>
      <c r="G512" s="519">
        <v>0</v>
      </c>
      <c r="H512" s="519">
        <v>0</v>
      </c>
      <c r="I512" s="519">
        <v>0</v>
      </c>
      <c r="J512" s="519">
        <v>0</v>
      </c>
      <c r="K512" s="519">
        <v>0</v>
      </c>
      <c r="L512" s="519">
        <v>0</v>
      </c>
      <c r="M512" s="519">
        <v>0</v>
      </c>
    </row>
    <row r="513" spans="1:13" ht="15">
      <c r="A513" s="496"/>
      <c r="B513" s="503" t="s">
        <v>1155</v>
      </c>
      <c r="C513" s="496"/>
      <c r="D513" s="496"/>
      <c r="E513" s="519"/>
      <c r="F513" s="519"/>
      <c r="G513" s="519"/>
      <c r="H513" s="519"/>
      <c r="I513" s="519"/>
      <c r="J513" s="519"/>
      <c r="K513" s="519"/>
      <c r="L513" s="519"/>
      <c r="M513" s="519"/>
    </row>
    <row r="514" spans="1:13" ht="15">
      <c r="A514" s="496"/>
      <c r="B514" s="503" t="s">
        <v>1156</v>
      </c>
      <c r="C514" s="496"/>
      <c r="D514" s="496"/>
      <c r="E514" s="519"/>
      <c r="F514" s="519"/>
      <c r="G514" s="519"/>
      <c r="H514" s="519"/>
      <c r="I514" s="519"/>
      <c r="J514" s="519"/>
      <c r="K514" s="519"/>
      <c r="L514" s="519"/>
      <c r="M514" s="519"/>
    </row>
    <row r="515" spans="1:13" ht="15">
      <c r="A515" s="496"/>
      <c r="B515" s="503" t="s">
        <v>1157</v>
      </c>
      <c r="C515" s="496"/>
      <c r="D515" s="496"/>
      <c r="E515" s="519" t="e">
        <f t="shared" ref="E515:J515" si="60">+E196</f>
        <v>#REF!</v>
      </c>
      <c r="F515" s="519" t="e">
        <f t="shared" si="60"/>
        <v>#REF!</v>
      </c>
      <c r="G515" s="519" t="e">
        <f t="shared" si="60"/>
        <v>#REF!</v>
      </c>
      <c r="H515" s="519" t="e">
        <f t="shared" si="60"/>
        <v>#REF!</v>
      </c>
      <c r="I515" s="519" t="e">
        <f t="shared" si="60"/>
        <v>#REF!</v>
      </c>
      <c r="J515" s="519" t="e">
        <f t="shared" si="60"/>
        <v>#REF!</v>
      </c>
      <c r="K515" s="519" t="e">
        <f>+K196</f>
        <v>#REF!</v>
      </c>
      <c r="L515" s="519" t="e">
        <f>+L196</f>
        <v>#REF!</v>
      </c>
      <c r="M515" s="519" t="e">
        <f>+M196</f>
        <v>#REF!</v>
      </c>
    </row>
    <row r="516" spans="1:13" ht="15">
      <c r="A516" s="496"/>
      <c r="B516" s="503" t="s">
        <v>1158</v>
      </c>
      <c r="C516" s="496"/>
      <c r="D516" s="496"/>
      <c r="E516" s="519"/>
      <c r="F516" s="519"/>
      <c r="G516" s="519"/>
      <c r="H516" s="519"/>
      <c r="I516" s="519"/>
      <c r="J516" s="519"/>
      <c r="K516" s="519"/>
      <c r="L516" s="519"/>
      <c r="M516" s="519"/>
    </row>
    <row r="517" spans="1:13" ht="15">
      <c r="A517" s="496"/>
      <c r="B517" s="503" t="s">
        <v>1159</v>
      </c>
      <c r="C517" s="496"/>
      <c r="D517" s="496"/>
      <c r="E517" s="519">
        <v>0</v>
      </c>
      <c r="F517" s="519">
        <v>0</v>
      </c>
      <c r="G517" s="519">
        <v>0</v>
      </c>
      <c r="H517" s="519">
        <v>0</v>
      </c>
      <c r="I517" s="519">
        <v>0</v>
      </c>
      <c r="J517" s="519">
        <v>0</v>
      </c>
      <c r="K517" s="519">
        <v>0</v>
      </c>
      <c r="L517" s="519">
        <v>0</v>
      </c>
      <c r="M517" s="519">
        <v>0</v>
      </c>
    </row>
    <row r="518" spans="1:13" ht="15">
      <c r="A518" s="496"/>
      <c r="B518" s="496"/>
      <c r="C518" s="496"/>
      <c r="D518" s="497"/>
      <c r="E518" s="540"/>
      <c r="F518" s="540"/>
      <c r="G518" s="540"/>
      <c r="H518" s="540"/>
      <c r="I518" s="540"/>
      <c r="J518" s="540"/>
      <c r="K518" s="540"/>
      <c r="L518" s="540"/>
      <c r="M518" s="540"/>
    </row>
    <row r="519" spans="1:13" ht="15.75">
      <c r="A519" s="503" t="s">
        <v>936</v>
      </c>
      <c r="B519" s="512" t="s">
        <v>876</v>
      </c>
      <c r="C519" s="496"/>
      <c r="D519" s="496"/>
      <c r="E519" s="550" t="e">
        <f t="shared" ref="E519:J519" si="61">+E517+E515+E502</f>
        <v>#REF!</v>
      </c>
      <c r="F519" s="550" t="e">
        <f t="shared" si="61"/>
        <v>#REF!</v>
      </c>
      <c r="G519" s="550" t="e">
        <f t="shared" si="61"/>
        <v>#REF!</v>
      </c>
      <c r="H519" s="550" t="e">
        <f t="shared" si="61"/>
        <v>#REF!</v>
      </c>
      <c r="I519" s="550" t="e">
        <f t="shared" si="61"/>
        <v>#REF!</v>
      </c>
      <c r="J519" s="550" t="e">
        <f t="shared" si="61"/>
        <v>#REF!</v>
      </c>
      <c r="K519" s="550" t="e">
        <f>+K517+K515+K502</f>
        <v>#REF!</v>
      </c>
      <c r="L519" s="550" t="e">
        <f>+L517+L515+L502</f>
        <v>#REF!</v>
      </c>
      <c r="M519" s="550" t="e">
        <f>+M517+M515+M502</f>
        <v>#REF!</v>
      </c>
    </row>
    <row r="520" spans="1:13" ht="15">
      <c r="A520" s="496"/>
      <c r="B520" s="496"/>
      <c r="C520" s="496"/>
      <c r="D520" s="497"/>
      <c r="E520" s="517"/>
      <c r="F520" s="517"/>
      <c r="G520" s="517"/>
      <c r="H520" s="517"/>
      <c r="I520" s="517"/>
      <c r="J520" s="516"/>
      <c r="K520" s="516"/>
      <c r="L520" s="540"/>
    </row>
    <row r="521" spans="1:13" ht="15">
      <c r="A521" s="496"/>
      <c r="B521" s="496"/>
      <c r="C521" s="496"/>
      <c r="D521" s="497"/>
      <c r="E521" s="517"/>
      <c r="F521" s="517"/>
      <c r="G521" s="517"/>
      <c r="H521" s="517"/>
      <c r="I521" s="517"/>
      <c r="J521" s="516"/>
      <c r="K521" s="516"/>
      <c r="L521" s="540"/>
    </row>
    <row r="522" spans="1:13" ht="15">
      <c r="A522" s="496"/>
      <c r="B522" s="496"/>
      <c r="C522" s="496"/>
      <c r="D522" s="497"/>
      <c r="E522" s="517"/>
      <c r="F522" s="517"/>
      <c r="G522" s="517"/>
      <c r="H522" s="517"/>
      <c r="I522" s="517"/>
      <c r="J522" s="516"/>
      <c r="K522" s="516"/>
      <c r="L522" s="540"/>
    </row>
    <row r="523" spans="1:13" ht="15">
      <c r="A523" s="496"/>
      <c r="B523" s="496"/>
      <c r="C523" s="496"/>
      <c r="D523" s="497"/>
      <c r="E523" s="517"/>
      <c r="F523" s="517"/>
      <c r="G523" s="517"/>
      <c r="H523" s="517"/>
      <c r="I523" s="517"/>
      <c r="J523" s="516"/>
      <c r="K523" s="516"/>
      <c r="L523" s="540"/>
    </row>
    <row r="524" spans="1:13" ht="15">
      <c r="A524" s="496"/>
      <c r="B524" s="496"/>
      <c r="C524" s="496"/>
      <c r="D524" s="497"/>
      <c r="E524" s="517"/>
      <c r="F524" s="517"/>
      <c r="G524" s="517"/>
      <c r="H524" s="517"/>
      <c r="I524" s="517"/>
      <c r="J524" s="516"/>
      <c r="K524" s="516"/>
      <c r="L524" s="540"/>
    </row>
    <row r="525" spans="1:13" ht="15">
      <c r="A525" s="496"/>
      <c r="B525" s="496"/>
      <c r="C525" s="496"/>
      <c r="D525" s="497"/>
      <c r="E525" s="517"/>
      <c r="F525" s="517"/>
      <c r="G525" s="517"/>
      <c r="H525" s="517"/>
      <c r="I525" s="517"/>
      <c r="J525" s="516"/>
      <c r="K525" s="516"/>
      <c r="L525" s="540"/>
    </row>
    <row r="526" spans="1:13" ht="15">
      <c r="A526" s="496"/>
      <c r="B526" s="496"/>
      <c r="C526" s="496"/>
      <c r="D526" s="497"/>
      <c r="E526" s="517"/>
      <c r="F526" s="517"/>
      <c r="G526" s="517"/>
      <c r="H526" s="517"/>
      <c r="I526" s="517"/>
      <c r="J526" s="516"/>
      <c r="K526" s="516"/>
      <c r="L526" s="540"/>
    </row>
    <row r="527" spans="1:13" ht="15">
      <c r="A527" s="496"/>
      <c r="B527" s="496"/>
      <c r="C527" s="496"/>
      <c r="D527" s="497"/>
      <c r="E527" s="517"/>
      <c r="F527" s="517"/>
      <c r="G527" s="517"/>
      <c r="H527" s="517"/>
      <c r="I527" s="517"/>
      <c r="J527" s="516"/>
      <c r="K527" s="516"/>
      <c r="L527" s="540"/>
    </row>
    <row r="528" spans="1:13" ht="15">
      <c r="A528" s="496"/>
      <c r="B528" s="496"/>
      <c r="C528" s="496"/>
      <c r="D528" s="497"/>
      <c r="E528" s="517"/>
      <c r="F528" s="517"/>
      <c r="G528" s="517"/>
      <c r="H528" s="517"/>
      <c r="I528" s="517"/>
      <c r="J528" s="516"/>
      <c r="K528" s="516"/>
      <c r="L528" s="540"/>
    </row>
    <row r="529" spans="1:12" ht="15">
      <c r="A529" s="496"/>
      <c r="B529" s="496"/>
      <c r="C529" s="496"/>
      <c r="D529" s="497"/>
      <c r="E529" s="517"/>
      <c r="F529" s="517"/>
      <c r="G529" s="517"/>
      <c r="H529" s="517"/>
      <c r="I529" s="517"/>
      <c r="J529" s="516"/>
      <c r="K529" s="516"/>
      <c r="L529" s="540"/>
    </row>
    <row r="530" spans="1:12" ht="15">
      <c r="A530" s="496"/>
      <c r="B530" s="496"/>
      <c r="C530" s="496"/>
      <c r="D530" s="497"/>
      <c r="E530" s="517"/>
      <c r="F530" s="517"/>
      <c r="G530" s="517"/>
      <c r="H530" s="517"/>
      <c r="I530" s="517"/>
      <c r="J530" s="516"/>
      <c r="K530" s="516"/>
      <c r="L530" s="540"/>
    </row>
    <row r="531" spans="1:12" ht="15">
      <c r="A531" s="496"/>
      <c r="B531" s="496"/>
      <c r="C531" s="496"/>
      <c r="D531" s="497"/>
      <c r="E531" s="517"/>
      <c r="F531" s="517"/>
      <c r="G531" s="517"/>
      <c r="H531" s="517"/>
      <c r="I531" s="517"/>
      <c r="J531" s="516"/>
      <c r="K531" s="516"/>
      <c r="L531" s="540"/>
    </row>
    <row r="532" spans="1:12" ht="15">
      <c r="A532" s="496"/>
      <c r="B532" s="496"/>
      <c r="C532" s="496"/>
      <c r="D532" s="497"/>
      <c r="E532" s="517"/>
      <c r="F532" s="517"/>
      <c r="G532" s="517"/>
      <c r="H532" s="517"/>
      <c r="I532" s="517"/>
      <c r="J532" s="516"/>
      <c r="K532" s="516"/>
      <c r="L532" s="540"/>
    </row>
    <row r="533" spans="1:12" ht="15">
      <c r="A533" s="496"/>
      <c r="B533" s="496"/>
      <c r="C533" s="496"/>
      <c r="D533" s="497"/>
      <c r="E533" s="517"/>
      <c r="F533" s="517"/>
      <c r="G533" s="517"/>
      <c r="H533" s="517"/>
      <c r="I533" s="517"/>
      <c r="J533" s="516"/>
      <c r="K533" s="516"/>
      <c r="L533" s="540"/>
    </row>
    <row r="534" spans="1:12" ht="15">
      <c r="A534" s="496"/>
      <c r="B534" s="496"/>
      <c r="C534" s="496"/>
      <c r="D534" s="497"/>
      <c r="E534" s="517"/>
      <c r="F534" s="517"/>
      <c r="G534" s="517"/>
      <c r="H534" s="517"/>
      <c r="I534" s="517"/>
      <c r="J534" s="516"/>
      <c r="K534" s="516"/>
      <c r="L534" s="540"/>
    </row>
    <row r="535" spans="1:12" ht="15">
      <c r="A535" s="496"/>
      <c r="B535" s="496"/>
      <c r="C535" s="496"/>
      <c r="D535" s="497"/>
      <c r="E535" s="517"/>
      <c r="F535" s="517"/>
      <c r="G535" s="517"/>
      <c r="H535" s="517"/>
      <c r="I535" s="517"/>
      <c r="J535" s="516"/>
      <c r="K535" s="516"/>
      <c r="L535" s="540"/>
    </row>
    <row r="536" spans="1:12" ht="15">
      <c r="A536" s="496"/>
      <c r="B536" s="496"/>
      <c r="C536" s="496"/>
      <c r="D536" s="497"/>
      <c r="E536" s="517"/>
      <c r="F536" s="517"/>
      <c r="G536" s="517"/>
      <c r="H536" s="517"/>
      <c r="I536" s="517"/>
      <c r="J536" s="516"/>
      <c r="K536" s="516"/>
      <c r="L536" s="540"/>
    </row>
    <row r="537" spans="1:12" ht="15">
      <c r="A537" s="496"/>
      <c r="B537" s="496"/>
      <c r="C537" s="496"/>
      <c r="D537" s="497"/>
      <c r="E537" s="517"/>
      <c r="F537" s="517"/>
      <c r="G537" s="517"/>
      <c r="H537" s="517"/>
      <c r="I537" s="517"/>
      <c r="J537" s="516"/>
      <c r="K537" s="516"/>
      <c r="L537" s="540"/>
    </row>
    <row r="538" spans="1:12" ht="15">
      <c r="A538" s="496"/>
      <c r="B538" s="496"/>
      <c r="C538" s="496"/>
      <c r="D538" s="497"/>
      <c r="E538" s="517"/>
      <c r="F538" s="517"/>
      <c r="G538" s="517"/>
      <c r="H538" s="517"/>
      <c r="I538" s="517"/>
      <c r="J538" s="516"/>
      <c r="K538" s="516"/>
      <c r="L538" s="540"/>
    </row>
    <row r="539" spans="1:12" ht="15">
      <c r="A539" s="496"/>
      <c r="B539" s="496"/>
      <c r="C539" s="496"/>
      <c r="D539" s="497"/>
      <c r="E539" s="517"/>
      <c r="F539" s="517"/>
      <c r="G539" s="517"/>
      <c r="H539" s="517"/>
      <c r="I539" s="517"/>
      <c r="J539" s="516"/>
      <c r="K539" s="516"/>
      <c r="L539" s="540"/>
    </row>
    <row r="540" spans="1:12" ht="15">
      <c r="A540" s="496"/>
      <c r="B540" s="496"/>
      <c r="C540" s="496"/>
      <c r="D540" s="497"/>
      <c r="E540" s="517"/>
      <c r="F540" s="517"/>
      <c r="G540" s="517"/>
      <c r="H540" s="517"/>
      <c r="I540" s="517"/>
      <c r="J540" s="516"/>
      <c r="K540" s="516"/>
      <c r="L540" s="540"/>
    </row>
    <row r="541" spans="1:12" ht="15">
      <c r="A541" s="496"/>
      <c r="B541" s="496"/>
      <c r="C541" s="496"/>
      <c r="D541" s="497"/>
      <c r="E541" s="517"/>
      <c r="F541" s="517"/>
      <c r="G541" s="517"/>
      <c r="H541" s="517"/>
      <c r="I541" s="517"/>
      <c r="J541" s="516"/>
      <c r="K541" s="516"/>
      <c r="L541" s="540"/>
    </row>
    <row r="542" spans="1:12" ht="15">
      <c r="A542" s="496"/>
      <c r="B542" s="496"/>
      <c r="C542" s="496"/>
      <c r="D542" s="497"/>
      <c r="E542" s="517"/>
      <c r="F542" s="517"/>
      <c r="G542" s="517"/>
      <c r="H542" s="517"/>
      <c r="I542" s="517"/>
      <c r="J542" s="516"/>
      <c r="K542" s="516"/>
      <c r="L542" s="540"/>
    </row>
    <row r="543" spans="1:12" ht="15">
      <c r="A543" s="496"/>
      <c r="B543" s="496"/>
      <c r="C543" s="496"/>
      <c r="D543" s="497"/>
      <c r="E543" s="517"/>
      <c r="F543" s="517"/>
      <c r="G543" s="517"/>
      <c r="H543" s="517"/>
      <c r="I543" s="517"/>
      <c r="J543" s="516"/>
      <c r="K543" s="516"/>
      <c r="L543" s="540"/>
    </row>
    <row r="544" spans="1:12" ht="15">
      <c r="A544" s="496"/>
      <c r="B544" s="496"/>
      <c r="C544" s="496"/>
      <c r="D544" s="497"/>
      <c r="E544" s="517"/>
      <c r="F544" s="517"/>
      <c r="G544" s="517"/>
      <c r="H544" s="517"/>
      <c r="I544" s="517"/>
      <c r="J544" s="516"/>
      <c r="K544" s="516"/>
      <c r="L544" s="540"/>
    </row>
    <row r="545" spans="1:12" ht="15">
      <c r="A545" s="496"/>
      <c r="B545" s="496"/>
      <c r="C545" s="496"/>
      <c r="D545" s="497"/>
      <c r="E545" s="517"/>
      <c r="F545" s="517"/>
      <c r="G545" s="517"/>
      <c r="H545" s="517"/>
      <c r="I545" s="517"/>
      <c r="J545" s="516"/>
      <c r="K545" s="516"/>
      <c r="L545" s="540"/>
    </row>
    <row r="546" spans="1:12" ht="15">
      <c r="A546" s="496"/>
      <c r="B546" s="496"/>
      <c r="C546" s="496"/>
      <c r="D546" s="497"/>
      <c r="E546" s="517"/>
      <c r="F546" s="517"/>
      <c r="G546" s="517"/>
      <c r="H546" s="517"/>
      <c r="I546" s="517"/>
      <c r="J546" s="516"/>
      <c r="K546" s="516"/>
      <c r="L546" s="540"/>
    </row>
    <row r="547" spans="1:12" ht="15">
      <c r="A547" s="496"/>
      <c r="B547" s="496"/>
      <c r="C547" s="496"/>
      <c r="D547" s="497"/>
      <c r="E547" s="517"/>
      <c r="F547" s="517"/>
      <c r="G547" s="517"/>
      <c r="H547" s="517"/>
      <c r="I547" s="517"/>
      <c r="J547" s="516"/>
      <c r="K547" s="516"/>
      <c r="L547" s="540"/>
    </row>
    <row r="548" spans="1:12" ht="15">
      <c r="A548" s="496"/>
      <c r="B548" s="496"/>
      <c r="C548" s="496"/>
      <c r="D548" s="497"/>
      <c r="E548" s="517"/>
      <c r="F548" s="517"/>
      <c r="G548" s="517"/>
      <c r="H548" s="517"/>
      <c r="I548" s="517"/>
      <c r="J548" s="516"/>
      <c r="K548" s="516"/>
      <c r="L548" s="540"/>
    </row>
    <row r="549" spans="1:12" ht="15">
      <c r="A549" s="496"/>
      <c r="B549" s="496"/>
      <c r="C549" s="496"/>
      <c r="D549" s="497"/>
      <c r="E549" s="517"/>
      <c r="F549" s="517"/>
      <c r="G549" s="517"/>
      <c r="H549" s="517"/>
      <c r="I549" s="517"/>
      <c r="J549" s="516"/>
      <c r="K549" s="516"/>
      <c r="L549" s="540"/>
    </row>
    <row r="550" spans="1:12" ht="15">
      <c r="A550" s="496"/>
      <c r="B550" s="496"/>
      <c r="C550" s="496"/>
      <c r="D550" s="497"/>
      <c r="E550" s="517"/>
      <c r="F550" s="517"/>
      <c r="G550" s="517"/>
      <c r="H550" s="517"/>
      <c r="I550" s="517"/>
      <c r="J550" s="516"/>
      <c r="K550" s="516"/>
      <c r="L550" s="540"/>
    </row>
    <row r="551" spans="1:12" ht="15">
      <c r="A551" s="496"/>
      <c r="B551" s="496"/>
      <c r="C551" s="496"/>
      <c r="D551" s="497"/>
      <c r="E551" s="517"/>
      <c r="F551" s="517"/>
      <c r="G551" s="517"/>
      <c r="H551" s="517"/>
      <c r="I551" s="517"/>
      <c r="J551" s="516"/>
      <c r="K551" s="516"/>
      <c r="L551" s="540"/>
    </row>
    <row r="552" spans="1:12" ht="15">
      <c r="A552" s="496"/>
      <c r="B552" s="496"/>
      <c r="C552" s="496"/>
      <c r="D552" s="497"/>
      <c r="E552" s="517"/>
      <c r="F552" s="517"/>
      <c r="G552" s="517"/>
      <c r="H552" s="517"/>
      <c r="I552" s="517"/>
      <c r="J552" s="516"/>
      <c r="K552" s="516"/>
      <c r="L552" s="540"/>
    </row>
    <row r="553" spans="1:12" ht="15">
      <c r="A553" s="496"/>
      <c r="B553" s="496"/>
      <c r="C553" s="496"/>
      <c r="D553" s="497"/>
      <c r="E553" s="517"/>
      <c r="F553" s="517"/>
      <c r="G553" s="517"/>
      <c r="H553" s="517"/>
      <c r="I553" s="517"/>
      <c r="J553" s="516"/>
      <c r="K553" s="516"/>
      <c r="L553" s="540"/>
    </row>
    <row r="554" spans="1:12" ht="15">
      <c r="A554" s="496"/>
      <c r="B554" s="496"/>
      <c r="C554" s="496"/>
      <c r="D554" s="497"/>
      <c r="E554" s="517"/>
      <c r="F554" s="517"/>
      <c r="G554" s="517"/>
      <c r="H554" s="517"/>
      <c r="I554" s="517"/>
      <c r="J554" s="516"/>
      <c r="K554" s="516"/>
      <c r="L554" s="540"/>
    </row>
    <row r="555" spans="1:12" ht="15">
      <c r="A555" s="496"/>
      <c r="B555" s="496"/>
      <c r="C555" s="496"/>
      <c r="D555" s="497"/>
      <c r="E555" s="517"/>
      <c r="F555" s="517"/>
      <c r="G555" s="517"/>
      <c r="H555" s="517"/>
      <c r="I555" s="517"/>
      <c r="J555" s="516"/>
      <c r="K555" s="516"/>
      <c r="L555" s="540"/>
    </row>
    <row r="556" spans="1:12" ht="15">
      <c r="A556" s="496"/>
      <c r="B556" s="496"/>
      <c r="C556" s="496"/>
      <c r="D556" s="497"/>
      <c r="E556" s="517"/>
      <c r="F556" s="517"/>
      <c r="G556" s="517"/>
      <c r="H556" s="517"/>
      <c r="I556" s="517"/>
      <c r="J556" s="516"/>
      <c r="K556" s="516"/>
      <c r="L556" s="540"/>
    </row>
    <row r="557" spans="1:12" ht="15">
      <c r="A557" s="496"/>
      <c r="B557" s="496"/>
      <c r="C557" s="496"/>
      <c r="D557" s="497"/>
      <c r="E557" s="517"/>
      <c r="F557" s="517"/>
      <c r="G557" s="517"/>
      <c r="H557" s="517"/>
      <c r="I557" s="517"/>
      <c r="J557" s="516"/>
      <c r="K557" s="516"/>
      <c r="L557" s="540"/>
    </row>
    <row r="558" spans="1:12" ht="15">
      <c r="A558" s="496"/>
      <c r="B558" s="496"/>
      <c r="C558" s="496"/>
      <c r="D558" s="497"/>
      <c r="E558" s="517"/>
      <c r="F558" s="517"/>
      <c r="G558" s="517"/>
      <c r="H558" s="517"/>
      <c r="I558" s="517"/>
      <c r="J558" s="516"/>
      <c r="K558" s="516"/>
      <c r="L558" s="540"/>
    </row>
    <row r="559" spans="1:12" ht="15">
      <c r="A559" s="496"/>
      <c r="B559" s="496"/>
      <c r="C559" s="496"/>
      <c r="D559" s="497"/>
      <c r="E559" s="517"/>
      <c r="F559" s="517"/>
      <c r="G559" s="517"/>
      <c r="H559" s="517"/>
      <c r="I559" s="517"/>
      <c r="J559" s="516"/>
      <c r="K559" s="516"/>
      <c r="L559" s="540"/>
    </row>
    <row r="560" spans="1:12" ht="15">
      <c r="A560" s="496"/>
      <c r="B560" s="496"/>
      <c r="C560" s="496"/>
      <c r="D560" s="497"/>
      <c r="E560" s="517"/>
      <c r="F560" s="517"/>
      <c r="G560" s="517"/>
      <c r="H560" s="517"/>
      <c r="I560" s="517"/>
      <c r="J560" s="516"/>
      <c r="K560" s="516"/>
      <c r="L560" s="540"/>
    </row>
    <row r="561" spans="1:13" ht="15">
      <c r="A561" s="496"/>
      <c r="B561" s="496"/>
      <c r="C561" s="496"/>
      <c r="D561" s="497"/>
      <c r="E561" s="517"/>
      <c r="F561" s="517"/>
      <c r="G561" s="517"/>
      <c r="H561" s="517"/>
      <c r="I561" s="517"/>
      <c r="J561" s="516"/>
      <c r="K561" s="516"/>
      <c r="L561" s="540"/>
    </row>
    <row r="562" spans="1:13" ht="15">
      <c r="A562" s="496"/>
      <c r="B562" s="496"/>
      <c r="C562" s="496"/>
      <c r="D562" s="497"/>
      <c r="E562" s="517"/>
      <c r="F562" s="517"/>
      <c r="G562" s="517"/>
      <c r="H562" s="517"/>
      <c r="I562" s="517"/>
      <c r="J562" s="516"/>
      <c r="K562" s="516"/>
      <c r="L562" s="540"/>
    </row>
    <row r="563" spans="1:13" ht="15">
      <c r="A563" s="496"/>
      <c r="B563" s="496"/>
      <c r="C563" s="496"/>
      <c r="D563" s="497"/>
      <c r="E563" s="517"/>
      <c r="F563" s="517"/>
      <c r="G563" s="517"/>
      <c r="H563" s="517"/>
      <c r="I563" s="517"/>
      <c r="J563" s="516"/>
      <c r="K563" s="516"/>
      <c r="L563" s="540"/>
    </row>
    <row r="564" spans="1:13" ht="15">
      <c r="A564" s="496"/>
      <c r="B564" s="496"/>
      <c r="C564" s="496"/>
      <c r="D564" s="497"/>
      <c r="E564" s="517"/>
      <c r="F564" s="517"/>
      <c r="G564" s="517"/>
      <c r="H564" s="517"/>
      <c r="I564" s="517"/>
      <c r="J564" s="516"/>
      <c r="K564" s="516"/>
      <c r="L564" s="540"/>
    </row>
    <row r="565" spans="1:13" ht="15">
      <c r="A565" s="552"/>
      <c r="B565" s="1141" t="s">
        <v>1160</v>
      </c>
      <c r="C565" s="1141"/>
      <c r="D565" s="1141"/>
      <c r="E565" s="1141"/>
      <c r="F565" s="1141"/>
      <c r="G565" s="1141"/>
      <c r="H565" s="1141"/>
      <c r="I565" s="1141"/>
      <c r="J565" s="516"/>
      <c r="K565" s="516"/>
      <c r="L565" s="540"/>
    </row>
    <row r="566" spans="1:13" ht="15">
      <c r="A566" s="552"/>
      <c r="B566" s="1141" t="s">
        <v>1161</v>
      </c>
      <c r="C566" s="1141"/>
      <c r="D566" s="1141"/>
      <c r="E566" s="1141"/>
      <c r="F566" s="1141"/>
      <c r="G566" s="1141"/>
      <c r="H566" s="1141"/>
      <c r="I566" s="1141"/>
      <c r="J566" s="516"/>
      <c r="K566" s="516"/>
      <c r="L566" s="540"/>
    </row>
    <row r="567" spans="1:13" ht="15">
      <c r="A567" s="552"/>
      <c r="B567" s="342"/>
      <c r="C567" s="342"/>
      <c r="D567" s="342"/>
      <c r="E567" s="342"/>
      <c r="F567" s="553"/>
      <c r="G567" s="553"/>
      <c r="H567" s="553"/>
      <c r="I567" s="517"/>
      <c r="J567" s="516"/>
      <c r="K567" s="516"/>
      <c r="L567" s="540"/>
    </row>
    <row r="568" spans="1:13">
      <c r="A568" s="552"/>
      <c r="B568" s="342"/>
      <c r="C568" s="342"/>
      <c r="D568" s="342"/>
      <c r="E568" s="554" t="e">
        <f t="shared" ref="E568:J568" si="62">+E495</f>
        <v>#REF!</v>
      </c>
      <c r="F568" s="554" t="e">
        <f t="shared" si="62"/>
        <v>#REF!</v>
      </c>
      <c r="G568" s="554" t="e">
        <f t="shared" si="62"/>
        <v>#REF!</v>
      </c>
      <c r="H568" s="554" t="e">
        <f t="shared" si="62"/>
        <v>#REF!</v>
      </c>
      <c r="I568" s="554" t="e">
        <f t="shared" si="62"/>
        <v>#REF!</v>
      </c>
      <c r="J568" s="554" t="e">
        <f t="shared" si="62"/>
        <v>#REF!</v>
      </c>
      <c r="K568" s="554" t="e">
        <f>+K495</f>
        <v>#REF!</v>
      </c>
      <c r="L568" s="554" t="e">
        <f>+L495</f>
        <v>#REF!</v>
      </c>
      <c r="M568" s="554" t="e">
        <f>+M495</f>
        <v>#REF!</v>
      </c>
    </row>
    <row r="569" spans="1:13" ht="12.75" customHeight="1">
      <c r="A569" s="552"/>
      <c r="B569" s="342"/>
      <c r="C569" s="342"/>
      <c r="D569" s="342"/>
      <c r="E569" s="1142" t="s">
        <v>1162</v>
      </c>
      <c r="F569" s="1142"/>
      <c r="G569" s="1142"/>
      <c r="H569" s="1142"/>
      <c r="I569" s="1142"/>
      <c r="J569" s="555"/>
      <c r="K569" s="555"/>
      <c r="L569" s="555"/>
      <c r="M569" s="555"/>
    </row>
    <row r="570" spans="1:13">
      <c r="A570" s="552"/>
      <c r="B570" s="342"/>
      <c r="C570" s="342"/>
      <c r="D570" s="342"/>
      <c r="E570" s="556" t="s">
        <v>864</v>
      </c>
      <c r="F570" s="556" t="s">
        <v>865</v>
      </c>
      <c r="G570" s="556" t="s">
        <v>866</v>
      </c>
      <c r="H570" s="557" t="s">
        <v>867</v>
      </c>
      <c r="I570" s="557" t="s">
        <v>868</v>
      </c>
      <c r="J570" s="557" t="s">
        <v>869</v>
      </c>
      <c r="K570" s="557" t="s">
        <v>870</v>
      </c>
      <c r="L570" s="557" t="s">
        <v>1163</v>
      </c>
      <c r="M570" s="557" t="s">
        <v>1164</v>
      </c>
    </row>
    <row r="571" spans="1:13" ht="15">
      <c r="A571" s="552"/>
      <c r="B571" s="342"/>
      <c r="C571" s="342"/>
      <c r="D571" s="342"/>
      <c r="E571" s="342"/>
      <c r="F571" s="553"/>
      <c r="G571" s="553"/>
      <c r="H571" s="553"/>
      <c r="I571" s="517"/>
      <c r="J571" s="517"/>
      <c r="K571" s="517"/>
      <c r="L571" s="517"/>
      <c r="M571" s="517"/>
    </row>
    <row r="572" spans="1:13">
      <c r="A572" s="558">
        <v>1</v>
      </c>
      <c r="B572" s="342" t="s">
        <v>1165</v>
      </c>
      <c r="C572" s="342"/>
      <c r="D572" s="342"/>
      <c r="E572" s="342" t="e">
        <f t="shared" ref="E572:J572" si="63">+E475</f>
        <v>#REF!</v>
      </c>
      <c r="F572" s="342" t="e">
        <f t="shared" si="63"/>
        <v>#REF!</v>
      </c>
      <c r="G572" s="342" t="e">
        <f t="shared" si="63"/>
        <v>#REF!</v>
      </c>
      <c r="H572" s="342" t="e">
        <f t="shared" si="63"/>
        <v>#REF!</v>
      </c>
      <c r="I572" s="342" t="e">
        <f t="shared" si="63"/>
        <v>#REF!</v>
      </c>
      <c r="J572" s="342" t="e">
        <f t="shared" si="63"/>
        <v>#REF!</v>
      </c>
      <c r="K572" s="342" t="e">
        <f>+K475</f>
        <v>#REF!</v>
      </c>
      <c r="L572" s="342" t="e">
        <f>+L475</f>
        <v>#REF!</v>
      </c>
      <c r="M572" s="342" t="e">
        <f>+M475</f>
        <v>#REF!</v>
      </c>
    </row>
    <row r="573" spans="1:13" ht="15">
      <c r="A573" s="558"/>
      <c r="B573" s="342"/>
      <c r="C573" s="342"/>
      <c r="D573" s="342"/>
      <c r="E573" s="342"/>
      <c r="F573" s="553"/>
      <c r="G573" s="553"/>
      <c r="H573" s="553"/>
      <c r="I573" s="517"/>
      <c r="J573" s="517"/>
      <c r="K573" s="517"/>
      <c r="L573" s="517"/>
      <c r="M573" s="517"/>
    </row>
    <row r="574" spans="1:13">
      <c r="A574" s="558">
        <v>2</v>
      </c>
      <c r="B574" s="342" t="s">
        <v>1166</v>
      </c>
      <c r="C574" s="342"/>
      <c r="D574" s="342"/>
      <c r="E574" s="342" t="e">
        <f t="shared" ref="E574:J574" si="64">+E201</f>
        <v>#REF!</v>
      </c>
      <c r="F574" s="342" t="e">
        <f t="shared" si="64"/>
        <v>#REF!</v>
      </c>
      <c r="G574" s="342" t="e">
        <f t="shared" si="64"/>
        <v>#REF!</v>
      </c>
      <c r="H574" s="342" t="e">
        <f t="shared" si="64"/>
        <v>#REF!</v>
      </c>
      <c r="I574" s="342" t="e">
        <f t="shared" si="64"/>
        <v>#REF!</v>
      </c>
      <c r="J574" s="342" t="e">
        <f t="shared" si="64"/>
        <v>#REF!</v>
      </c>
      <c r="K574" s="342" t="e">
        <f>+K201</f>
        <v>#REF!</v>
      </c>
      <c r="L574" s="342" t="e">
        <f>+L201</f>
        <v>#REF!</v>
      </c>
      <c r="M574" s="342" t="e">
        <f>+M201</f>
        <v>#REF!</v>
      </c>
    </row>
    <row r="575" spans="1:13" ht="15">
      <c r="A575" s="558"/>
      <c r="B575" s="342"/>
      <c r="C575" s="342"/>
      <c r="D575" s="342"/>
      <c r="E575" s="342"/>
      <c r="F575" s="553"/>
      <c r="G575" s="553"/>
      <c r="H575" s="553"/>
      <c r="I575" s="517"/>
      <c r="J575" s="517"/>
      <c r="K575" s="517"/>
      <c r="L575" s="517"/>
      <c r="M575" s="517"/>
    </row>
    <row r="576" spans="1:13">
      <c r="A576" s="558">
        <v>3</v>
      </c>
      <c r="B576" s="342" t="s">
        <v>1167</v>
      </c>
      <c r="C576" s="342"/>
      <c r="D576" s="342"/>
      <c r="E576" s="342" t="e">
        <f t="shared" ref="E576:J576" si="65">+E572-E574</f>
        <v>#REF!</v>
      </c>
      <c r="F576" s="342" t="e">
        <f t="shared" si="65"/>
        <v>#REF!</v>
      </c>
      <c r="G576" s="342" t="e">
        <f t="shared" si="65"/>
        <v>#REF!</v>
      </c>
      <c r="H576" s="342" t="e">
        <f t="shared" si="65"/>
        <v>#REF!</v>
      </c>
      <c r="I576" s="342" t="e">
        <f t="shared" si="65"/>
        <v>#REF!</v>
      </c>
      <c r="J576" s="342" t="e">
        <f t="shared" si="65"/>
        <v>#REF!</v>
      </c>
      <c r="K576" s="342" t="e">
        <f>+K572-K574</f>
        <v>#REF!</v>
      </c>
      <c r="L576" s="342" t="e">
        <f>+L572-L574</f>
        <v>#REF!</v>
      </c>
      <c r="M576" s="342" t="e">
        <f>+M572-M574</f>
        <v>#REF!</v>
      </c>
    </row>
    <row r="577" spans="1:13" ht="15">
      <c r="A577" s="558"/>
      <c r="B577" s="342"/>
      <c r="C577" s="342"/>
      <c r="D577" s="342"/>
      <c r="E577" s="342"/>
      <c r="F577" s="553"/>
      <c r="G577" s="553"/>
      <c r="H577" s="553"/>
      <c r="I577" s="517"/>
      <c r="J577" s="517"/>
      <c r="K577" s="517"/>
      <c r="L577" s="517"/>
      <c r="M577" s="517"/>
    </row>
    <row r="578" spans="1:13">
      <c r="A578" s="558">
        <v>4</v>
      </c>
      <c r="B578" s="342" t="s">
        <v>1168</v>
      </c>
      <c r="C578" s="342"/>
      <c r="D578" s="342"/>
      <c r="E578" s="342" t="e">
        <f t="shared" ref="E578:J578" si="66">+E353</f>
        <v>#REF!</v>
      </c>
      <c r="F578" s="342" t="e">
        <f t="shared" si="66"/>
        <v>#REF!</v>
      </c>
      <c r="G578" s="342" t="e">
        <f t="shared" si="66"/>
        <v>#REF!</v>
      </c>
      <c r="H578" s="342" t="e">
        <f t="shared" si="66"/>
        <v>#REF!</v>
      </c>
      <c r="I578" s="342" t="e">
        <f t="shared" si="66"/>
        <v>#REF!</v>
      </c>
      <c r="J578" s="342" t="e">
        <f t="shared" si="66"/>
        <v>#REF!</v>
      </c>
      <c r="K578" s="342" t="e">
        <f>+K353</f>
        <v>#REF!</v>
      </c>
      <c r="L578" s="342" t="e">
        <f>+L353</f>
        <v>#REF!</v>
      </c>
      <c r="M578" s="342" t="e">
        <f>+M353</f>
        <v>#REF!</v>
      </c>
    </row>
    <row r="579" spans="1:13" ht="15">
      <c r="A579" s="558"/>
      <c r="B579" s="342"/>
      <c r="C579" s="342"/>
      <c r="D579" s="342"/>
      <c r="E579" s="342"/>
      <c r="F579" s="553"/>
      <c r="G579" s="553"/>
      <c r="H579" s="553"/>
      <c r="I579" s="517"/>
      <c r="J579" s="517"/>
      <c r="K579" s="517"/>
      <c r="L579" s="517"/>
      <c r="M579" s="517"/>
    </row>
    <row r="580" spans="1:13">
      <c r="A580" s="558">
        <v>5</v>
      </c>
      <c r="B580" s="342" t="s">
        <v>1169</v>
      </c>
      <c r="C580" s="342"/>
      <c r="D580" s="342"/>
      <c r="E580" s="342" t="e">
        <f t="shared" ref="E580:J580" si="67">+E576-E578</f>
        <v>#REF!</v>
      </c>
      <c r="F580" s="342" t="e">
        <f t="shared" si="67"/>
        <v>#REF!</v>
      </c>
      <c r="G580" s="342" t="e">
        <f t="shared" si="67"/>
        <v>#REF!</v>
      </c>
      <c r="H580" s="342" t="e">
        <f t="shared" si="67"/>
        <v>#REF!</v>
      </c>
      <c r="I580" s="342" t="e">
        <f t="shared" si="67"/>
        <v>#REF!</v>
      </c>
      <c r="J580" s="342" t="e">
        <f t="shared" si="67"/>
        <v>#REF!</v>
      </c>
      <c r="K580" s="342" t="e">
        <f>+K576-K578</f>
        <v>#REF!</v>
      </c>
      <c r="L580" s="342" t="e">
        <f>+L576-L578</f>
        <v>#REF!</v>
      </c>
      <c r="M580" s="342" t="e">
        <f>+M576-M578</f>
        <v>#REF!</v>
      </c>
    </row>
    <row r="581" spans="1:13" ht="15">
      <c r="A581" s="558"/>
      <c r="B581" s="342"/>
      <c r="C581" s="342"/>
      <c r="D581" s="342"/>
      <c r="E581" s="342"/>
      <c r="F581" s="553"/>
      <c r="G581" s="553"/>
      <c r="H581" s="553"/>
      <c r="I581" s="517"/>
      <c r="J581" s="517"/>
      <c r="K581" s="517"/>
      <c r="L581" s="517"/>
      <c r="M581" s="517"/>
    </row>
    <row r="582" spans="1:13">
      <c r="A582" s="558">
        <v>6</v>
      </c>
      <c r="B582" s="342" t="s">
        <v>1170</v>
      </c>
      <c r="C582" s="342"/>
      <c r="D582" s="342"/>
      <c r="E582" s="342" t="e">
        <f t="shared" ref="E582:J582" si="68">+E578/E572*100</f>
        <v>#REF!</v>
      </c>
      <c r="F582" s="342" t="e">
        <f t="shared" si="68"/>
        <v>#REF!</v>
      </c>
      <c r="G582" s="342" t="e">
        <f t="shared" si="68"/>
        <v>#REF!</v>
      </c>
      <c r="H582" s="342" t="e">
        <f t="shared" si="68"/>
        <v>#REF!</v>
      </c>
      <c r="I582" s="342" t="e">
        <f t="shared" si="68"/>
        <v>#REF!</v>
      </c>
      <c r="J582" s="342" t="e">
        <f t="shared" si="68"/>
        <v>#REF!</v>
      </c>
      <c r="K582" s="342" t="e">
        <f>+K578/K572*100</f>
        <v>#REF!</v>
      </c>
      <c r="L582" s="342" t="e">
        <f>+L578/L572*100</f>
        <v>#REF!</v>
      </c>
      <c r="M582" s="342" t="e">
        <f>+M578/M572*100</f>
        <v>#REF!</v>
      </c>
    </row>
    <row r="583" spans="1:13" ht="15">
      <c r="A583" s="558"/>
      <c r="B583" s="342"/>
      <c r="C583" s="342"/>
      <c r="D583" s="342"/>
      <c r="E583" s="7"/>
      <c r="F583" s="553"/>
      <c r="G583" s="553"/>
      <c r="H583" s="553"/>
      <c r="I583" s="517"/>
      <c r="J583" s="517"/>
      <c r="K583" s="517"/>
      <c r="L583" s="517"/>
      <c r="M583" s="517"/>
    </row>
    <row r="584" spans="1:13">
      <c r="A584" s="558">
        <v>7</v>
      </c>
      <c r="B584" s="342" t="s">
        <v>1171</v>
      </c>
      <c r="C584" s="342"/>
      <c r="D584" s="342"/>
      <c r="E584" s="342" t="e">
        <f t="shared" ref="E584:J584" si="69">+E580/E572*100</f>
        <v>#REF!</v>
      </c>
      <c r="F584" s="342" t="e">
        <f t="shared" si="69"/>
        <v>#REF!</v>
      </c>
      <c r="G584" s="342" t="e">
        <f t="shared" si="69"/>
        <v>#REF!</v>
      </c>
      <c r="H584" s="342" t="e">
        <f t="shared" si="69"/>
        <v>#REF!</v>
      </c>
      <c r="I584" s="342" t="e">
        <f t="shared" si="69"/>
        <v>#REF!</v>
      </c>
      <c r="J584" s="342" t="e">
        <f t="shared" si="69"/>
        <v>#REF!</v>
      </c>
      <c r="K584" s="342" t="e">
        <f>+K580/K572*100</f>
        <v>#REF!</v>
      </c>
      <c r="L584" s="342" t="e">
        <f>+L580/L572*100</f>
        <v>#REF!</v>
      </c>
      <c r="M584" s="342" t="e">
        <f>+M580/M572*100</f>
        <v>#REF!</v>
      </c>
    </row>
    <row r="585" spans="1:13" ht="15">
      <c r="A585" s="558"/>
      <c r="B585" s="342"/>
      <c r="C585" s="342"/>
      <c r="D585" s="342"/>
      <c r="E585" s="342"/>
      <c r="F585" s="553"/>
      <c r="G585" s="553"/>
      <c r="H585" s="553"/>
      <c r="I585" s="517"/>
      <c r="J585" s="517"/>
      <c r="K585" s="517"/>
      <c r="L585" s="517"/>
      <c r="M585" s="517"/>
    </row>
    <row r="586" spans="1:13">
      <c r="A586" s="558">
        <v>8</v>
      </c>
      <c r="B586" s="342" t="s">
        <v>1172</v>
      </c>
      <c r="C586" s="342"/>
      <c r="D586" s="342"/>
      <c r="E586" s="342" t="e">
        <f t="shared" ref="E586:J586" si="70">+E184/E572%</f>
        <v>#REF!</v>
      </c>
      <c r="F586" s="342" t="e">
        <f t="shared" si="70"/>
        <v>#REF!</v>
      </c>
      <c r="G586" s="342" t="e">
        <f t="shared" si="70"/>
        <v>#REF!</v>
      </c>
      <c r="H586" s="342" t="e">
        <f t="shared" si="70"/>
        <v>#REF!</v>
      </c>
      <c r="I586" s="342" t="e">
        <f t="shared" si="70"/>
        <v>#REF!</v>
      </c>
      <c r="J586" s="342" t="e">
        <f t="shared" si="70"/>
        <v>#REF!</v>
      </c>
      <c r="K586" s="342" t="e">
        <f>+K184/K572%</f>
        <v>#REF!</v>
      </c>
      <c r="L586" s="342" t="e">
        <f>+L184/L572%</f>
        <v>#REF!</v>
      </c>
      <c r="M586" s="342" t="e">
        <f>+M184/M572%</f>
        <v>#REF!</v>
      </c>
    </row>
    <row r="587" spans="1:13" ht="15">
      <c r="A587" s="558"/>
      <c r="B587" s="342"/>
      <c r="C587" s="342"/>
      <c r="D587" s="342"/>
      <c r="E587" s="342"/>
      <c r="F587" s="553"/>
      <c r="G587" s="553"/>
      <c r="H587" s="553"/>
      <c r="I587" s="517"/>
      <c r="J587" s="517"/>
      <c r="K587" s="517"/>
      <c r="L587" s="517"/>
      <c r="M587" s="517"/>
    </row>
    <row r="588" spans="1:13">
      <c r="A588" s="558">
        <v>9</v>
      </c>
      <c r="B588" s="342" t="s">
        <v>1173</v>
      </c>
      <c r="C588" s="342"/>
      <c r="D588" s="342"/>
      <c r="E588" s="342" t="e">
        <f t="shared" ref="E588:J588" si="71">(+E201-E184)/E572%</f>
        <v>#REF!</v>
      </c>
      <c r="F588" s="342" t="e">
        <f t="shared" si="71"/>
        <v>#REF!</v>
      </c>
      <c r="G588" s="342" t="e">
        <f t="shared" si="71"/>
        <v>#REF!</v>
      </c>
      <c r="H588" s="342" t="e">
        <f t="shared" si="71"/>
        <v>#REF!</v>
      </c>
      <c r="I588" s="342" t="e">
        <f t="shared" si="71"/>
        <v>#REF!</v>
      </c>
      <c r="J588" s="342" t="e">
        <f t="shared" si="71"/>
        <v>#REF!</v>
      </c>
      <c r="K588" s="342" t="e">
        <f>(+K201-K184)/K572%</f>
        <v>#REF!</v>
      </c>
      <c r="L588" s="342" t="e">
        <f>(+L201-L184)/L572%</f>
        <v>#REF!</v>
      </c>
      <c r="M588" s="342" t="e">
        <f>(+M201-M184)/M572%</f>
        <v>#REF!</v>
      </c>
    </row>
    <row r="589" spans="1:13" ht="15">
      <c r="A589" s="558"/>
      <c r="B589" s="342"/>
      <c r="C589" s="342"/>
      <c r="D589" s="342"/>
      <c r="E589" s="342"/>
      <c r="F589" s="553"/>
      <c r="G589" s="553"/>
      <c r="H589" s="553"/>
      <c r="I589" s="517"/>
      <c r="J589" s="517"/>
      <c r="K589" s="517"/>
      <c r="L589" s="517"/>
      <c r="M589" s="517"/>
    </row>
    <row r="590" spans="1:13">
      <c r="A590" s="558">
        <v>10</v>
      </c>
      <c r="B590" s="342" t="s">
        <v>1174</v>
      </c>
      <c r="C590" s="342"/>
      <c r="D590" s="342"/>
      <c r="E590" s="342" t="e">
        <f t="shared" ref="E590:K590" si="72">+(E443+E419+E432)/E29*365</f>
        <v>#REF!</v>
      </c>
      <c r="F590" s="342" t="e">
        <f t="shared" si="72"/>
        <v>#REF!</v>
      </c>
      <c r="G590" s="342" t="e">
        <f t="shared" si="72"/>
        <v>#REF!</v>
      </c>
      <c r="H590" s="342" t="e">
        <f t="shared" si="72"/>
        <v>#REF!</v>
      </c>
      <c r="I590" s="342" t="e">
        <f t="shared" si="72"/>
        <v>#REF!</v>
      </c>
      <c r="J590" s="342" t="e">
        <f t="shared" si="72"/>
        <v>#REF!</v>
      </c>
      <c r="K590" s="342" t="e">
        <f t="shared" si="72"/>
        <v>#REF!</v>
      </c>
      <c r="L590" s="342" t="e">
        <f>+(L443+L419+L432)/L29*365</f>
        <v>#REF!</v>
      </c>
      <c r="M590" s="342" t="e">
        <f>+(M443+M419+M432)/M29*365</f>
        <v>#REF!</v>
      </c>
    </row>
    <row r="591" spans="1:13" ht="15">
      <c r="A591" s="558"/>
      <c r="B591" s="342"/>
      <c r="C591" s="342"/>
      <c r="D591" s="342"/>
      <c r="E591" s="342"/>
      <c r="F591" s="553"/>
      <c r="G591" s="553"/>
      <c r="H591" s="553"/>
      <c r="I591" s="517"/>
      <c r="J591" s="517"/>
      <c r="K591" s="517"/>
      <c r="L591" s="517"/>
      <c r="M591" s="517"/>
    </row>
    <row r="592" spans="1:13">
      <c r="A592" s="558">
        <v>11</v>
      </c>
      <c r="B592" s="342" t="s">
        <v>1175</v>
      </c>
      <c r="C592" s="342"/>
      <c r="D592" s="342"/>
      <c r="E592" s="342" t="e">
        <f t="shared" ref="E592:K592" si="73">+E451/E18*365</f>
        <v>#REF!</v>
      </c>
      <c r="F592" s="342" t="e">
        <f t="shared" si="73"/>
        <v>#REF!</v>
      </c>
      <c r="G592" s="342" t="e">
        <f t="shared" si="73"/>
        <v>#REF!</v>
      </c>
      <c r="H592" s="342" t="e">
        <f t="shared" si="73"/>
        <v>#REF!</v>
      </c>
      <c r="I592" s="342" t="e">
        <f t="shared" si="73"/>
        <v>#REF!</v>
      </c>
      <c r="J592" s="342" t="e">
        <f t="shared" si="73"/>
        <v>#REF!</v>
      </c>
      <c r="K592" s="342" t="e">
        <f t="shared" si="73"/>
        <v>#REF!</v>
      </c>
      <c r="L592" s="342" t="e">
        <f>+L451/L18*365</f>
        <v>#REF!</v>
      </c>
      <c r="M592" s="342" t="e">
        <f>+M451/M18*365</f>
        <v>#REF!</v>
      </c>
    </row>
    <row r="593" spans="1:13" ht="15">
      <c r="A593" s="558"/>
      <c r="B593" s="342"/>
      <c r="C593" s="342"/>
      <c r="D593" s="342"/>
      <c r="E593" s="342"/>
      <c r="F593" s="553"/>
      <c r="G593" s="553"/>
      <c r="H593" s="553"/>
      <c r="I593" s="517"/>
      <c r="J593" s="517"/>
      <c r="K593" s="517"/>
      <c r="L593" s="517"/>
      <c r="M593" s="517"/>
    </row>
    <row r="594" spans="1:13">
      <c r="A594" s="558">
        <v>12</v>
      </c>
      <c r="B594" s="342" t="s">
        <v>1176</v>
      </c>
      <c r="C594" s="342"/>
      <c r="D594" s="342"/>
      <c r="E594" s="342" t="e">
        <f t="shared" ref="E594:K594" si="74">+E502/E42*365</f>
        <v>#REF!</v>
      </c>
      <c r="F594" s="342" t="e">
        <f t="shared" si="74"/>
        <v>#REF!</v>
      </c>
      <c r="G594" s="342" t="e">
        <f t="shared" si="74"/>
        <v>#REF!</v>
      </c>
      <c r="H594" s="342" t="e">
        <f t="shared" si="74"/>
        <v>#REF!</v>
      </c>
      <c r="I594" s="342" t="e">
        <f t="shared" si="74"/>
        <v>#REF!</v>
      </c>
      <c r="J594" s="342" t="e">
        <f t="shared" si="74"/>
        <v>#REF!</v>
      </c>
      <c r="K594" s="342" t="e">
        <f t="shared" si="74"/>
        <v>#REF!</v>
      </c>
      <c r="L594" s="342" t="e">
        <f>+L502/L42*365</f>
        <v>#REF!</v>
      </c>
      <c r="M594" s="342" t="e">
        <f>+M502/M42*365</f>
        <v>#REF!</v>
      </c>
    </row>
    <row r="595" spans="1:13" ht="15">
      <c r="A595" s="552"/>
      <c r="B595" s="342"/>
      <c r="C595" s="342"/>
      <c r="D595" s="342"/>
      <c r="E595" s="342"/>
      <c r="F595" s="553"/>
      <c r="G595" s="553"/>
      <c r="H595" s="553"/>
      <c r="I595" s="517"/>
      <c r="J595" s="516"/>
      <c r="K595" s="516"/>
      <c r="L595" s="540"/>
    </row>
    <row r="596" spans="1:13" ht="15">
      <c r="A596" s="552"/>
      <c r="B596" s="342"/>
      <c r="C596" s="342"/>
      <c r="D596" s="342"/>
      <c r="E596" s="342"/>
      <c r="F596" s="553"/>
      <c r="G596" s="553"/>
      <c r="H596" s="553"/>
      <c r="I596" s="517"/>
      <c r="J596" s="516"/>
      <c r="K596" s="516"/>
      <c r="L596" s="540"/>
    </row>
    <row r="597" spans="1:13" ht="15">
      <c r="A597" s="496"/>
      <c r="B597" s="496"/>
      <c r="C597" s="496"/>
      <c r="D597" s="497"/>
      <c r="E597" s="517"/>
      <c r="F597" s="517"/>
      <c r="G597" s="517"/>
      <c r="H597" s="517"/>
      <c r="I597" s="517"/>
      <c r="J597" s="516"/>
      <c r="K597" s="516"/>
      <c r="L597" s="540"/>
    </row>
    <row r="598" spans="1:13" ht="15">
      <c r="A598" s="496"/>
      <c r="B598" s="496"/>
      <c r="C598" s="496"/>
      <c r="D598" s="497"/>
      <c r="E598" s="517"/>
      <c r="F598" s="517"/>
      <c r="G598" s="517"/>
      <c r="H598" s="517"/>
      <c r="I598" s="517"/>
      <c r="J598" s="516"/>
      <c r="K598" s="516"/>
      <c r="L598" s="540"/>
    </row>
    <row r="599" spans="1:13" ht="15">
      <c r="A599" s="496"/>
      <c r="B599" s="496"/>
      <c r="C599" s="496"/>
      <c r="D599" s="497"/>
      <c r="E599" s="517"/>
      <c r="F599" s="517"/>
      <c r="G599" s="517"/>
      <c r="H599" s="517"/>
      <c r="I599" s="517"/>
      <c r="J599" s="516"/>
      <c r="K599" s="516"/>
      <c r="L599" s="540"/>
    </row>
    <row r="600" spans="1:13" ht="15">
      <c r="A600" s="496"/>
      <c r="B600" s="496"/>
      <c r="C600" s="496"/>
      <c r="D600" s="497"/>
      <c r="E600" s="517"/>
      <c r="F600" s="517"/>
      <c r="G600" s="517"/>
      <c r="H600" s="517"/>
      <c r="I600" s="517"/>
      <c r="J600" s="516"/>
      <c r="K600" s="516"/>
      <c r="L600" s="540"/>
    </row>
    <row r="601" spans="1:13" ht="15">
      <c r="A601" s="496"/>
      <c r="B601" s="496"/>
      <c r="C601" s="496"/>
      <c r="D601" s="497"/>
      <c r="E601" s="517"/>
      <c r="F601" s="517"/>
      <c r="G601" s="517"/>
      <c r="H601" s="517"/>
      <c r="I601" s="517"/>
      <c r="J601" s="516"/>
      <c r="K601" s="516"/>
      <c r="L601" s="540"/>
    </row>
    <row r="602" spans="1:13" ht="15">
      <c r="A602" s="496"/>
      <c r="B602" s="496"/>
      <c r="C602" s="496"/>
      <c r="D602" s="497"/>
      <c r="E602" s="517"/>
      <c r="F602" s="517"/>
      <c r="G602" s="517"/>
      <c r="H602" s="517"/>
      <c r="I602" s="517"/>
      <c r="J602" s="516"/>
      <c r="K602" s="516"/>
      <c r="L602" s="540"/>
    </row>
    <row r="603" spans="1:13" ht="15">
      <c r="A603" s="496"/>
      <c r="B603" s="496"/>
      <c r="C603" s="496"/>
      <c r="D603" s="497"/>
      <c r="E603" s="517"/>
      <c r="F603" s="517"/>
      <c r="G603" s="517"/>
      <c r="H603" s="517"/>
      <c r="I603" s="517"/>
      <c r="J603" s="516"/>
      <c r="K603" s="516"/>
      <c r="L603" s="540"/>
    </row>
    <row r="604" spans="1:13" ht="15">
      <c r="A604" s="496"/>
      <c r="B604" s="496"/>
      <c r="C604" s="496"/>
      <c r="D604" s="497"/>
      <c r="E604" s="517"/>
      <c r="F604" s="517"/>
      <c r="G604" s="517"/>
      <c r="H604" s="517"/>
      <c r="I604" s="517"/>
      <c r="J604" s="516"/>
      <c r="K604" s="516"/>
      <c r="L604" s="540"/>
    </row>
    <row r="605" spans="1:13" ht="15">
      <c r="A605" s="496"/>
      <c r="B605" s="496"/>
      <c r="C605" s="496"/>
      <c r="D605" s="497"/>
      <c r="E605" s="517"/>
      <c r="F605" s="517"/>
      <c r="G605" s="517"/>
      <c r="H605" s="517"/>
      <c r="I605" s="517"/>
      <c r="J605" s="516"/>
      <c r="K605" s="516"/>
      <c r="L605" s="540"/>
    </row>
    <row r="606" spans="1:13" ht="15">
      <c r="A606" s="496"/>
      <c r="B606" s="496"/>
      <c r="C606" s="496"/>
      <c r="D606" s="497"/>
      <c r="E606" s="517"/>
      <c r="F606" s="517"/>
      <c r="G606" s="517"/>
      <c r="H606" s="517"/>
      <c r="I606" s="517"/>
      <c r="J606" s="516"/>
      <c r="K606" s="516"/>
      <c r="L606" s="540"/>
    </row>
    <row r="607" spans="1:13" ht="15">
      <c r="A607" s="496"/>
      <c r="B607" s="496"/>
      <c r="C607" s="496"/>
      <c r="D607" s="497"/>
      <c r="E607" s="517"/>
      <c r="F607" s="517"/>
      <c r="G607" s="517"/>
      <c r="H607" s="517"/>
      <c r="I607" s="517"/>
      <c r="J607" s="516"/>
      <c r="K607" s="516"/>
      <c r="L607" s="540"/>
    </row>
    <row r="608" spans="1:13" ht="15">
      <c r="A608" s="496"/>
      <c r="B608" s="496"/>
      <c r="C608" s="496"/>
      <c r="D608" s="497"/>
      <c r="E608" s="517"/>
      <c r="F608" s="517"/>
      <c r="G608" s="517"/>
      <c r="H608" s="517"/>
      <c r="I608" s="517"/>
      <c r="J608" s="516"/>
      <c r="K608" s="516"/>
      <c r="L608" s="540"/>
    </row>
    <row r="609" spans="1:12" ht="15">
      <c r="A609" s="496"/>
      <c r="B609" s="496"/>
      <c r="C609" s="496"/>
      <c r="D609" s="497"/>
      <c r="E609" s="517"/>
      <c r="F609" s="517"/>
      <c r="G609" s="517"/>
      <c r="H609" s="517"/>
      <c r="I609" s="517"/>
      <c r="J609" s="516"/>
      <c r="K609" s="516"/>
      <c r="L609" s="540"/>
    </row>
    <row r="610" spans="1:12" ht="15">
      <c r="A610" s="496"/>
      <c r="B610" s="496"/>
      <c r="C610" s="496"/>
      <c r="D610" s="497"/>
      <c r="E610" s="517"/>
      <c r="F610" s="517"/>
      <c r="G610" s="517"/>
      <c r="H610" s="517"/>
      <c r="I610" s="517"/>
      <c r="J610" s="516"/>
      <c r="K610" s="516"/>
      <c r="L610" s="540"/>
    </row>
    <row r="611" spans="1:12" ht="15">
      <c r="A611" s="496"/>
      <c r="B611" s="496"/>
      <c r="C611" s="496"/>
      <c r="D611" s="497"/>
      <c r="E611" s="517"/>
      <c r="F611" s="517"/>
      <c r="G611" s="517"/>
      <c r="H611" s="517"/>
      <c r="I611" s="517"/>
      <c r="J611" s="516"/>
      <c r="K611" s="516"/>
      <c r="L611" s="540"/>
    </row>
    <row r="612" spans="1:12" ht="15">
      <c r="A612" s="496"/>
      <c r="B612" s="496"/>
      <c r="C612" s="496"/>
      <c r="D612" s="497"/>
      <c r="E612" s="517"/>
      <c r="F612" s="517"/>
      <c r="G612" s="517"/>
      <c r="H612" s="517"/>
      <c r="I612" s="517"/>
      <c r="J612" s="516"/>
      <c r="K612" s="516"/>
      <c r="L612" s="540"/>
    </row>
    <row r="613" spans="1:12" ht="15">
      <c r="A613" s="496"/>
      <c r="B613" s="496"/>
      <c r="C613" s="496"/>
      <c r="D613" s="497"/>
      <c r="E613" s="517"/>
      <c r="F613" s="517"/>
      <c r="G613" s="517"/>
      <c r="H613" s="517"/>
      <c r="I613" s="517"/>
      <c r="J613" s="516"/>
      <c r="K613" s="516"/>
      <c r="L613" s="540"/>
    </row>
    <row r="614" spans="1:12" ht="15">
      <c r="A614" s="496"/>
      <c r="B614" s="496"/>
      <c r="C614" s="496"/>
      <c r="D614" s="497"/>
      <c r="E614" s="517"/>
      <c r="F614" s="517"/>
      <c r="G614" s="517"/>
      <c r="H614" s="517"/>
      <c r="I614" s="517"/>
      <c r="J614" s="516"/>
      <c r="K614" s="516"/>
      <c r="L614" s="540"/>
    </row>
    <row r="615" spans="1:12" ht="15">
      <c r="A615" s="496"/>
      <c r="B615" s="496"/>
      <c r="C615" s="496"/>
      <c r="D615" s="497"/>
      <c r="E615" s="517"/>
      <c r="F615" s="517"/>
      <c r="G615" s="517"/>
      <c r="H615" s="517"/>
      <c r="I615" s="517"/>
      <c r="J615" s="516"/>
      <c r="K615" s="516"/>
      <c r="L615" s="540"/>
    </row>
    <row r="616" spans="1:12" ht="15">
      <c r="A616" s="496"/>
      <c r="B616" s="496"/>
      <c r="C616" s="496"/>
      <c r="D616" s="497"/>
      <c r="E616" s="517"/>
      <c r="F616" s="517"/>
      <c r="G616" s="517"/>
      <c r="H616" s="517"/>
      <c r="I616" s="517"/>
      <c r="J616" s="516"/>
      <c r="K616" s="516"/>
      <c r="L616" s="540"/>
    </row>
    <row r="617" spans="1:12" ht="15">
      <c r="A617" s="496"/>
      <c r="B617" s="496"/>
      <c r="C617" s="496"/>
      <c r="D617" s="497"/>
      <c r="E617" s="517"/>
      <c r="F617" s="517"/>
      <c r="G617" s="517"/>
      <c r="H617" s="517"/>
      <c r="I617" s="517"/>
      <c r="J617" s="516"/>
      <c r="K617" s="516"/>
      <c r="L617" s="540"/>
    </row>
    <row r="618" spans="1:12" ht="15">
      <c r="A618" s="496"/>
      <c r="B618" s="496"/>
      <c r="C618" s="496"/>
      <c r="D618" s="497"/>
      <c r="E618" s="517"/>
      <c r="F618" s="517"/>
      <c r="G618" s="517"/>
      <c r="H618" s="517"/>
      <c r="I618" s="517"/>
      <c r="J618" s="516"/>
      <c r="K618" s="516"/>
      <c r="L618" s="540"/>
    </row>
    <row r="619" spans="1:12" ht="15">
      <c r="A619" s="496"/>
      <c r="B619" s="496"/>
      <c r="C619" s="496"/>
      <c r="D619" s="497"/>
      <c r="E619" s="517"/>
      <c r="F619" s="517"/>
      <c r="G619" s="517"/>
      <c r="H619" s="517"/>
      <c r="I619" s="517"/>
      <c r="J619" s="516"/>
      <c r="K619" s="516"/>
      <c r="L619" s="540"/>
    </row>
    <row r="620" spans="1:12" ht="15">
      <c r="A620" s="496"/>
      <c r="B620" s="496"/>
      <c r="C620" s="496"/>
      <c r="D620" s="497"/>
      <c r="E620" s="517"/>
      <c r="F620" s="517"/>
      <c r="G620" s="517"/>
      <c r="H620" s="517"/>
      <c r="I620" s="517"/>
      <c r="J620" s="516"/>
      <c r="K620" s="516"/>
      <c r="L620" s="540"/>
    </row>
    <row r="621" spans="1:12" ht="15">
      <c r="A621" s="496"/>
      <c r="B621" s="496"/>
      <c r="C621" s="496"/>
      <c r="D621" s="497"/>
      <c r="E621" s="517"/>
      <c r="F621" s="517"/>
      <c r="G621" s="517"/>
      <c r="H621" s="517"/>
      <c r="I621" s="517"/>
      <c r="J621" s="516"/>
      <c r="K621" s="516"/>
      <c r="L621" s="540"/>
    </row>
    <row r="622" spans="1:12" ht="15">
      <c r="A622" s="496"/>
      <c r="B622" s="496"/>
      <c r="C622" s="496"/>
      <c r="D622" s="497"/>
      <c r="E622" s="517"/>
      <c r="F622" s="517"/>
      <c r="G622" s="517"/>
      <c r="H622" s="517"/>
      <c r="I622" s="517"/>
      <c r="J622" s="516"/>
      <c r="K622" s="516"/>
      <c r="L622" s="540"/>
    </row>
    <row r="623" spans="1:12" ht="15">
      <c r="A623" s="496"/>
      <c r="B623" s="496"/>
      <c r="C623" s="496"/>
      <c r="D623" s="497"/>
      <c r="E623" s="517"/>
      <c r="F623" s="517"/>
      <c r="G623" s="517"/>
      <c r="H623" s="517"/>
      <c r="I623" s="517"/>
      <c r="J623" s="516"/>
      <c r="K623" s="516"/>
      <c r="L623" s="540"/>
    </row>
    <row r="624" spans="1:12" ht="15">
      <c r="A624" s="496"/>
      <c r="B624" s="496"/>
      <c r="C624" s="496"/>
      <c r="D624" s="497"/>
      <c r="E624" s="517"/>
      <c r="F624" s="517"/>
      <c r="G624" s="517"/>
      <c r="H624" s="517"/>
      <c r="I624" s="517"/>
      <c r="J624" s="516"/>
      <c r="K624" s="516"/>
      <c r="L624" s="540"/>
    </row>
    <row r="625" spans="1:12" ht="15">
      <c r="A625" s="496"/>
      <c r="B625" s="496"/>
      <c r="C625" s="496"/>
      <c r="D625" s="497"/>
      <c r="E625" s="517"/>
      <c r="F625" s="517"/>
      <c r="G625" s="517"/>
      <c r="H625" s="517"/>
      <c r="I625" s="517"/>
      <c r="J625" s="516"/>
      <c r="K625" s="516"/>
      <c r="L625" s="540"/>
    </row>
    <row r="626" spans="1:12" ht="15">
      <c r="A626" s="496"/>
      <c r="B626" s="496"/>
      <c r="C626" s="496"/>
      <c r="D626" s="497"/>
      <c r="E626" s="517"/>
      <c r="F626" s="517"/>
      <c r="G626" s="517"/>
      <c r="H626" s="517"/>
      <c r="I626" s="517"/>
      <c r="J626" s="516"/>
      <c r="K626" s="516"/>
      <c r="L626" s="540"/>
    </row>
    <row r="627" spans="1:12" ht="15">
      <c r="A627" s="496"/>
      <c r="B627" s="496"/>
      <c r="C627" s="496"/>
      <c r="D627" s="497"/>
      <c r="E627" s="517"/>
      <c r="F627" s="517"/>
      <c r="G627" s="517"/>
      <c r="H627" s="517"/>
      <c r="I627" s="517"/>
      <c r="J627" s="516"/>
      <c r="K627" s="516"/>
      <c r="L627" s="540"/>
    </row>
    <row r="628" spans="1:12" ht="15">
      <c r="A628" s="496"/>
      <c r="B628" s="496"/>
      <c r="C628" s="496"/>
      <c r="D628" s="497"/>
      <c r="E628" s="517"/>
      <c r="F628" s="517"/>
      <c r="G628" s="517"/>
      <c r="H628" s="517"/>
      <c r="I628" s="517"/>
      <c r="J628" s="516"/>
      <c r="K628" s="516"/>
      <c r="L628" s="540"/>
    </row>
    <row r="629" spans="1:12" ht="15">
      <c r="A629" s="496"/>
      <c r="B629" s="496"/>
      <c r="C629" s="496"/>
      <c r="D629" s="497"/>
      <c r="E629" s="517"/>
      <c r="F629" s="517"/>
      <c r="G629" s="517"/>
      <c r="H629" s="517"/>
      <c r="I629" s="517"/>
      <c r="J629" s="516"/>
      <c r="K629" s="516"/>
      <c r="L629" s="540"/>
    </row>
    <row r="630" spans="1:12" ht="15">
      <c r="A630" s="496"/>
      <c r="B630" s="496"/>
      <c r="C630" s="496"/>
      <c r="D630" s="497"/>
      <c r="E630" s="517"/>
      <c r="F630" s="517"/>
      <c r="G630" s="517"/>
      <c r="H630" s="517"/>
      <c r="I630" s="517"/>
      <c r="J630" s="516"/>
      <c r="K630" s="516"/>
      <c r="L630" s="540"/>
    </row>
    <row r="631" spans="1:12" ht="15">
      <c r="A631" s="496"/>
      <c r="B631" s="496"/>
      <c r="C631" s="496"/>
      <c r="D631" s="497"/>
      <c r="E631" s="517"/>
      <c r="F631" s="517"/>
      <c r="G631" s="517"/>
      <c r="H631" s="517"/>
      <c r="I631" s="517"/>
      <c r="J631" s="516"/>
      <c r="K631" s="516"/>
      <c r="L631" s="540"/>
    </row>
    <row r="632" spans="1:12" ht="15">
      <c r="A632" s="496"/>
      <c r="B632" s="496"/>
      <c r="C632" s="496"/>
      <c r="D632" s="497"/>
      <c r="E632" s="517"/>
      <c r="F632" s="517"/>
      <c r="G632" s="517"/>
      <c r="H632" s="517"/>
      <c r="I632" s="517"/>
      <c r="J632" s="516"/>
      <c r="K632" s="516"/>
      <c r="L632" s="540"/>
    </row>
    <row r="633" spans="1:12" ht="15">
      <c r="A633" s="496"/>
      <c r="B633" s="496"/>
      <c r="C633" s="496"/>
      <c r="D633" s="497"/>
      <c r="E633" s="517"/>
      <c r="F633" s="517"/>
      <c r="G633" s="517"/>
      <c r="H633" s="517"/>
      <c r="I633" s="517"/>
      <c r="J633" s="516"/>
      <c r="K633" s="516"/>
      <c r="L633" s="540"/>
    </row>
    <row r="634" spans="1:12" ht="15">
      <c r="A634" s="496"/>
      <c r="B634" s="496"/>
      <c r="C634" s="496"/>
      <c r="D634" s="497"/>
      <c r="E634" s="517"/>
      <c r="F634" s="517"/>
      <c r="G634" s="517"/>
      <c r="H634" s="517"/>
      <c r="I634" s="517"/>
      <c r="J634" s="516"/>
      <c r="K634" s="516"/>
      <c r="L634" s="540"/>
    </row>
    <row r="635" spans="1:12" ht="15">
      <c r="A635" s="496"/>
      <c r="B635" s="496"/>
      <c r="C635" s="496"/>
      <c r="D635" s="497"/>
      <c r="E635" s="517"/>
      <c r="F635" s="517"/>
      <c r="G635" s="517"/>
      <c r="H635" s="517"/>
      <c r="I635" s="517"/>
      <c r="J635" s="516"/>
      <c r="K635" s="516"/>
      <c r="L635" s="540"/>
    </row>
    <row r="636" spans="1:12" ht="15">
      <c r="A636" s="496"/>
      <c r="B636" s="496"/>
      <c r="C636" s="496"/>
      <c r="D636" s="497"/>
      <c r="E636" s="517"/>
      <c r="F636" s="517"/>
      <c r="G636" s="517"/>
      <c r="H636" s="517"/>
      <c r="I636" s="517"/>
      <c r="J636" s="516"/>
      <c r="K636" s="516"/>
      <c r="L636" s="540"/>
    </row>
    <row r="637" spans="1:12" ht="15">
      <c r="A637" s="496"/>
      <c r="B637" s="496"/>
      <c r="C637" s="496"/>
      <c r="D637" s="497"/>
      <c r="E637" s="517"/>
      <c r="F637" s="517"/>
      <c r="G637" s="517"/>
      <c r="H637" s="517"/>
      <c r="I637" s="517"/>
      <c r="J637" s="516"/>
      <c r="K637" s="516"/>
      <c r="L637" s="540"/>
    </row>
    <row r="638" spans="1:12" ht="15">
      <c r="A638" s="496"/>
      <c r="B638" s="496"/>
      <c r="C638" s="496"/>
      <c r="D638" s="497"/>
      <c r="E638" s="517"/>
      <c r="F638" s="517"/>
      <c r="G638" s="517"/>
      <c r="H638" s="517"/>
      <c r="I638" s="517"/>
      <c r="J638" s="516"/>
      <c r="K638" s="516"/>
      <c r="L638" s="540"/>
    </row>
    <row r="639" spans="1:12" ht="15">
      <c r="A639" s="496"/>
      <c r="B639" s="496"/>
      <c r="C639" s="496"/>
      <c r="D639" s="497"/>
      <c r="E639" s="517"/>
      <c r="F639" s="517"/>
      <c r="G639" s="517"/>
      <c r="H639" s="517"/>
      <c r="I639" s="517"/>
      <c r="J639" s="516"/>
      <c r="K639" s="516"/>
      <c r="L639" s="540"/>
    </row>
    <row r="640" spans="1:12" ht="15.75">
      <c r="A640" s="1132" t="s">
        <v>1177</v>
      </c>
      <c r="B640" s="1132"/>
      <c r="C640" s="1132"/>
      <c r="D640" s="1132"/>
      <c r="E640" s="1132"/>
      <c r="F640" s="1132"/>
      <c r="G640" s="1132"/>
      <c r="H640" s="1132"/>
      <c r="I640" s="1132"/>
      <c r="J640" s="1132"/>
      <c r="K640" s="1015"/>
      <c r="L640" s="519"/>
    </row>
    <row r="641" spans="1:14" ht="15.75">
      <c r="A641" s="1132" t="s">
        <v>1178</v>
      </c>
      <c r="B641" s="1132"/>
      <c r="C641" s="1132"/>
      <c r="D641" s="1132"/>
      <c r="E641" s="1132"/>
      <c r="F641" s="1132"/>
      <c r="G641" s="1132"/>
      <c r="H641" s="1132"/>
      <c r="I641" s="1132"/>
      <c r="J641" s="1132"/>
      <c r="K641" s="1015"/>
      <c r="L641" s="519"/>
    </row>
    <row r="642" spans="1:14" ht="15">
      <c r="A642" s="496"/>
      <c r="B642" s="496"/>
      <c r="C642" s="496"/>
      <c r="D642" s="496"/>
      <c r="E642" s="519"/>
      <c r="F642" s="496"/>
      <c r="G642" s="520"/>
      <c r="H642" s="520"/>
      <c r="I642" s="519"/>
      <c r="J642" s="559"/>
      <c r="K642" s="559"/>
      <c r="L642" s="540"/>
    </row>
    <row r="643" spans="1:14" s="7" customFormat="1">
      <c r="A643" s="314"/>
      <c r="B643" s="314"/>
      <c r="C643" s="314"/>
      <c r="D643" s="314"/>
      <c r="E643" s="560" t="s">
        <v>94</v>
      </c>
      <c r="F643" s="526" t="e">
        <f t="shared" ref="F643:K644" si="75">+E495</f>
        <v>#REF!</v>
      </c>
      <c r="G643" s="526" t="e">
        <f t="shared" si="75"/>
        <v>#REF!</v>
      </c>
      <c r="H643" s="526" t="e">
        <f t="shared" si="75"/>
        <v>#REF!</v>
      </c>
      <c r="I643" s="526" t="e">
        <f t="shared" si="75"/>
        <v>#REF!</v>
      </c>
      <c r="J643" s="526" t="e">
        <f t="shared" si="75"/>
        <v>#REF!</v>
      </c>
      <c r="K643" s="526" t="e">
        <f t="shared" si="75"/>
        <v>#REF!</v>
      </c>
      <c r="L643" s="526" t="e">
        <f t="shared" ref="L643:N644" si="76">+K495</f>
        <v>#REF!</v>
      </c>
      <c r="M643" s="526" t="e">
        <f t="shared" si="76"/>
        <v>#REF!</v>
      </c>
      <c r="N643" s="526" t="e">
        <f t="shared" si="76"/>
        <v>#REF!</v>
      </c>
    </row>
    <row r="644" spans="1:14" ht="15">
      <c r="A644" s="502"/>
      <c r="B644" s="502"/>
      <c r="C644" s="502"/>
      <c r="D644" s="502"/>
      <c r="E644" s="507" t="s">
        <v>1179</v>
      </c>
      <c r="F644" s="507" t="str">
        <f t="shared" si="75"/>
        <v>(Pro.)</v>
      </c>
      <c r="G644" s="507" t="str">
        <f t="shared" si="75"/>
        <v>(Pro.)</v>
      </c>
      <c r="H644" s="507" t="str">
        <f t="shared" si="75"/>
        <v>(Pro.)</v>
      </c>
      <c r="I644" s="507" t="str">
        <f t="shared" si="75"/>
        <v>(Pro.)</v>
      </c>
      <c r="J644" s="507" t="str">
        <f t="shared" si="75"/>
        <v>(Pro.)</v>
      </c>
      <c r="K644" s="507" t="str">
        <f t="shared" si="75"/>
        <v>(Pro.)</v>
      </c>
      <c r="L644" s="507" t="str">
        <f t="shared" si="76"/>
        <v>(Pro.)</v>
      </c>
      <c r="M644" s="507" t="str">
        <f t="shared" si="76"/>
        <v>(Pro.)</v>
      </c>
      <c r="N644" s="507" t="str">
        <f t="shared" si="76"/>
        <v>(Pro.)</v>
      </c>
    </row>
    <row r="645" spans="1:14" ht="15">
      <c r="A645" s="502"/>
      <c r="B645" s="502"/>
      <c r="C645" s="502"/>
      <c r="D645" s="502"/>
      <c r="E645" s="509"/>
      <c r="F645" s="509" t="s">
        <v>864</v>
      </c>
      <c r="G645" s="508" t="s">
        <v>865</v>
      </c>
      <c r="H645" s="508" t="s">
        <v>866</v>
      </c>
      <c r="I645" s="509" t="s">
        <v>867</v>
      </c>
      <c r="J645" s="509" t="s">
        <v>868</v>
      </c>
      <c r="K645" s="509" t="s">
        <v>868</v>
      </c>
      <c r="L645" s="509" t="s">
        <v>868</v>
      </c>
      <c r="M645" s="509" t="s">
        <v>868</v>
      </c>
      <c r="N645" s="509" t="s">
        <v>868</v>
      </c>
    </row>
    <row r="646" spans="1:14" ht="15.75">
      <c r="A646" s="503" t="s">
        <v>307</v>
      </c>
      <c r="B646" s="512" t="s">
        <v>1180</v>
      </c>
      <c r="C646" s="496"/>
      <c r="D646" s="496"/>
      <c r="E646" s="519"/>
      <c r="F646" s="538"/>
      <c r="G646" s="538"/>
      <c r="H646" s="538"/>
      <c r="I646" s="538"/>
      <c r="J646" s="538"/>
      <c r="K646" s="538"/>
      <c r="L646" s="538"/>
      <c r="M646" s="538"/>
      <c r="N646" s="538"/>
    </row>
    <row r="647" spans="1:14" ht="15">
      <c r="A647" s="496"/>
      <c r="B647" s="503"/>
      <c r="C647" s="496"/>
      <c r="D647" s="496"/>
      <c r="E647" s="519"/>
      <c r="F647" s="540"/>
      <c r="G647" s="540"/>
      <c r="H647" s="540"/>
      <c r="I647" s="540"/>
      <c r="J647" s="540"/>
      <c r="K647" s="540"/>
      <c r="L647" s="540"/>
      <c r="M647" s="540"/>
      <c r="N647" s="540"/>
    </row>
    <row r="648" spans="1:14" ht="15">
      <c r="A648" s="503" t="s">
        <v>1181</v>
      </c>
      <c r="B648" s="503" t="s">
        <v>1182</v>
      </c>
      <c r="C648" s="496"/>
      <c r="D648" s="496"/>
      <c r="E648" s="519"/>
      <c r="F648" s="519" t="e">
        <f t="shared" ref="F648:K648" si="77">E121</f>
        <v>#REF!</v>
      </c>
      <c r="G648" s="519" t="e">
        <f t="shared" si="77"/>
        <v>#REF!</v>
      </c>
      <c r="H648" s="519" t="e">
        <f t="shared" si="77"/>
        <v>#REF!</v>
      </c>
      <c r="I648" s="519" t="e">
        <f t="shared" si="77"/>
        <v>#REF!</v>
      </c>
      <c r="J648" s="519" t="e">
        <f t="shared" si="77"/>
        <v>#REF!</v>
      </c>
      <c r="K648" s="519" t="e">
        <f t="shared" si="77"/>
        <v>#REF!</v>
      </c>
      <c r="L648" s="519" t="e">
        <f>K121</f>
        <v>#REF!</v>
      </c>
      <c r="M648" s="519" t="e">
        <f>L121</f>
        <v>#REF!</v>
      </c>
      <c r="N648" s="519" t="e">
        <f>M121</f>
        <v>#REF!</v>
      </c>
    </row>
    <row r="649" spans="1:14" ht="15">
      <c r="A649" s="496"/>
      <c r="B649" s="496"/>
      <c r="C649" s="496"/>
      <c r="D649" s="496"/>
      <c r="E649" s="519"/>
      <c r="F649" s="519"/>
      <c r="G649" s="519"/>
      <c r="H649" s="519"/>
      <c r="I649" s="519"/>
      <c r="J649" s="519"/>
      <c r="K649" s="519"/>
      <c r="L649" s="519"/>
      <c r="M649" s="519"/>
      <c r="N649" s="519"/>
    </row>
    <row r="650" spans="1:14" ht="15">
      <c r="A650" s="503" t="s">
        <v>1183</v>
      </c>
      <c r="B650" s="1017" t="s">
        <v>1184</v>
      </c>
      <c r="C650" s="473"/>
      <c r="D650" s="473"/>
      <c r="E650" s="519"/>
      <c r="F650" s="519" t="e">
        <f t="shared" ref="F650:K650" si="78">E109+E54</f>
        <v>#REF!</v>
      </c>
      <c r="G650" s="519" t="e">
        <f t="shared" si="78"/>
        <v>#REF!</v>
      </c>
      <c r="H650" s="519" t="e">
        <f t="shared" si="78"/>
        <v>#REF!</v>
      </c>
      <c r="I650" s="519" t="e">
        <f t="shared" si="78"/>
        <v>#REF!</v>
      </c>
      <c r="J650" s="519" t="e">
        <f t="shared" si="78"/>
        <v>#REF!</v>
      </c>
      <c r="K650" s="519" t="e">
        <f t="shared" si="78"/>
        <v>#REF!</v>
      </c>
      <c r="L650" s="519" t="e">
        <f>K109+K54</f>
        <v>#REF!</v>
      </c>
      <c r="M650" s="519" t="e">
        <f>L109+L54</f>
        <v>#REF!</v>
      </c>
      <c r="N650" s="519" t="e">
        <f>M109+M54</f>
        <v>#REF!</v>
      </c>
    </row>
    <row r="651" spans="1:14" ht="15">
      <c r="A651" s="496"/>
      <c r="B651" s="496"/>
      <c r="C651" s="496"/>
      <c r="D651" s="496"/>
      <c r="E651" s="519"/>
      <c r="F651" s="519"/>
      <c r="G651" s="519"/>
      <c r="H651" s="519"/>
      <c r="I651" s="519"/>
      <c r="J651" s="519"/>
      <c r="K651" s="519"/>
      <c r="L651" s="519"/>
      <c r="M651" s="519"/>
      <c r="N651" s="519"/>
    </row>
    <row r="652" spans="1:14" ht="15">
      <c r="A652" s="503" t="s">
        <v>1185</v>
      </c>
      <c r="B652" s="503" t="s">
        <v>1186</v>
      </c>
      <c r="C652" s="496"/>
      <c r="D652" s="496"/>
      <c r="E652" s="519">
        <f>'B  S '!D26</f>
        <v>1163.8642876220001</v>
      </c>
      <c r="F652" s="519">
        <f>'CASH FLOW'!E11</f>
        <v>22</v>
      </c>
      <c r="G652" s="519">
        <v>0</v>
      </c>
      <c r="H652" s="519">
        <v>0</v>
      </c>
      <c r="I652" s="519">
        <v>0</v>
      </c>
      <c r="J652" s="519">
        <v>0</v>
      </c>
      <c r="K652" s="519">
        <v>0</v>
      </c>
      <c r="L652" s="519">
        <v>0</v>
      </c>
      <c r="M652" s="519">
        <v>0</v>
      </c>
      <c r="N652" s="519">
        <v>0</v>
      </c>
    </row>
    <row r="653" spans="1:14" ht="15">
      <c r="A653" s="496"/>
      <c r="B653" s="496"/>
      <c r="C653" s="496"/>
      <c r="D653" s="496"/>
      <c r="E653" s="519"/>
      <c r="F653" s="519"/>
      <c r="G653" s="519"/>
      <c r="H653" s="519"/>
      <c r="I653" s="519"/>
      <c r="J653" s="519"/>
      <c r="K653" s="519"/>
      <c r="L653" s="519"/>
      <c r="M653" s="519"/>
      <c r="N653" s="519"/>
    </row>
    <row r="654" spans="1:14" ht="15">
      <c r="A654" s="503" t="s">
        <v>1187</v>
      </c>
      <c r="B654" s="503" t="s">
        <v>1188</v>
      </c>
      <c r="C654" s="496"/>
      <c r="D654" s="496"/>
      <c r="E654" s="519"/>
      <c r="F654" s="519">
        <f>+E215+F670</f>
        <v>0</v>
      </c>
      <c r="G654" s="519">
        <v>0</v>
      </c>
      <c r="H654" s="519">
        <v>0</v>
      </c>
      <c r="I654" s="519">
        <v>0</v>
      </c>
      <c r="J654" s="519">
        <v>0</v>
      </c>
      <c r="K654" s="519">
        <v>0</v>
      </c>
      <c r="L654" s="519">
        <v>0</v>
      </c>
      <c r="M654" s="519">
        <v>0</v>
      </c>
      <c r="N654" s="519">
        <v>0</v>
      </c>
    </row>
    <row r="655" spans="1:14" ht="15">
      <c r="A655" s="496"/>
      <c r="B655" s="503" t="s">
        <v>1189</v>
      </c>
      <c r="C655" s="496"/>
      <c r="D655" s="496"/>
      <c r="E655" s="519"/>
      <c r="F655" s="519"/>
      <c r="G655" s="519"/>
      <c r="H655" s="519"/>
      <c r="I655" s="519"/>
      <c r="J655" s="519"/>
      <c r="K655" s="519"/>
      <c r="L655" s="519"/>
      <c r="M655" s="519"/>
      <c r="N655" s="519"/>
    </row>
    <row r="656" spans="1:14" ht="15">
      <c r="A656" s="496"/>
      <c r="B656" s="533" t="s">
        <v>970</v>
      </c>
      <c r="C656" s="496"/>
      <c r="D656" s="496"/>
      <c r="E656" s="519">
        <f>'B  S '!D28</f>
        <v>2700</v>
      </c>
      <c r="G656" s="519">
        <v>0</v>
      </c>
      <c r="H656" s="519">
        <v>0</v>
      </c>
      <c r="I656" s="519">
        <v>0</v>
      </c>
      <c r="J656" s="519">
        <v>0</v>
      </c>
      <c r="K656" s="519">
        <v>0</v>
      </c>
      <c r="L656" s="519">
        <v>0</v>
      </c>
      <c r="M656" s="519">
        <v>0</v>
      </c>
      <c r="N656" s="519">
        <v>0</v>
      </c>
    </row>
    <row r="657" spans="1:14" ht="15">
      <c r="A657" s="496"/>
      <c r="B657" s="518"/>
      <c r="C657" s="496"/>
      <c r="D657" s="496"/>
      <c r="E657" s="519"/>
      <c r="F657" s="519"/>
      <c r="G657" s="519"/>
      <c r="H657" s="519"/>
      <c r="I657" s="519"/>
      <c r="J657" s="519"/>
      <c r="K657" s="519"/>
      <c r="L657" s="519"/>
      <c r="M657" s="519"/>
      <c r="N657" s="519"/>
    </row>
    <row r="658" spans="1:14" ht="15">
      <c r="A658" s="503" t="s">
        <v>1190</v>
      </c>
      <c r="B658" s="503" t="s">
        <v>1191</v>
      </c>
      <c r="C658" s="496"/>
      <c r="D658" s="496"/>
      <c r="E658" s="519"/>
      <c r="F658" s="519"/>
      <c r="G658" s="519"/>
      <c r="H658" s="519"/>
      <c r="I658" s="519"/>
      <c r="J658" s="519"/>
      <c r="K658" s="519"/>
      <c r="L658" s="519"/>
      <c r="M658" s="519"/>
      <c r="N658" s="519"/>
    </row>
    <row r="659" spans="1:14" ht="15">
      <c r="A659" s="496"/>
      <c r="B659" s="503" t="s">
        <v>1192</v>
      </c>
      <c r="C659" s="496"/>
      <c r="D659" s="496"/>
      <c r="E659" s="519"/>
      <c r="F659" s="519">
        <v>0</v>
      </c>
      <c r="G659" s="519">
        <v>0</v>
      </c>
      <c r="H659" s="519">
        <v>0</v>
      </c>
      <c r="I659" s="519">
        <v>0</v>
      </c>
      <c r="J659" s="519">
        <v>0</v>
      </c>
      <c r="K659" s="519">
        <v>0</v>
      </c>
      <c r="L659" s="519">
        <v>0</v>
      </c>
      <c r="M659" s="519">
        <v>0</v>
      </c>
      <c r="N659" s="519">
        <v>0</v>
      </c>
    </row>
    <row r="660" spans="1:14" ht="15">
      <c r="A660" s="496"/>
      <c r="B660" s="496"/>
      <c r="C660" s="496"/>
      <c r="D660" s="496"/>
      <c r="E660" s="519"/>
      <c r="F660" s="519"/>
      <c r="G660" s="519"/>
      <c r="H660" s="519"/>
      <c r="I660" s="519"/>
      <c r="J660" s="519"/>
      <c r="K660" s="519"/>
      <c r="L660" s="519"/>
      <c r="M660" s="519"/>
      <c r="N660" s="519"/>
    </row>
    <row r="661" spans="1:14" ht="15">
      <c r="A661" s="496"/>
      <c r="B661" s="503" t="s">
        <v>1193</v>
      </c>
      <c r="C661" s="496"/>
      <c r="D661" s="496"/>
      <c r="E661" s="519"/>
      <c r="F661" s="519">
        <v>0</v>
      </c>
      <c r="G661" s="519">
        <v>0</v>
      </c>
      <c r="H661" s="519">
        <v>0</v>
      </c>
      <c r="I661" s="519">
        <v>0</v>
      </c>
      <c r="J661" s="519">
        <v>0</v>
      </c>
      <c r="K661" s="519">
        <v>0</v>
      </c>
      <c r="L661" s="519">
        <v>0</v>
      </c>
      <c r="M661" s="519">
        <v>0</v>
      </c>
      <c r="N661" s="519">
        <v>0</v>
      </c>
    </row>
    <row r="662" spans="1:14" ht="15">
      <c r="A662" s="496"/>
      <c r="B662" s="496" t="s">
        <v>277</v>
      </c>
      <c r="C662" s="496"/>
      <c r="D662" s="496"/>
      <c r="E662" s="519">
        <f>'B  S '!D29</f>
        <v>400</v>
      </c>
      <c r="F662" s="519"/>
      <c r="G662" s="519" t="e">
        <f>+F223-E223</f>
        <v>#REF!</v>
      </c>
      <c r="H662" s="519"/>
      <c r="I662" s="519"/>
      <c r="J662" s="519"/>
      <c r="K662" s="519"/>
      <c r="L662" s="519"/>
      <c r="M662" s="519"/>
      <c r="N662" s="519"/>
    </row>
    <row r="663" spans="1:14" ht="15">
      <c r="A663" s="503"/>
      <c r="B663" s="503"/>
      <c r="C663" s="496"/>
      <c r="D663" s="496"/>
      <c r="E663" s="519"/>
      <c r="F663" s="519"/>
      <c r="G663" s="519"/>
      <c r="H663" s="519"/>
      <c r="I663" s="519"/>
      <c r="J663" s="519"/>
      <c r="K663" s="519"/>
      <c r="L663" s="519"/>
      <c r="M663" s="519"/>
      <c r="N663" s="519"/>
    </row>
    <row r="664" spans="1:14" ht="15">
      <c r="A664" s="496"/>
      <c r="B664" s="496"/>
      <c r="C664" s="496"/>
      <c r="D664" s="496"/>
      <c r="E664" s="519"/>
      <c r="F664" s="540"/>
      <c r="G664" s="540"/>
      <c r="H664" s="540"/>
      <c r="I664" s="540"/>
      <c r="J664" s="540"/>
      <c r="K664" s="540"/>
      <c r="L664" s="540"/>
      <c r="M664" s="540"/>
      <c r="N664" s="540"/>
    </row>
    <row r="665" spans="1:14" ht="15">
      <c r="A665" s="503" t="s">
        <v>1194</v>
      </c>
      <c r="B665" s="503" t="s">
        <v>876</v>
      </c>
      <c r="C665" s="496"/>
      <c r="D665" s="496"/>
      <c r="E665" s="541">
        <f t="shared" ref="E665:J665" si="79">SUM(E648:E664)</f>
        <v>4263.8642876220001</v>
      </c>
      <c r="F665" s="541" t="e">
        <f t="shared" si="79"/>
        <v>#REF!</v>
      </c>
      <c r="G665" s="541" t="e">
        <f t="shared" si="79"/>
        <v>#REF!</v>
      </c>
      <c r="H665" s="541" t="e">
        <f t="shared" si="79"/>
        <v>#REF!</v>
      </c>
      <c r="I665" s="541" t="e">
        <f t="shared" si="79"/>
        <v>#REF!</v>
      </c>
      <c r="J665" s="541" t="e">
        <f t="shared" si="79"/>
        <v>#REF!</v>
      </c>
      <c r="K665" s="541" t="e">
        <f>SUM(K648:K664)</f>
        <v>#REF!</v>
      </c>
      <c r="L665" s="541" t="e">
        <f>SUM(L648:L664)</f>
        <v>#REF!</v>
      </c>
      <c r="M665" s="541" t="e">
        <f>SUM(M648:M664)</f>
        <v>#REF!</v>
      </c>
      <c r="N665" s="541" t="e">
        <f>SUM(N648:N664)</f>
        <v>#REF!</v>
      </c>
    </row>
    <row r="666" spans="1:14" ht="15">
      <c r="A666" s="496"/>
      <c r="B666" s="496"/>
      <c r="C666" s="496"/>
      <c r="D666" s="496"/>
      <c r="E666" s="519"/>
      <c r="F666" s="540"/>
      <c r="G666" s="540"/>
      <c r="H666" s="540"/>
      <c r="I666" s="540"/>
      <c r="J666" s="540"/>
      <c r="K666" s="540"/>
      <c r="L666" s="540"/>
      <c r="M666" s="540"/>
      <c r="N666" s="540"/>
    </row>
    <row r="667" spans="1:14" ht="15.75">
      <c r="A667" s="496"/>
      <c r="B667" s="512" t="s">
        <v>1195</v>
      </c>
      <c r="C667" s="496"/>
      <c r="D667" s="496"/>
      <c r="E667" s="519"/>
      <c r="F667" s="519"/>
      <c r="G667" s="519"/>
      <c r="H667" s="519"/>
      <c r="I667" s="519"/>
      <c r="J667" s="519"/>
      <c r="K667" s="519"/>
      <c r="L667" s="519"/>
      <c r="M667" s="519"/>
      <c r="N667" s="519"/>
    </row>
    <row r="668" spans="1:14" ht="15">
      <c r="A668" s="503" t="s">
        <v>1181</v>
      </c>
      <c r="B668" s="503" t="s">
        <v>1196</v>
      </c>
      <c r="C668" s="496"/>
      <c r="D668" s="534"/>
      <c r="E668" s="519"/>
      <c r="F668" s="519">
        <v>0</v>
      </c>
      <c r="G668" s="519">
        <v>0</v>
      </c>
      <c r="H668" s="519">
        <v>0</v>
      </c>
      <c r="I668" s="519">
        <v>0</v>
      </c>
      <c r="J668" s="519">
        <v>0</v>
      </c>
      <c r="K668" s="519">
        <v>0</v>
      </c>
      <c r="L668" s="519">
        <v>0</v>
      </c>
      <c r="M668" s="519">
        <v>0</v>
      </c>
      <c r="N668" s="519">
        <v>0</v>
      </c>
    </row>
    <row r="669" spans="1:14" ht="3.75" customHeight="1">
      <c r="A669" s="496"/>
      <c r="B669" s="496"/>
      <c r="C669" s="496"/>
      <c r="D669" s="496"/>
      <c r="E669" s="519"/>
      <c r="F669" s="519"/>
      <c r="G669" s="519"/>
      <c r="H669" s="519"/>
      <c r="I669" s="519"/>
      <c r="J669" s="519"/>
      <c r="K669" s="519"/>
      <c r="L669" s="519"/>
      <c r="M669" s="519"/>
      <c r="N669" s="519"/>
    </row>
    <row r="670" spans="1:14" ht="15">
      <c r="A670" s="503" t="s">
        <v>1183</v>
      </c>
      <c r="B670" s="503" t="s">
        <v>1197</v>
      </c>
      <c r="C670" s="496"/>
      <c r="D670" s="496"/>
      <c r="E670" s="519"/>
      <c r="F670" s="519"/>
      <c r="G670" s="519"/>
      <c r="H670" s="519"/>
      <c r="I670" s="519"/>
      <c r="J670" s="519"/>
      <c r="K670" s="519"/>
      <c r="L670" s="519"/>
      <c r="M670" s="519"/>
      <c r="N670" s="519"/>
    </row>
    <row r="671" spans="1:14" ht="15">
      <c r="A671" s="496"/>
      <c r="B671" s="503" t="s">
        <v>1189</v>
      </c>
      <c r="C671" s="496"/>
      <c r="D671" s="496"/>
      <c r="E671" s="533"/>
      <c r="F671" s="519"/>
      <c r="G671" s="519"/>
      <c r="H671" s="519"/>
      <c r="I671" s="519"/>
      <c r="J671" s="519"/>
      <c r="K671" s="519"/>
      <c r="L671" s="519"/>
      <c r="M671" s="519"/>
      <c r="N671" s="519"/>
    </row>
    <row r="672" spans="1:14" ht="15">
      <c r="A672" s="496"/>
      <c r="B672" s="533" t="s">
        <v>970</v>
      </c>
      <c r="C672" s="496"/>
      <c r="D672" s="496"/>
      <c r="F672" s="530" t="e">
        <f>+E196</f>
        <v>#REF!</v>
      </c>
      <c r="G672" s="530" t="e">
        <f t="shared" ref="G672:N672" si="80">+F196</f>
        <v>#REF!</v>
      </c>
      <c r="H672" s="530" t="e">
        <f t="shared" si="80"/>
        <v>#REF!</v>
      </c>
      <c r="I672" s="530" t="e">
        <f t="shared" si="80"/>
        <v>#REF!</v>
      </c>
      <c r="J672" s="530" t="e">
        <f t="shared" si="80"/>
        <v>#REF!</v>
      </c>
      <c r="K672" s="530" t="e">
        <f t="shared" si="80"/>
        <v>#REF!</v>
      </c>
      <c r="L672" s="530" t="e">
        <f t="shared" si="80"/>
        <v>#REF!</v>
      </c>
      <c r="M672" s="530" t="e">
        <f t="shared" si="80"/>
        <v>#REF!</v>
      </c>
      <c r="N672" s="530" t="e">
        <f t="shared" si="80"/>
        <v>#REF!</v>
      </c>
    </row>
    <row r="673" spans="1:14" ht="4.5" customHeight="1">
      <c r="A673" s="496"/>
      <c r="B673" s="496"/>
      <c r="C673" s="496"/>
      <c r="D673" s="496"/>
      <c r="E673" s="496"/>
      <c r="F673" s="519"/>
      <c r="G673" s="519"/>
      <c r="H673" s="519"/>
      <c r="I673" s="519"/>
      <c r="J673" s="519"/>
      <c r="K673" s="519"/>
      <c r="L673" s="519"/>
      <c r="M673" s="519"/>
      <c r="N673" s="519"/>
    </row>
    <row r="674" spans="1:14" ht="15">
      <c r="A674" s="503" t="s">
        <v>1185</v>
      </c>
      <c r="B674" s="503" t="s">
        <v>1198</v>
      </c>
      <c r="C674" s="496"/>
      <c r="D674" s="496"/>
      <c r="E674" s="519"/>
      <c r="F674" s="519"/>
      <c r="G674" s="519"/>
      <c r="H674" s="519"/>
      <c r="I674" s="519"/>
      <c r="J674" s="519"/>
      <c r="K674" s="519"/>
      <c r="L674" s="519"/>
      <c r="M674" s="519"/>
      <c r="N674" s="519"/>
    </row>
    <row r="675" spans="1:14" ht="15">
      <c r="A675" s="496"/>
      <c r="B675" s="503" t="s">
        <v>1192</v>
      </c>
      <c r="C675" s="496"/>
      <c r="D675" s="496"/>
      <c r="E675" s="519" t="e">
        <f>+E315</f>
        <v>#REF!</v>
      </c>
      <c r="F675" s="519" t="e">
        <f>+E315-E675</f>
        <v>#REF!</v>
      </c>
      <c r="G675" s="519" t="e">
        <f t="shared" ref="G675:N675" si="81">+F315-E315</f>
        <v>#REF!</v>
      </c>
      <c r="H675" s="519" t="e">
        <f t="shared" si="81"/>
        <v>#REF!</v>
      </c>
      <c r="I675" s="519" t="e">
        <f t="shared" si="81"/>
        <v>#REF!</v>
      </c>
      <c r="J675" s="519" t="e">
        <f t="shared" si="81"/>
        <v>#REF!</v>
      </c>
      <c r="K675" s="519" t="e">
        <f t="shared" si="81"/>
        <v>#REF!</v>
      </c>
      <c r="L675" s="519" t="e">
        <f t="shared" si="81"/>
        <v>#REF!</v>
      </c>
      <c r="M675" s="519" t="e">
        <f t="shared" si="81"/>
        <v>#REF!</v>
      </c>
      <c r="N675" s="519" t="e">
        <f t="shared" si="81"/>
        <v>#REF!</v>
      </c>
    </row>
    <row r="676" spans="1:14" ht="15">
      <c r="A676" s="496"/>
      <c r="B676" s="496"/>
      <c r="C676" s="496"/>
      <c r="D676" s="496"/>
      <c r="E676" s="519"/>
      <c r="F676" s="519"/>
      <c r="G676" s="519"/>
      <c r="H676" s="519"/>
      <c r="I676" s="519"/>
      <c r="J676" s="519"/>
      <c r="K676" s="519"/>
      <c r="L676" s="519"/>
      <c r="M676" s="519"/>
      <c r="N676" s="519"/>
    </row>
    <row r="677" spans="1:14" ht="15">
      <c r="A677" s="496"/>
      <c r="B677" s="503" t="s">
        <v>1193</v>
      </c>
      <c r="C677" s="496"/>
      <c r="D677" s="496"/>
      <c r="E677" s="519"/>
      <c r="F677" s="519" t="e">
        <f>E336</f>
        <v>#REF!</v>
      </c>
      <c r="G677" s="519" t="e">
        <f t="shared" ref="G677:N677" si="82">F336-E336</f>
        <v>#REF!</v>
      </c>
      <c r="H677" s="519" t="e">
        <f t="shared" si="82"/>
        <v>#REF!</v>
      </c>
      <c r="I677" s="519" t="e">
        <f t="shared" si="82"/>
        <v>#REF!</v>
      </c>
      <c r="J677" s="519" t="e">
        <f t="shared" si="82"/>
        <v>#REF!</v>
      </c>
      <c r="K677" s="519" t="e">
        <f t="shared" si="82"/>
        <v>#REF!</v>
      </c>
      <c r="L677" s="519" t="e">
        <f t="shared" si="82"/>
        <v>#REF!</v>
      </c>
      <c r="M677" s="519" t="e">
        <f t="shared" si="82"/>
        <v>#REF!</v>
      </c>
      <c r="N677" s="519" t="e">
        <f t="shared" si="82"/>
        <v>#REF!</v>
      </c>
    </row>
    <row r="678" spans="1:14" ht="15">
      <c r="A678" s="496"/>
      <c r="B678" s="496"/>
      <c r="C678" s="496"/>
      <c r="D678" s="496"/>
      <c r="E678" s="519"/>
      <c r="F678" s="519"/>
      <c r="G678" s="519"/>
      <c r="H678" s="519"/>
      <c r="I678" s="519"/>
      <c r="J678" s="519"/>
      <c r="K678" s="519"/>
      <c r="L678" s="519"/>
      <c r="M678" s="519"/>
      <c r="N678" s="519"/>
    </row>
    <row r="679" spans="1:14" ht="15">
      <c r="A679" s="503" t="s">
        <v>1187</v>
      </c>
      <c r="B679" s="503" t="s">
        <v>1199</v>
      </c>
      <c r="C679" s="496"/>
      <c r="D679" s="496"/>
      <c r="E679" s="519"/>
      <c r="F679" s="519">
        <f t="shared" ref="F679:K679" si="83">+E124</f>
        <v>0</v>
      </c>
      <c r="G679" s="519">
        <f t="shared" si="83"/>
        <v>0</v>
      </c>
      <c r="H679" s="519">
        <f t="shared" si="83"/>
        <v>0</v>
      </c>
      <c r="I679" s="519">
        <f t="shared" si="83"/>
        <v>0</v>
      </c>
      <c r="J679" s="519">
        <f t="shared" si="83"/>
        <v>0</v>
      </c>
      <c r="K679" s="519">
        <f t="shared" si="83"/>
        <v>0</v>
      </c>
      <c r="L679" s="519">
        <f>+K124</f>
        <v>0</v>
      </c>
      <c r="M679" s="519">
        <f>+L124</f>
        <v>0</v>
      </c>
      <c r="N679" s="519">
        <f>+M124</f>
        <v>0</v>
      </c>
    </row>
    <row r="680" spans="1:14" ht="15">
      <c r="A680" s="496"/>
      <c r="B680" s="496"/>
      <c r="C680" s="496"/>
      <c r="D680" s="496"/>
      <c r="E680" s="519"/>
      <c r="F680" s="519"/>
      <c r="G680" s="519"/>
      <c r="H680" s="519"/>
      <c r="I680" s="519"/>
      <c r="J680" s="519"/>
      <c r="K680" s="519"/>
      <c r="L680" s="519"/>
      <c r="M680" s="519"/>
      <c r="N680" s="519"/>
    </row>
    <row r="681" spans="1:14" ht="15">
      <c r="A681" s="503" t="s">
        <v>1190</v>
      </c>
      <c r="B681" s="503" t="s">
        <v>1200</v>
      </c>
      <c r="C681" s="496"/>
      <c r="D681" s="496"/>
      <c r="E681" s="519"/>
      <c r="F681" s="519">
        <v>0</v>
      </c>
      <c r="G681" s="519">
        <f t="shared" ref="G681:N681" si="84">+F681</f>
        <v>0</v>
      </c>
      <c r="H681" s="519">
        <f t="shared" si="84"/>
        <v>0</v>
      </c>
      <c r="I681" s="519">
        <f t="shared" si="84"/>
        <v>0</v>
      </c>
      <c r="J681" s="519">
        <f t="shared" si="84"/>
        <v>0</v>
      </c>
      <c r="K681" s="519">
        <f t="shared" si="84"/>
        <v>0</v>
      </c>
      <c r="L681" s="519">
        <f t="shared" si="84"/>
        <v>0</v>
      </c>
      <c r="M681" s="519">
        <f t="shared" si="84"/>
        <v>0</v>
      </c>
      <c r="N681" s="519">
        <f t="shared" si="84"/>
        <v>0</v>
      </c>
    </row>
    <row r="682" spans="1:14" ht="15">
      <c r="A682" s="496"/>
      <c r="B682" s="496"/>
      <c r="C682" s="496"/>
      <c r="D682" s="496"/>
      <c r="E682" s="519"/>
      <c r="F682" s="540"/>
      <c r="G682" s="540"/>
      <c r="H682" s="540"/>
      <c r="I682" s="540"/>
      <c r="J682" s="540"/>
      <c r="K682" s="540"/>
      <c r="L682" s="540"/>
      <c r="M682" s="540"/>
      <c r="N682" s="540"/>
    </row>
    <row r="683" spans="1:14" ht="15">
      <c r="A683" s="503" t="s">
        <v>1201</v>
      </c>
      <c r="B683" s="503" t="s">
        <v>876</v>
      </c>
      <c r="C683" s="496"/>
      <c r="D683" s="496"/>
      <c r="E683" s="541" t="e">
        <f t="shared" ref="E683:L683" si="85">SUM(E668:E681)</f>
        <v>#REF!</v>
      </c>
      <c r="F683" s="541" t="e">
        <f t="shared" si="85"/>
        <v>#REF!</v>
      </c>
      <c r="G683" s="541" t="e">
        <f t="shared" si="85"/>
        <v>#REF!</v>
      </c>
      <c r="H683" s="541" t="e">
        <f t="shared" si="85"/>
        <v>#REF!</v>
      </c>
      <c r="I683" s="541" t="e">
        <f t="shared" si="85"/>
        <v>#REF!</v>
      </c>
      <c r="J683" s="541" t="e">
        <f t="shared" si="85"/>
        <v>#REF!</v>
      </c>
      <c r="K683" s="541" t="e">
        <f t="shared" si="85"/>
        <v>#REF!</v>
      </c>
      <c r="L683" s="541" t="e">
        <f t="shared" si="85"/>
        <v>#REF!</v>
      </c>
      <c r="M683" s="541" t="e">
        <f>SUM(M668:M681)</f>
        <v>#REF!</v>
      </c>
      <c r="N683" s="541" t="e">
        <f>SUM(N668:N681)</f>
        <v>#REF!</v>
      </c>
    </row>
    <row r="684" spans="1:14" ht="15">
      <c r="A684" s="496"/>
      <c r="B684" s="496"/>
      <c r="C684" s="496"/>
      <c r="D684" s="496"/>
      <c r="E684" s="519"/>
      <c r="F684" s="540"/>
      <c r="G684" s="540"/>
      <c r="H684" s="540"/>
      <c r="I684" s="540"/>
      <c r="J684" s="544"/>
      <c r="K684" s="544"/>
      <c r="L684" s="544"/>
      <c r="M684" s="544"/>
      <c r="N684" s="544"/>
    </row>
    <row r="685" spans="1:14" ht="15">
      <c r="A685" s="503" t="s">
        <v>872</v>
      </c>
      <c r="B685" s="496"/>
      <c r="C685" s="496"/>
      <c r="D685" s="496"/>
      <c r="E685" s="519"/>
      <c r="F685" s="519"/>
      <c r="G685" s="519"/>
      <c r="H685" s="519"/>
      <c r="I685" s="519"/>
      <c r="J685" s="561"/>
      <c r="K685" s="561"/>
      <c r="L685" s="561"/>
      <c r="M685" s="561"/>
      <c r="N685" s="561"/>
    </row>
    <row r="686" spans="1:14" ht="15">
      <c r="A686" s="503" t="s">
        <v>297</v>
      </c>
      <c r="B686" s="503" t="s">
        <v>1202</v>
      </c>
      <c r="C686" s="496"/>
      <c r="D686" s="496"/>
      <c r="E686" s="519" t="e">
        <f>E665-E683</f>
        <v>#REF!</v>
      </c>
      <c r="F686" s="519" t="e">
        <f>F665-F683+E686</f>
        <v>#REF!</v>
      </c>
      <c r="G686" s="519" t="e">
        <f t="shared" ref="G686:L686" si="86">G665-G683</f>
        <v>#REF!</v>
      </c>
      <c r="H686" s="519" t="e">
        <f t="shared" si="86"/>
        <v>#REF!</v>
      </c>
      <c r="I686" s="519" t="e">
        <f t="shared" si="86"/>
        <v>#REF!</v>
      </c>
      <c r="J686" s="519" t="e">
        <f t="shared" si="86"/>
        <v>#REF!</v>
      </c>
      <c r="K686" s="519" t="e">
        <f t="shared" si="86"/>
        <v>#REF!</v>
      </c>
      <c r="L686" s="519" t="e">
        <f t="shared" si="86"/>
        <v>#REF!</v>
      </c>
      <c r="M686" s="519" t="e">
        <f>M665-M683</f>
        <v>#REF!</v>
      </c>
      <c r="N686" s="519" t="e">
        <f>N665-N683</f>
        <v>#REF!</v>
      </c>
    </row>
    <row r="687" spans="1:14" ht="15">
      <c r="A687" s="496"/>
      <c r="B687" s="496"/>
      <c r="C687" s="496"/>
      <c r="D687" s="496"/>
      <c r="E687" s="519"/>
      <c r="F687" s="519"/>
      <c r="G687" s="519"/>
      <c r="H687" s="519"/>
      <c r="I687" s="519"/>
      <c r="J687" s="519"/>
      <c r="K687" s="519"/>
      <c r="L687" s="519"/>
      <c r="M687" s="519"/>
      <c r="N687" s="519"/>
    </row>
    <row r="688" spans="1:14" ht="15">
      <c r="A688" s="503" t="s">
        <v>299</v>
      </c>
      <c r="B688" s="503" t="s">
        <v>1203</v>
      </c>
      <c r="C688" s="496"/>
      <c r="D688" s="496"/>
      <c r="E688" s="519"/>
      <c r="F688" s="519"/>
      <c r="G688" s="519"/>
      <c r="H688" s="519"/>
      <c r="I688" s="519"/>
      <c r="J688" s="519"/>
      <c r="K688" s="519"/>
      <c r="L688" s="519"/>
      <c r="M688" s="519"/>
      <c r="N688" s="519"/>
    </row>
    <row r="689" spans="1:14" ht="15">
      <c r="A689" s="496"/>
      <c r="B689" s="503" t="s">
        <v>1204</v>
      </c>
      <c r="C689" s="496"/>
      <c r="D689" s="496"/>
      <c r="E689" s="519"/>
      <c r="F689" s="519" t="e">
        <f t="shared" ref="F689:L689" si="87">F742</f>
        <v>#REF!</v>
      </c>
      <c r="G689" s="519" t="e">
        <f t="shared" si="87"/>
        <v>#REF!</v>
      </c>
      <c r="H689" s="519" t="e">
        <f t="shared" si="87"/>
        <v>#REF!</v>
      </c>
      <c r="I689" s="519" t="e">
        <f t="shared" si="87"/>
        <v>#REF!</v>
      </c>
      <c r="J689" s="519" t="e">
        <f t="shared" si="87"/>
        <v>#REF!</v>
      </c>
      <c r="K689" s="519" t="e">
        <f t="shared" si="87"/>
        <v>#REF!</v>
      </c>
      <c r="L689" s="519" t="e">
        <f t="shared" si="87"/>
        <v>#REF!</v>
      </c>
      <c r="M689" s="519" t="e">
        <f>M742</f>
        <v>#REF!</v>
      </c>
      <c r="N689" s="519" t="e">
        <f>N742</f>
        <v>#REF!</v>
      </c>
    </row>
    <row r="690" spans="1:14" ht="15">
      <c r="A690" s="496"/>
      <c r="B690" s="503" t="s">
        <v>1205</v>
      </c>
      <c r="C690" s="496"/>
      <c r="D690" s="496"/>
      <c r="E690" s="519"/>
      <c r="F690" s="519"/>
      <c r="G690" s="519"/>
      <c r="H690" s="519"/>
      <c r="I690" s="519"/>
      <c r="J690" s="519"/>
      <c r="K690" s="519"/>
      <c r="L690" s="519"/>
      <c r="M690" s="519"/>
      <c r="N690" s="519"/>
    </row>
    <row r="691" spans="1:14" ht="15">
      <c r="A691" s="496"/>
      <c r="B691" s="496"/>
      <c r="C691" s="496"/>
      <c r="D691" s="496"/>
      <c r="E691" s="519"/>
      <c r="F691" s="519"/>
      <c r="G691" s="519"/>
      <c r="H691" s="519"/>
      <c r="I691" s="519"/>
      <c r="J691" s="519"/>
      <c r="K691" s="519"/>
      <c r="L691" s="519"/>
      <c r="M691" s="519"/>
      <c r="N691" s="519"/>
    </row>
    <row r="692" spans="1:14" ht="15">
      <c r="A692" s="503" t="s">
        <v>301</v>
      </c>
      <c r="B692" s="503" t="s">
        <v>1203</v>
      </c>
      <c r="C692" s="496"/>
      <c r="D692" s="496"/>
      <c r="E692" s="519"/>
      <c r="F692" s="519"/>
      <c r="G692" s="519"/>
      <c r="H692" s="519"/>
      <c r="I692" s="519"/>
      <c r="J692" s="519"/>
      <c r="K692" s="519"/>
      <c r="L692" s="519"/>
      <c r="M692" s="519"/>
      <c r="N692" s="519"/>
    </row>
    <row r="693" spans="1:14" ht="15">
      <c r="A693" s="496"/>
      <c r="B693" s="503" t="s">
        <v>1206</v>
      </c>
      <c r="C693" s="496"/>
      <c r="D693" s="496"/>
      <c r="E693" s="519"/>
      <c r="F693" s="519"/>
      <c r="G693" s="519"/>
      <c r="H693" s="519"/>
      <c r="I693" s="519"/>
      <c r="J693" s="519"/>
      <c r="K693" s="519"/>
      <c r="L693" s="519"/>
      <c r="M693" s="519"/>
      <c r="N693" s="519"/>
    </row>
    <row r="694" spans="1:14" ht="15">
      <c r="A694" s="496"/>
      <c r="B694" s="503" t="s">
        <v>1207</v>
      </c>
      <c r="C694" s="496"/>
      <c r="D694" s="496"/>
      <c r="E694" s="519"/>
      <c r="F694" s="519" t="e">
        <f>E201</f>
        <v>#REF!</v>
      </c>
      <c r="G694" s="519" t="e">
        <f>+F201-E201</f>
        <v>#REF!</v>
      </c>
      <c r="H694" s="519" t="e">
        <f>+G201-F201</f>
        <v>#REF!</v>
      </c>
      <c r="I694" s="519" t="e">
        <f>+H201-G201</f>
        <v>#REF!</v>
      </c>
      <c r="J694" s="519" t="e">
        <f>+I201-H201</f>
        <v>#REF!</v>
      </c>
      <c r="K694" s="519" t="e">
        <f>+J201-I201</f>
        <v>#REF!</v>
      </c>
      <c r="L694" s="519" t="e">
        <f>+K201-J201+52</f>
        <v>#REF!</v>
      </c>
      <c r="M694" s="519" t="e">
        <f>+L201-K201+52</f>
        <v>#REF!</v>
      </c>
      <c r="N694" s="519" t="e">
        <f>+M201-L201+52</f>
        <v>#REF!</v>
      </c>
    </row>
    <row r="695" spans="1:14" ht="15">
      <c r="A695" s="496"/>
      <c r="B695" s="496"/>
      <c r="C695" s="496"/>
      <c r="D695" s="496"/>
      <c r="E695" s="519"/>
      <c r="F695" s="519"/>
      <c r="G695" s="519"/>
      <c r="H695" s="519"/>
      <c r="I695" s="519"/>
      <c r="J695" s="519"/>
      <c r="K695" s="519"/>
      <c r="L695" s="519"/>
      <c r="M695" s="519"/>
      <c r="N695" s="519"/>
    </row>
    <row r="696" spans="1:14" ht="15">
      <c r="A696" s="503" t="s">
        <v>302</v>
      </c>
      <c r="B696" s="503" t="s">
        <v>1208</v>
      </c>
      <c r="C696" s="496"/>
      <c r="D696" s="496"/>
      <c r="E696" s="519"/>
      <c r="F696" s="519"/>
      <c r="G696" s="519"/>
      <c r="H696" s="519"/>
      <c r="I696" s="519"/>
      <c r="J696" s="519"/>
      <c r="K696" s="519"/>
      <c r="L696" s="519"/>
      <c r="M696" s="519"/>
      <c r="N696" s="519"/>
    </row>
    <row r="697" spans="1:14" ht="15">
      <c r="A697" s="496"/>
      <c r="B697" s="503" t="s">
        <v>1209</v>
      </c>
      <c r="C697" s="496"/>
      <c r="D697" s="496"/>
      <c r="E697" s="519"/>
      <c r="F697" s="519" t="e">
        <f t="shared" ref="F697:L697" si="88">F689-F694</f>
        <v>#REF!</v>
      </c>
      <c r="G697" s="519" t="e">
        <f t="shared" si="88"/>
        <v>#REF!</v>
      </c>
      <c r="H697" s="519" t="e">
        <f t="shared" si="88"/>
        <v>#REF!</v>
      </c>
      <c r="I697" s="519" t="e">
        <f t="shared" si="88"/>
        <v>#REF!</v>
      </c>
      <c r="J697" s="519" t="e">
        <f t="shared" si="88"/>
        <v>#REF!</v>
      </c>
      <c r="K697" s="519" t="e">
        <f t="shared" si="88"/>
        <v>#REF!</v>
      </c>
      <c r="L697" s="519" t="e">
        <f t="shared" si="88"/>
        <v>#REF!</v>
      </c>
      <c r="M697" s="519" t="e">
        <f>M689-M694</f>
        <v>#REF!</v>
      </c>
      <c r="N697" s="519" t="e">
        <f>N689-N694</f>
        <v>#REF!</v>
      </c>
    </row>
    <row r="698" spans="1:14" ht="3.75" customHeight="1">
      <c r="A698" s="496"/>
      <c r="B698" s="496"/>
      <c r="C698" s="496"/>
      <c r="D698" s="496"/>
      <c r="E698" s="519"/>
      <c r="F698" s="519"/>
      <c r="G698" s="519"/>
      <c r="H698" s="519"/>
      <c r="I698" s="519"/>
      <c r="J698" s="519"/>
      <c r="K698" s="519"/>
      <c r="L698" s="519"/>
      <c r="M698" s="519"/>
      <c r="N698" s="519"/>
    </row>
    <row r="699" spans="1:14" ht="15">
      <c r="A699" s="503" t="s">
        <v>304</v>
      </c>
      <c r="B699" s="503" t="s">
        <v>1210</v>
      </c>
      <c r="C699" s="496"/>
      <c r="D699" s="496"/>
      <c r="E699" s="519"/>
      <c r="F699" s="519" t="e">
        <f t="shared" ref="F699:L699" si="89">F686-F697</f>
        <v>#REF!</v>
      </c>
      <c r="G699" s="519" t="e">
        <f t="shared" si="89"/>
        <v>#REF!</v>
      </c>
      <c r="H699" s="519" t="e">
        <f t="shared" si="89"/>
        <v>#REF!</v>
      </c>
      <c r="I699" s="519" t="e">
        <f t="shared" si="89"/>
        <v>#REF!</v>
      </c>
      <c r="J699" s="519" t="e">
        <f t="shared" si="89"/>
        <v>#REF!</v>
      </c>
      <c r="K699" s="519" t="e">
        <f t="shared" si="89"/>
        <v>#REF!</v>
      </c>
      <c r="L699" s="519" t="e">
        <f t="shared" si="89"/>
        <v>#REF!</v>
      </c>
      <c r="M699" s="519" t="e">
        <f>M686-M697</f>
        <v>#REF!</v>
      </c>
      <c r="N699" s="519" t="e">
        <f>N686-N697</f>
        <v>#REF!</v>
      </c>
    </row>
    <row r="700" spans="1:14" ht="3" customHeight="1">
      <c r="A700" s="496"/>
      <c r="B700" s="496"/>
      <c r="C700" s="496"/>
      <c r="D700" s="496"/>
      <c r="E700" s="519"/>
      <c r="F700" s="537"/>
      <c r="G700" s="519"/>
      <c r="H700" s="519"/>
      <c r="I700" s="519"/>
      <c r="J700" s="519"/>
      <c r="K700" s="519"/>
      <c r="L700" s="519"/>
      <c r="M700" s="519"/>
      <c r="N700" s="519"/>
    </row>
    <row r="701" spans="1:14" ht="15">
      <c r="A701" s="503" t="s">
        <v>912</v>
      </c>
      <c r="B701" s="503" t="s">
        <v>1211</v>
      </c>
      <c r="C701" s="496"/>
      <c r="D701" s="496"/>
      <c r="E701" s="519"/>
      <c r="F701" s="537"/>
      <c r="G701" s="519"/>
      <c r="H701" s="519"/>
      <c r="I701" s="519"/>
      <c r="J701" s="519"/>
      <c r="K701" s="519"/>
      <c r="L701" s="519"/>
      <c r="M701" s="519"/>
      <c r="N701" s="519"/>
    </row>
    <row r="702" spans="1:14" ht="15">
      <c r="A702" s="496"/>
      <c r="B702" s="503" t="s">
        <v>1207</v>
      </c>
      <c r="C702" s="496"/>
      <c r="D702" s="496"/>
      <c r="E702" s="519"/>
      <c r="F702" s="519" t="e">
        <f>+E173</f>
        <v>#REF!</v>
      </c>
      <c r="G702" s="519" t="e">
        <f t="shared" ref="G702:N702" si="90">+F173-E173</f>
        <v>#REF!</v>
      </c>
      <c r="H702" s="519" t="e">
        <f t="shared" si="90"/>
        <v>#REF!</v>
      </c>
      <c r="I702" s="519" t="e">
        <f t="shared" si="90"/>
        <v>#REF!</v>
      </c>
      <c r="J702" s="519" t="e">
        <f t="shared" si="90"/>
        <v>#REF!</v>
      </c>
      <c r="K702" s="519" t="e">
        <f t="shared" si="90"/>
        <v>#REF!</v>
      </c>
      <c r="L702" s="519" t="e">
        <f t="shared" si="90"/>
        <v>#REF!</v>
      </c>
      <c r="M702" s="519" t="e">
        <f t="shared" si="90"/>
        <v>#REF!</v>
      </c>
      <c r="N702" s="519" t="e">
        <f t="shared" si="90"/>
        <v>#REF!</v>
      </c>
    </row>
    <row r="703" spans="1:14" ht="3" customHeight="1">
      <c r="A703" s="496"/>
      <c r="B703" s="496"/>
      <c r="C703" s="496"/>
      <c r="D703" s="496"/>
      <c r="E703" s="519"/>
      <c r="F703" s="537"/>
      <c r="G703" s="540"/>
      <c r="H703" s="540"/>
      <c r="I703" s="540"/>
      <c r="J703" s="540"/>
      <c r="K703" s="540"/>
      <c r="L703" s="540"/>
      <c r="M703" s="540"/>
      <c r="N703" s="540"/>
    </row>
    <row r="704" spans="1:14" ht="15.75">
      <c r="A704" s="496"/>
      <c r="B704" s="512" t="s">
        <v>1212</v>
      </c>
      <c r="C704" s="496"/>
      <c r="D704" s="496"/>
      <c r="E704" s="519"/>
      <c r="F704" s="541" t="e">
        <f t="shared" ref="F704:K704" si="91">E29-D29</f>
        <v>#REF!</v>
      </c>
      <c r="G704" s="541" t="e">
        <f t="shared" si="91"/>
        <v>#REF!</v>
      </c>
      <c r="H704" s="541" t="e">
        <f t="shared" si="91"/>
        <v>#REF!</v>
      </c>
      <c r="I704" s="541" t="e">
        <f t="shared" si="91"/>
        <v>#REF!</v>
      </c>
      <c r="J704" s="541" t="e">
        <f t="shared" si="91"/>
        <v>#REF!</v>
      </c>
      <c r="K704" s="541" t="e">
        <f t="shared" si="91"/>
        <v>#REF!</v>
      </c>
      <c r="L704" s="541" t="e">
        <f>K29-J29</f>
        <v>#REF!</v>
      </c>
      <c r="M704" s="541" t="e">
        <f>L29-K29</f>
        <v>#REF!</v>
      </c>
      <c r="N704" s="541" t="e">
        <f>M29-L29</f>
        <v>#REF!</v>
      </c>
    </row>
    <row r="705" spans="1:14" ht="15">
      <c r="A705" s="496"/>
      <c r="B705" s="496"/>
      <c r="C705" s="496"/>
      <c r="D705" s="496"/>
      <c r="E705" s="519"/>
      <c r="F705" s="540"/>
      <c r="G705" s="540"/>
      <c r="H705" s="540"/>
      <c r="I705" s="540"/>
      <c r="J705" s="540"/>
      <c r="K705" s="540"/>
      <c r="L705" s="540"/>
      <c r="M705" s="540"/>
      <c r="N705" s="540"/>
    </row>
    <row r="706" spans="1:14" ht="15">
      <c r="A706" s="496"/>
      <c r="B706" s="496"/>
      <c r="C706" s="496"/>
      <c r="D706" s="496"/>
      <c r="E706" s="519"/>
      <c r="F706" s="519"/>
      <c r="G706" s="519"/>
      <c r="H706" s="519"/>
      <c r="I706" s="519"/>
      <c r="J706" s="519"/>
      <c r="K706" s="519"/>
      <c r="L706" s="519"/>
      <c r="M706" s="519"/>
      <c r="N706" s="519"/>
    </row>
    <row r="707" spans="1:14" ht="15">
      <c r="A707" s="496"/>
      <c r="B707" s="496"/>
      <c r="C707" s="496"/>
      <c r="D707" s="496"/>
      <c r="E707" s="519"/>
      <c r="F707" s="519"/>
      <c r="G707" s="519"/>
      <c r="H707" s="519"/>
      <c r="I707" s="519"/>
      <c r="J707" s="519"/>
      <c r="K707" s="519"/>
      <c r="L707" s="519"/>
      <c r="M707" s="519"/>
      <c r="N707" s="519"/>
    </row>
    <row r="708" spans="1:14" ht="15">
      <c r="A708" s="496"/>
      <c r="B708" s="496"/>
      <c r="C708" s="496"/>
      <c r="D708" s="496"/>
      <c r="E708" s="519"/>
      <c r="F708" s="519"/>
      <c r="G708" s="519"/>
      <c r="H708" s="519"/>
      <c r="I708" s="519"/>
      <c r="J708" s="519"/>
      <c r="K708" s="519"/>
      <c r="L708" s="519"/>
      <c r="M708" s="519"/>
      <c r="N708" s="519"/>
    </row>
    <row r="709" spans="1:14" ht="15">
      <c r="A709" s="496"/>
      <c r="B709" s="496"/>
      <c r="C709" s="496"/>
      <c r="D709" s="496"/>
      <c r="E709" s="519"/>
      <c r="F709" s="519"/>
      <c r="G709" s="519"/>
      <c r="H709" s="519"/>
      <c r="I709" s="519"/>
      <c r="J709" s="519"/>
      <c r="K709" s="519"/>
      <c r="L709" s="519"/>
      <c r="M709" s="519"/>
      <c r="N709" s="519"/>
    </row>
    <row r="710" spans="1:14" ht="15">
      <c r="A710" s="496"/>
      <c r="B710" s="496"/>
      <c r="C710" s="496"/>
      <c r="D710" s="496"/>
      <c r="E710" s="519"/>
      <c r="F710" s="519"/>
      <c r="G710" s="519"/>
      <c r="H710" s="519"/>
      <c r="I710" s="519"/>
      <c r="J710" s="519"/>
      <c r="K710" s="519"/>
      <c r="L710" s="519"/>
      <c r="M710" s="519"/>
      <c r="N710" s="519"/>
    </row>
    <row r="711" spans="1:14" ht="15">
      <c r="A711" s="496"/>
      <c r="B711" s="496"/>
      <c r="C711" s="496"/>
      <c r="D711" s="496"/>
      <c r="E711" s="519"/>
      <c r="F711" s="519"/>
      <c r="G711" s="519"/>
      <c r="H711" s="519"/>
      <c r="I711" s="519"/>
      <c r="J711" s="519"/>
      <c r="K711" s="519"/>
      <c r="L711" s="519"/>
      <c r="M711" s="519"/>
      <c r="N711" s="519"/>
    </row>
    <row r="712" spans="1:14" ht="15">
      <c r="A712" s="496"/>
      <c r="B712" s="496"/>
      <c r="C712" s="496"/>
      <c r="D712" s="496"/>
      <c r="E712" s="519"/>
      <c r="F712" s="519"/>
      <c r="G712" s="519"/>
      <c r="H712" s="519"/>
      <c r="I712" s="519"/>
      <c r="J712" s="519"/>
      <c r="K712" s="519"/>
      <c r="L712" s="519"/>
      <c r="M712" s="519"/>
      <c r="N712" s="519"/>
    </row>
    <row r="713" spans="1:14" ht="15">
      <c r="A713" s="496"/>
      <c r="B713" s="496"/>
      <c r="C713" s="496"/>
      <c r="D713" s="496"/>
      <c r="E713" s="519"/>
      <c r="F713" s="519"/>
      <c r="G713" s="519"/>
      <c r="H713" s="519"/>
      <c r="I713" s="519"/>
      <c r="J713" s="519"/>
      <c r="K713" s="519"/>
      <c r="L713" s="519"/>
      <c r="M713" s="519"/>
      <c r="N713" s="519"/>
    </row>
    <row r="714" spans="1:14" ht="15">
      <c r="A714" s="496"/>
      <c r="B714" s="496"/>
      <c r="C714" s="496"/>
      <c r="D714" s="496"/>
      <c r="E714" s="519"/>
      <c r="F714" s="519"/>
      <c r="G714" s="519"/>
      <c r="H714" s="519"/>
      <c r="I714" s="519"/>
      <c r="J714" s="519"/>
      <c r="K714" s="519"/>
      <c r="L714" s="519"/>
      <c r="M714" s="519"/>
      <c r="N714" s="519"/>
    </row>
    <row r="715" spans="1:14" ht="15">
      <c r="A715" s="496"/>
      <c r="B715" s="496"/>
      <c r="C715" s="496"/>
      <c r="D715" s="496"/>
      <c r="E715" s="519"/>
      <c r="F715" s="519"/>
      <c r="G715" s="519"/>
      <c r="H715" s="519"/>
      <c r="I715" s="519"/>
      <c r="J715" s="519"/>
      <c r="K715" s="519"/>
      <c r="L715" s="519"/>
      <c r="M715" s="519"/>
      <c r="N715" s="519"/>
    </row>
    <row r="716" spans="1:14" ht="15">
      <c r="A716" s="496"/>
      <c r="B716" s="496"/>
      <c r="C716" s="496"/>
      <c r="D716" s="496"/>
      <c r="E716" s="519"/>
      <c r="F716" s="519"/>
      <c r="G716" s="519"/>
      <c r="H716" s="519"/>
      <c r="I716" s="519"/>
      <c r="J716" s="519"/>
      <c r="K716" s="519"/>
      <c r="L716" s="519"/>
      <c r="M716" s="519"/>
      <c r="N716" s="519"/>
    </row>
    <row r="717" spans="1:14" ht="15">
      <c r="A717" s="496"/>
      <c r="B717" s="496"/>
      <c r="C717" s="496"/>
      <c r="D717" s="496"/>
      <c r="E717" s="519"/>
      <c r="F717" s="519"/>
      <c r="G717" s="519"/>
      <c r="H717" s="519"/>
      <c r="I717" s="519"/>
      <c r="J717" s="519"/>
      <c r="K717" s="519"/>
      <c r="L717" s="519"/>
      <c r="M717" s="519"/>
      <c r="N717" s="519"/>
    </row>
    <row r="718" spans="1:14" ht="15">
      <c r="A718" s="496"/>
      <c r="B718" s="496"/>
      <c r="C718" s="496"/>
      <c r="D718" s="496"/>
      <c r="E718" s="519"/>
      <c r="F718" s="519"/>
      <c r="G718" s="519"/>
      <c r="H718" s="519"/>
      <c r="I718" s="519"/>
      <c r="J718" s="519"/>
      <c r="K718" s="519"/>
      <c r="L718" s="519"/>
      <c r="M718" s="519"/>
      <c r="N718" s="519"/>
    </row>
    <row r="719" spans="1:14" ht="15.75">
      <c r="A719" s="496"/>
      <c r="B719" s="512" t="s">
        <v>1213</v>
      </c>
      <c r="C719" s="496"/>
      <c r="D719" s="496"/>
      <c r="E719" s="519"/>
      <c r="F719" s="519"/>
      <c r="G719" s="519"/>
      <c r="H719" s="519"/>
      <c r="I719" s="519"/>
      <c r="J719" s="519"/>
      <c r="K719" s="519"/>
      <c r="L719" s="519"/>
      <c r="M719" s="519"/>
      <c r="N719" s="519"/>
    </row>
    <row r="720" spans="1:14" ht="15">
      <c r="A720" s="496"/>
      <c r="B720" s="497"/>
      <c r="C720" s="503"/>
      <c r="D720" s="496"/>
      <c r="E720" s="519"/>
      <c r="F720" s="519"/>
      <c r="G720" s="519"/>
      <c r="H720" s="519"/>
      <c r="I720" s="519"/>
      <c r="J720" s="519"/>
      <c r="K720" s="519"/>
      <c r="L720" s="519"/>
      <c r="M720" s="519"/>
      <c r="N720" s="519"/>
    </row>
    <row r="721" spans="1:14" ht="15">
      <c r="A721" s="503" t="s">
        <v>307</v>
      </c>
      <c r="B721" s="503" t="s">
        <v>1214</v>
      </c>
      <c r="C721" s="496"/>
      <c r="D721" s="496"/>
      <c r="E721" s="519"/>
      <c r="F721" s="519">
        <f>+E419</f>
        <v>0</v>
      </c>
      <c r="G721" s="519">
        <f t="shared" ref="G721:N721" si="92">F419-E419</f>
        <v>0</v>
      </c>
      <c r="H721" s="519">
        <f t="shared" si="92"/>
        <v>0</v>
      </c>
      <c r="I721" s="519">
        <f t="shared" si="92"/>
        <v>0</v>
      </c>
      <c r="J721" s="519">
        <f t="shared" si="92"/>
        <v>0</v>
      </c>
      <c r="K721" s="519">
        <f t="shared" si="92"/>
        <v>0</v>
      </c>
      <c r="L721" s="519">
        <f t="shared" si="92"/>
        <v>0</v>
      </c>
      <c r="M721" s="519">
        <f t="shared" si="92"/>
        <v>0</v>
      </c>
      <c r="N721" s="519">
        <f t="shared" si="92"/>
        <v>0</v>
      </c>
    </row>
    <row r="722" spans="1:14" ht="15">
      <c r="A722" s="496"/>
      <c r="B722" s="503" t="s">
        <v>1215</v>
      </c>
      <c r="C722" s="496"/>
      <c r="D722" s="496"/>
      <c r="E722" s="519"/>
      <c r="F722" s="519"/>
      <c r="G722" s="519"/>
      <c r="H722" s="519"/>
      <c r="I722" s="519"/>
      <c r="J722" s="519"/>
      <c r="K722" s="519"/>
      <c r="L722" s="519"/>
      <c r="M722" s="519"/>
      <c r="N722" s="519"/>
    </row>
    <row r="723" spans="1:14" ht="15">
      <c r="A723" s="496"/>
      <c r="B723" s="496"/>
      <c r="C723" s="496"/>
      <c r="D723" s="496"/>
      <c r="E723" s="519"/>
      <c r="F723" s="519"/>
      <c r="G723" s="519"/>
      <c r="H723" s="519"/>
      <c r="I723" s="519"/>
      <c r="J723" s="519"/>
      <c r="K723" s="519"/>
      <c r="L723" s="519"/>
      <c r="M723" s="519"/>
      <c r="N723" s="519"/>
    </row>
    <row r="724" spans="1:14" ht="15">
      <c r="A724" s="503" t="s">
        <v>877</v>
      </c>
      <c r="B724" s="503" t="s">
        <v>1216</v>
      </c>
      <c r="C724" s="496"/>
      <c r="D724" s="496"/>
      <c r="E724" s="519"/>
      <c r="F724" s="519">
        <v>0</v>
      </c>
      <c r="G724" s="519">
        <v>0</v>
      </c>
      <c r="H724" s="519">
        <v>0</v>
      </c>
      <c r="I724" s="519">
        <v>0</v>
      </c>
      <c r="J724" s="519">
        <v>0</v>
      </c>
      <c r="K724" s="519">
        <v>0</v>
      </c>
      <c r="L724" s="519">
        <v>0</v>
      </c>
      <c r="M724" s="519">
        <v>0</v>
      </c>
      <c r="N724" s="519">
        <v>0</v>
      </c>
    </row>
    <row r="725" spans="1:14" ht="15">
      <c r="A725" s="496"/>
      <c r="B725" s="503" t="s">
        <v>1116</v>
      </c>
      <c r="C725" s="496"/>
      <c r="D725" s="496"/>
      <c r="E725" s="519"/>
      <c r="F725" s="519"/>
      <c r="G725" s="519"/>
      <c r="H725" s="519"/>
      <c r="I725" s="519"/>
      <c r="J725" s="519"/>
      <c r="K725" s="519"/>
      <c r="L725" s="519"/>
      <c r="M725" s="519"/>
      <c r="N725" s="519"/>
    </row>
    <row r="726" spans="1:14" ht="15">
      <c r="A726" s="496"/>
      <c r="B726" s="496"/>
      <c r="C726" s="496"/>
      <c r="D726" s="496"/>
      <c r="E726" s="519"/>
      <c r="F726" s="519"/>
      <c r="G726" s="519"/>
      <c r="H726" s="519"/>
      <c r="I726" s="519"/>
      <c r="J726" s="519"/>
      <c r="K726" s="519"/>
      <c r="L726" s="519"/>
      <c r="M726" s="519"/>
      <c r="N726" s="519"/>
    </row>
    <row r="727" spans="1:14" ht="15">
      <c r="A727" s="503" t="s">
        <v>297</v>
      </c>
      <c r="B727" s="503" t="s">
        <v>1216</v>
      </c>
      <c r="C727" s="496"/>
      <c r="D727" s="496"/>
      <c r="E727" s="519"/>
      <c r="F727" s="519"/>
      <c r="G727" s="519"/>
      <c r="H727" s="519"/>
      <c r="I727" s="519"/>
      <c r="J727" s="519"/>
      <c r="K727" s="519"/>
      <c r="L727" s="519"/>
      <c r="M727" s="519"/>
      <c r="N727" s="519"/>
    </row>
    <row r="728" spans="1:14" ht="15">
      <c r="A728" s="496"/>
      <c r="B728" s="503" t="s">
        <v>1119</v>
      </c>
      <c r="C728" s="496"/>
      <c r="D728" s="496"/>
      <c r="E728" s="519"/>
      <c r="F728" s="519">
        <f>+E443</f>
        <v>0</v>
      </c>
      <c r="G728" s="519">
        <f t="shared" ref="G728:N728" si="93">F443-E443</f>
        <v>0</v>
      </c>
      <c r="H728" s="519">
        <f t="shared" si="93"/>
        <v>0</v>
      </c>
      <c r="I728" s="519">
        <f t="shared" si="93"/>
        <v>0</v>
      </c>
      <c r="J728" s="519">
        <f t="shared" si="93"/>
        <v>0</v>
      </c>
      <c r="K728" s="519">
        <f t="shared" si="93"/>
        <v>0</v>
      </c>
      <c r="L728" s="519">
        <f t="shared" si="93"/>
        <v>0</v>
      </c>
      <c r="M728" s="519">
        <f t="shared" si="93"/>
        <v>0</v>
      </c>
      <c r="N728" s="519">
        <f t="shared" si="93"/>
        <v>0</v>
      </c>
    </row>
    <row r="729" spans="1:14" ht="15">
      <c r="A729" s="496"/>
      <c r="B729" s="496"/>
      <c r="C729" s="496"/>
      <c r="D729" s="496"/>
      <c r="E729" s="519"/>
      <c r="F729" s="519"/>
      <c r="G729" s="519"/>
      <c r="H729" s="519"/>
      <c r="I729" s="519"/>
      <c r="J729" s="519"/>
      <c r="K729" s="519"/>
      <c r="L729" s="519"/>
      <c r="M729" s="519"/>
      <c r="N729" s="519"/>
    </row>
    <row r="730" spans="1:14" ht="15">
      <c r="A730" s="503" t="s">
        <v>299</v>
      </c>
      <c r="B730" s="503" t="s">
        <v>1216</v>
      </c>
      <c r="C730" s="496"/>
      <c r="D730" s="496"/>
      <c r="E730" s="519"/>
      <c r="F730" s="519"/>
      <c r="G730" s="519"/>
      <c r="H730" s="519"/>
      <c r="I730" s="519"/>
      <c r="J730" s="519"/>
      <c r="K730" s="519"/>
      <c r="L730" s="519"/>
      <c r="M730" s="519"/>
      <c r="N730" s="519"/>
    </row>
    <row r="731" spans="1:14" ht="15">
      <c r="A731" s="496"/>
      <c r="B731" s="503" t="s">
        <v>1217</v>
      </c>
      <c r="C731" s="496"/>
      <c r="D731" s="496"/>
      <c r="E731" s="519"/>
      <c r="F731" s="519"/>
      <c r="G731" s="519"/>
      <c r="H731" s="519"/>
      <c r="I731" s="519"/>
      <c r="J731" s="519"/>
      <c r="K731" s="519"/>
      <c r="L731" s="519"/>
      <c r="M731" s="519"/>
      <c r="N731" s="519"/>
    </row>
    <row r="732" spans="1:14" ht="15">
      <c r="A732" s="496"/>
      <c r="B732" s="503" t="s">
        <v>1218</v>
      </c>
      <c r="C732" s="496"/>
      <c r="D732" s="496"/>
      <c r="E732" s="519"/>
      <c r="F732" s="519" t="e">
        <f>E278</f>
        <v>#REF!</v>
      </c>
      <c r="G732" s="519" t="e">
        <f t="shared" ref="G732:N732" si="94">F278-E278</f>
        <v>#REF!</v>
      </c>
      <c r="H732" s="519" t="e">
        <f t="shared" si="94"/>
        <v>#REF!</v>
      </c>
      <c r="I732" s="519" t="e">
        <f t="shared" si="94"/>
        <v>#REF!</v>
      </c>
      <c r="J732" s="519" t="e">
        <f t="shared" si="94"/>
        <v>#REF!</v>
      </c>
      <c r="K732" s="519" t="e">
        <f t="shared" si="94"/>
        <v>#REF!</v>
      </c>
      <c r="L732" s="519" t="e">
        <f t="shared" si="94"/>
        <v>#REF!</v>
      </c>
      <c r="M732" s="519" t="e">
        <f t="shared" si="94"/>
        <v>#REF!</v>
      </c>
      <c r="N732" s="519" t="e">
        <f t="shared" si="94"/>
        <v>#REF!</v>
      </c>
    </row>
    <row r="733" spans="1:14" ht="15">
      <c r="A733" s="496"/>
      <c r="B733" s="496"/>
      <c r="C733" s="496"/>
      <c r="D733" s="496"/>
      <c r="E733" s="519"/>
      <c r="F733" s="519"/>
      <c r="G733" s="519"/>
      <c r="H733" s="519"/>
      <c r="I733" s="519"/>
      <c r="J733" s="519"/>
      <c r="K733" s="519"/>
      <c r="L733" s="519"/>
      <c r="M733" s="519"/>
      <c r="N733" s="519"/>
    </row>
    <row r="734" spans="1:14" ht="15">
      <c r="A734" s="496"/>
      <c r="B734" s="503" t="s">
        <v>1219</v>
      </c>
      <c r="C734" s="496"/>
      <c r="D734" s="496"/>
      <c r="E734" s="519"/>
      <c r="F734" s="519">
        <f>E457</f>
        <v>0</v>
      </c>
      <c r="G734" s="519">
        <f t="shared" ref="G734:N734" si="95">+F457-E457</f>
        <v>0</v>
      </c>
      <c r="H734" s="519">
        <f t="shared" si="95"/>
        <v>0</v>
      </c>
      <c r="I734" s="519">
        <f t="shared" si="95"/>
        <v>0</v>
      </c>
      <c r="J734" s="519">
        <f t="shared" si="95"/>
        <v>0</v>
      </c>
      <c r="K734" s="519">
        <f t="shared" si="95"/>
        <v>0</v>
      </c>
      <c r="L734" s="519">
        <f t="shared" si="95"/>
        <v>0</v>
      </c>
      <c r="M734" s="519">
        <f t="shared" si="95"/>
        <v>0</v>
      </c>
      <c r="N734" s="519">
        <f t="shared" si="95"/>
        <v>0</v>
      </c>
    </row>
    <row r="735" spans="1:14" ht="15">
      <c r="A735" s="496"/>
      <c r="B735" s="496"/>
      <c r="C735" s="496"/>
      <c r="D735" s="496"/>
      <c r="E735" s="519"/>
      <c r="F735" s="519"/>
      <c r="G735" s="519"/>
      <c r="H735" s="519"/>
      <c r="I735" s="519"/>
      <c r="J735" s="519"/>
      <c r="K735" s="519"/>
      <c r="L735" s="519"/>
      <c r="M735" s="519"/>
      <c r="N735" s="519"/>
    </row>
    <row r="736" spans="1:14" ht="15">
      <c r="A736" s="503" t="s">
        <v>301</v>
      </c>
      <c r="B736" s="503" t="s">
        <v>1216</v>
      </c>
      <c r="C736" s="496"/>
      <c r="D736" s="496"/>
      <c r="E736" s="519"/>
      <c r="F736" s="519"/>
      <c r="G736" s="519"/>
      <c r="H736" s="519"/>
      <c r="I736" s="519"/>
      <c r="J736" s="519"/>
      <c r="K736" s="519"/>
      <c r="L736" s="519"/>
      <c r="M736" s="519"/>
      <c r="N736" s="519"/>
    </row>
    <row r="737" spans="1:14" ht="15">
      <c r="A737" s="496"/>
      <c r="B737" s="503" t="s">
        <v>1220</v>
      </c>
      <c r="C737" s="496"/>
      <c r="D737" s="496"/>
      <c r="E737" s="519"/>
      <c r="F737" s="519" t="e">
        <f>+E432</f>
        <v>#REF!</v>
      </c>
      <c r="G737" s="519" t="e">
        <f t="shared" ref="G737:N737" si="96">+F432-E432</f>
        <v>#REF!</v>
      </c>
      <c r="H737" s="519" t="e">
        <f t="shared" si="96"/>
        <v>#REF!</v>
      </c>
      <c r="I737" s="519" t="e">
        <f t="shared" si="96"/>
        <v>#REF!</v>
      </c>
      <c r="J737" s="519" t="e">
        <f t="shared" si="96"/>
        <v>#REF!</v>
      </c>
      <c r="K737" s="519" t="e">
        <f t="shared" si="96"/>
        <v>#REF!</v>
      </c>
      <c r="L737" s="519" t="e">
        <f t="shared" si="96"/>
        <v>#REF!</v>
      </c>
      <c r="M737" s="519" t="e">
        <f t="shared" si="96"/>
        <v>#REF!</v>
      </c>
      <c r="N737" s="519" t="e">
        <f t="shared" si="96"/>
        <v>#REF!</v>
      </c>
    </row>
    <row r="738" spans="1:14" ht="15">
      <c r="A738" s="496"/>
      <c r="B738" s="496"/>
      <c r="C738" s="496"/>
      <c r="D738" s="496"/>
      <c r="E738" s="519"/>
      <c r="F738" s="519"/>
      <c r="G738" s="519"/>
      <c r="H738" s="519"/>
      <c r="I738" s="519"/>
      <c r="J738" s="519"/>
      <c r="K738" s="519"/>
      <c r="L738" s="519"/>
      <c r="M738" s="519"/>
      <c r="N738" s="519"/>
    </row>
    <row r="739" spans="1:14" ht="15">
      <c r="A739" s="503" t="s">
        <v>302</v>
      </c>
      <c r="B739" s="503" t="s">
        <v>1216</v>
      </c>
      <c r="C739" s="496"/>
      <c r="D739" s="496"/>
      <c r="E739" s="519"/>
      <c r="F739" s="519"/>
      <c r="G739" s="519"/>
      <c r="H739" s="519"/>
      <c r="I739" s="519"/>
      <c r="J739" s="519"/>
      <c r="K739" s="519"/>
      <c r="L739" s="519"/>
      <c r="M739" s="519"/>
      <c r="N739" s="519"/>
    </row>
    <row r="740" spans="1:14" ht="15">
      <c r="A740" s="496"/>
      <c r="B740" s="503" t="s">
        <v>419</v>
      </c>
      <c r="C740" s="496"/>
      <c r="D740" s="496"/>
      <c r="E740" s="519"/>
      <c r="F740" s="519" t="e">
        <f>+E473</f>
        <v>#REF!</v>
      </c>
      <c r="G740" s="519" t="e">
        <f t="shared" ref="G740:N740" si="97">+F473-E473</f>
        <v>#REF!</v>
      </c>
      <c r="H740" s="519" t="e">
        <f t="shared" si="97"/>
        <v>#REF!</v>
      </c>
      <c r="I740" s="519" t="e">
        <f t="shared" si="97"/>
        <v>#REF!</v>
      </c>
      <c r="J740" s="519" t="e">
        <f t="shared" si="97"/>
        <v>#REF!</v>
      </c>
      <c r="K740" s="519" t="e">
        <f t="shared" si="97"/>
        <v>#REF!</v>
      </c>
      <c r="L740" s="519" t="e">
        <f t="shared" si="97"/>
        <v>#REF!</v>
      </c>
      <c r="M740" s="519" t="e">
        <f t="shared" si="97"/>
        <v>#REF!</v>
      </c>
      <c r="N740" s="519" t="e">
        <f t="shared" si="97"/>
        <v>#REF!</v>
      </c>
    </row>
    <row r="741" spans="1:14" ht="15">
      <c r="A741" s="496"/>
      <c r="B741" s="496"/>
      <c r="C741" s="496"/>
      <c r="D741" s="496"/>
      <c r="E741" s="519"/>
      <c r="F741" s="540"/>
      <c r="G741" s="540"/>
      <c r="H741" s="540"/>
      <c r="I741" s="540"/>
      <c r="J741" s="540"/>
      <c r="K741" s="540"/>
      <c r="L741" s="540"/>
      <c r="M741" s="540"/>
      <c r="N741" s="540"/>
    </row>
    <row r="742" spans="1:14" ht="15">
      <c r="A742" s="496"/>
      <c r="B742" s="503" t="s">
        <v>876</v>
      </c>
      <c r="C742" s="496"/>
      <c r="D742" s="496"/>
      <c r="E742" s="519"/>
      <c r="F742" s="541" t="e">
        <f t="shared" ref="F742:L742" si="98">SUM(F721:F741)</f>
        <v>#REF!</v>
      </c>
      <c r="G742" s="541" t="e">
        <f t="shared" si="98"/>
        <v>#REF!</v>
      </c>
      <c r="H742" s="541" t="e">
        <f t="shared" si="98"/>
        <v>#REF!</v>
      </c>
      <c r="I742" s="541" t="e">
        <f t="shared" si="98"/>
        <v>#REF!</v>
      </c>
      <c r="J742" s="541" t="e">
        <f t="shared" si="98"/>
        <v>#REF!</v>
      </c>
      <c r="K742" s="541" t="e">
        <f t="shared" si="98"/>
        <v>#REF!</v>
      </c>
      <c r="L742" s="541" t="e">
        <f t="shared" si="98"/>
        <v>#REF!</v>
      </c>
      <c r="M742" s="541" t="e">
        <f>SUM(M721:M741)</f>
        <v>#REF!</v>
      </c>
      <c r="N742" s="541" t="e">
        <f>SUM(N721:N741)</f>
        <v>#REF!</v>
      </c>
    </row>
    <row r="743" spans="1:14" ht="15">
      <c r="A743" s="496"/>
      <c r="B743" s="496"/>
      <c r="C743" s="496"/>
      <c r="D743" s="496"/>
      <c r="E743" s="519"/>
      <c r="F743" s="517"/>
      <c r="G743" s="517"/>
      <c r="H743" s="517"/>
      <c r="I743" s="517"/>
      <c r="J743" s="517"/>
      <c r="K743" s="517"/>
      <c r="L743" s="541"/>
    </row>
    <row r="744" spans="1:14" ht="15.75">
      <c r="A744" s="562" t="str">
        <f>+A1</f>
        <v>ROYALE DE CASA ( A UNIT OF ROYALE INDIA PVT. LTD. )</v>
      </c>
      <c r="B744" s="496"/>
      <c r="C744" s="496"/>
      <c r="D744" s="496"/>
      <c r="E744" s="496"/>
      <c r="F744" s="534"/>
      <c r="G744" s="534"/>
      <c r="H744" s="534"/>
      <c r="I744" s="534"/>
      <c r="J744" s="534"/>
      <c r="K744" s="534"/>
      <c r="L744" s="496"/>
    </row>
    <row r="745" spans="1:14" ht="15">
      <c r="A745" s="496"/>
      <c r="B745" s="496"/>
      <c r="C745" s="496"/>
      <c r="D745" s="496"/>
      <c r="E745" s="496"/>
      <c r="F745" s="496"/>
      <c r="G745" s="496"/>
      <c r="H745" s="496"/>
      <c r="I745" s="496"/>
      <c r="J745" s="496"/>
      <c r="K745" s="496"/>
      <c r="L745" s="496"/>
    </row>
    <row r="746" spans="1:14" ht="15.75">
      <c r="A746" s="562" t="s">
        <v>1221</v>
      </c>
      <c r="B746" s="496"/>
      <c r="C746" s="496"/>
      <c r="D746" s="496"/>
      <c r="E746" s="496"/>
      <c r="F746" s="496"/>
      <c r="G746" s="496"/>
      <c r="H746" s="496"/>
      <c r="I746" s="496"/>
      <c r="J746" s="496"/>
      <c r="K746" s="496"/>
      <c r="L746" s="496"/>
    </row>
    <row r="747" spans="1:14" ht="15">
      <c r="A747" s="496"/>
      <c r="B747" s="496"/>
      <c r="C747" s="496"/>
      <c r="D747" s="496"/>
      <c r="E747" s="496"/>
      <c r="F747" s="496"/>
      <c r="G747" s="496"/>
      <c r="H747" s="496"/>
      <c r="I747" s="496"/>
      <c r="J747" s="496"/>
      <c r="K747" s="496"/>
      <c r="L747" s="496"/>
    </row>
    <row r="748" spans="1:14" s="7" customFormat="1">
      <c r="A748" s="563" t="s">
        <v>93</v>
      </c>
      <c r="B748" s="525"/>
      <c r="C748" s="525"/>
      <c r="D748" s="525"/>
      <c r="E748" s="564" t="e">
        <f t="shared" ref="E748:I749" si="99">+E495</f>
        <v>#REF!</v>
      </c>
      <c r="F748" s="564" t="e">
        <f t="shared" si="99"/>
        <v>#REF!</v>
      </c>
      <c r="G748" s="564" t="e">
        <f t="shared" si="99"/>
        <v>#REF!</v>
      </c>
      <c r="H748" s="564" t="e">
        <f t="shared" si="99"/>
        <v>#REF!</v>
      </c>
      <c r="I748" s="564" t="e">
        <f t="shared" si="99"/>
        <v>#REF!</v>
      </c>
      <c r="J748" s="564" t="e">
        <f t="shared" ref="J748:M749" si="100">+J495</f>
        <v>#REF!</v>
      </c>
      <c r="K748" s="564" t="e">
        <f t="shared" si="100"/>
        <v>#REF!</v>
      </c>
      <c r="L748" s="564" t="e">
        <f t="shared" si="100"/>
        <v>#REF!</v>
      </c>
      <c r="M748" s="564" t="e">
        <f t="shared" si="100"/>
        <v>#REF!</v>
      </c>
    </row>
    <row r="749" spans="1:14" ht="15">
      <c r="A749" s="528"/>
      <c r="B749" s="528"/>
      <c r="C749" s="528"/>
      <c r="D749" s="528"/>
      <c r="E749" s="565" t="str">
        <f t="shared" si="99"/>
        <v>(Pro.)</v>
      </c>
      <c r="F749" s="565" t="str">
        <f t="shared" si="99"/>
        <v>(Pro.)</v>
      </c>
      <c r="G749" s="565" t="str">
        <f t="shared" si="99"/>
        <v>(Pro.)</v>
      </c>
      <c r="H749" s="565" t="str">
        <f t="shared" si="99"/>
        <v>(Pro.)</v>
      </c>
      <c r="I749" s="565" t="str">
        <f t="shared" si="99"/>
        <v>(Pro.)</v>
      </c>
      <c r="J749" s="565" t="str">
        <f t="shared" si="100"/>
        <v>(Pro.)</v>
      </c>
      <c r="K749" s="565" t="str">
        <f t="shared" si="100"/>
        <v>(Pro.)</v>
      </c>
      <c r="L749" s="565" t="str">
        <f t="shared" si="100"/>
        <v>(Pro.)</v>
      </c>
      <c r="M749" s="565" t="str">
        <f t="shared" si="100"/>
        <v>(Pro.)</v>
      </c>
    </row>
    <row r="750" spans="1:14" ht="15">
      <c r="A750" s="502"/>
      <c r="B750" s="502"/>
      <c r="C750" s="502"/>
      <c r="D750" s="502"/>
      <c r="E750" s="566"/>
      <c r="F750" s="566"/>
      <c r="G750" s="566"/>
      <c r="H750" s="566"/>
      <c r="I750" s="566"/>
      <c r="J750" s="566"/>
      <c r="K750" s="566"/>
      <c r="L750" s="566"/>
      <c r="M750" s="566"/>
    </row>
    <row r="751" spans="1:14" ht="15">
      <c r="A751" s="528" t="s">
        <v>1222</v>
      </c>
      <c r="B751" s="528"/>
      <c r="C751" s="528"/>
      <c r="D751" s="528"/>
      <c r="E751" s="567" t="e">
        <f t="shared" ref="E751:J751" si="101">+E29</f>
        <v>#REF!</v>
      </c>
      <c r="F751" s="567" t="e">
        <f t="shared" si="101"/>
        <v>#REF!</v>
      </c>
      <c r="G751" s="567" t="e">
        <f t="shared" si="101"/>
        <v>#REF!</v>
      </c>
      <c r="H751" s="567" t="e">
        <f t="shared" si="101"/>
        <v>#REF!</v>
      </c>
      <c r="I751" s="567" t="e">
        <f t="shared" si="101"/>
        <v>#REF!</v>
      </c>
      <c r="J751" s="567" t="e">
        <f t="shared" si="101"/>
        <v>#REF!</v>
      </c>
      <c r="K751" s="567" t="e">
        <f>+K29</f>
        <v>#REF!</v>
      </c>
      <c r="L751" s="567" t="e">
        <f>+L29</f>
        <v>#REF!</v>
      </c>
      <c r="M751" s="567" t="e">
        <f>+M29</f>
        <v>#REF!</v>
      </c>
    </row>
    <row r="752" spans="1:14" ht="15">
      <c r="A752" s="496"/>
      <c r="B752" s="496"/>
      <c r="C752" s="496"/>
      <c r="D752" s="496"/>
      <c r="E752" s="496"/>
      <c r="F752" s="496"/>
      <c r="G752" s="496"/>
      <c r="H752" s="496"/>
      <c r="I752" s="496"/>
      <c r="J752" s="496"/>
      <c r="K752" s="496"/>
      <c r="L752" s="496"/>
      <c r="M752" s="496"/>
    </row>
    <row r="753" spans="1:13" ht="15">
      <c r="A753" s="496" t="s">
        <v>1223</v>
      </c>
      <c r="B753" s="496"/>
      <c r="C753" s="496"/>
      <c r="D753" s="496"/>
      <c r="E753" s="520" t="e">
        <f t="shared" ref="E753:J753" si="102">+E93</f>
        <v>#REF!</v>
      </c>
      <c r="F753" s="520" t="e">
        <f t="shared" si="102"/>
        <v>#REF!</v>
      </c>
      <c r="G753" s="520" t="e">
        <f t="shared" si="102"/>
        <v>#REF!</v>
      </c>
      <c r="H753" s="520" t="e">
        <f t="shared" si="102"/>
        <v>#REF!</v>
      </c>
      <c r="I753" s="520" t="e">
        <f t="shared" si="102"/>
        <v>#REF!</v>
      </c>
      <c r="J753" s="520" t="e">
        <f t="shared" si="102"/>
        <v>#REF!</v>
      </c>
      <c r="K753" s="520" t="e">
        <f>+K93</f>
        <v>#REF!</v>
      </c>
      <c r="L753" s="520" t="e">
        <f>+L93</f>
        <v>#REF!</v>
      </c>
      <c r="M753" s="520" t="e">
        <f>+M93</f>
        <v>#REF!</v>
      </c>
    </row>
    <row r="754" spans="1:13" ht="15">
      <c r="A754" s="496" t="s">
        <v>440</v>
      </c>
      <c r="B754" s="496"/>
      <c r="C754" s="496"/>
      <c r="D754" s="496"/>
      <c r="E754" s="520" t="e">
        <f t="shared" ref="E754:J754" si="103">+E116</f>
        <v>#REF!</v>
      </c>
      <c r="F754" s="520" t="e">
        <f t="shared" si="103"/>
        <v>#REF!</v>
      </c>
      <c r="G754" s="520" t="e">
        <f t="shared" si="103"/>
        <v>#REF!</v>
      </c>
      <c r="H754" s="520" t="e">
        <f t="shared" si="103"/>
        <v>#REF!</v>
      </c>
      <c r="I754" s="520" t="e">
        <f t="shared" si="103"/>
        <v>#REF!</v>
      </c>
      <c r="J754" s="520" t="e">
        <f t="shared" si="103"/>
        <v>#REF!</v>
      </c>
      <c r="K754" s="520" t="e">
        <f>+K116</f>
        <v>#REF!</v>
      </c>
      <c r="L754" s="520" t="e">
        <f>+L116</f>
        <v>#REF!</v>
      </c>
      <c r="M754" s="520" t="e">
        <f>+M116</f>
        <v>#REF!</v>
      </c>
    </row>
    <row r="755" spans="1:13" ht="15">
      <c r="A755" s="496" t="s">
        <v>1224</v>
      </c>
      <c r="B755" s="496"/>
      <c r="C755" s="496"/>
      <c r="D755" s="496"/>
      <c r="E755" s="534" t="e">
        <f t="shared" ref="E755:J755" si="104">+E754/E751*100</f>
        <v>#REF!</v>
      </c>
      <c r="F755" s="534" t="e">
        <f t="shared" si="104"/>
        <v>#REF!</v>
      </c>
      <c r="G755" s="534" t="e">
        <f t="shared" si="104"/>
        <v>#REF!</v>
      </c>
      <c r="H755" s="534" t="e">
        <f t="shared" si="104"/>
        <v>#REF!</v>
      </c>
      <c r="I755" s="534" t="e">
        <f t="shared" si="104"/>
        <v>#REF!</v>
      </c>
      <c r="J755" s="534" t="e">
        <f t="shared" si="104"/>
        <v>#REF!</v>
      </c>
      <c r="K755" s="534" t="e">
        <f>+K754/K751*100</f>
        <v>#REF!</v>
      </c>
      <c r="L755" s="534" t="e">
        <f>+L754/L751*100</f>
        <v>#REF!</v>
      </c>
      <c r="M755" s="534" t="e">
        <f>+M754/M751*100</f>
        <v>#REF!</v>
      </c>
    </row>
    <row r="756" spans="1:13" ht="15">
      <c r="A756" s="496" t="s">
        <v>394</v>
      </c>
      <c r="B756" s="496"/>
      <c r="C756" s="496"/>
      <c r="D756" s="496"/>
      <c r="E756" s="520" t="e">
        <f t="shared" ref="E756:J756" si="105">+E121</f>
        <v>#REF!</v>
      </c>
      <c r="F756" s="520" t="e">
        <f t="shared" si="105"/>
        <v>#REF!</v>
      </c>
      <c r="G756" s="520" t="e">
        <f t="shared" si="105"/>
        <v>#REF!</v>
      </c>
      <c r="H756" s="520" t="e">
        <f t="shared" si="105"/>
        <v>#REF!</v>
      </c>
      <c r="I756" s="520" t="e">
        <f t="shared" si="105"/>
        <v>#REF!</v>
      </c>
      <c r="J756" s="520" t="e">
        <f t="shared" si="105"/>
        <v>#REF!</v>
      </c>
      <c r="K756" s="520" t="e">
        <f>+K121</f>
        <v>#REF!</v>
      </c>
      <c r="L756" s="520" t="e">
        <f>+L121</f>
        <v>#REF!</v>
      </c>
      <c r="M756" s="520" t="e">
        <f>+M121</f>
        <v>#REF!</v>
      </c>
    </row>
    <row r="757" spans="1:13" ht="15">
      <c r="A757" s="496" t="s">
        <v>1225</v>
      </c>
      <c r="B757" s="496"/>
      <c r="C757" s="496"/>
      <c r="D757" s="496"/>
      <c r="E757" s="534" t="e">
        <f t="shared" ref="E757:K757" si="106">+E756+E54+E109</f>
        <v>#REF!</v>
      </c>
      <c r="F757" s="534" t="e">
        <f t="shared" si="106"/>
        <v>#REF!</v>
      </c>
      <c r="G757" s="534" t="e">
        <f t="shared" si="106"/>
        <v>#REF!</v>
      </c>
      <c r="H757" s="534" t="e">
        <f t="shared" si="106"/>
        <v>#REF!</v>
      </c>
      <c r="I757" s="534" t="e">
        <f t="shared" si="106"/>
        <v>#REF!</v>
      </c>
      <c r="J757" s="534" t="e">
        <f t="shared" si="106"/>
        <v>#REF!</v>
      </c>
      <c r="K757" s="534" t="e">
        <f t="shared" si="106"/>
        <v>#REF!</v>
      </c>
      <c r="L757" s="534" t="e">
        <f>+L756+L54+L109</f>
        <v>#REF!</v>
      </c>
      <c r="M757" s="534" t="e">
        <f>+M756+M54+M109</f>
        <v>#REF!</v>
      </c>
    </row>
    <row r="758" spans="1:13" ht="15">
      <c r="A758" s="496" t="s">
        <v>1226</v>
      </c>
      <c r="B758" s="496"/>
      <c r="C758" s="496"/>
      <c r="D758" s="496"/>
      <c r="E758" s="534"/>
      <c r="F758" s="496"/>
      <c r="G758" s="496"/>
      <c r="H758" s="496"/>
      <c r="I758" s="496"/>
      <c r="J758" s="496"/>
      <c r="K758" s="496"/>
      <c r="L758" s="496"/>
      <c r="M758" s="496"/>
    </row>
    <row r="759" spans="1:13" ht="15">
      <c r="A759" s="496" t="s">
        <v>392</v>
      </c>
      <c r="B759" s="496"/>
      <c r="C759" s="496"/>
      <c r="D759" s="496"/>
      <c r="E759" s="520" t="e">
        <f t="shared" ref="E759:J759" si="107">+E351</f>
        <v>#REF!</v>
      </c>
      <c r="F759" s="520" t="e">
        <f t="shared" si="107"/>
        <v>#REF!</v>
      </c>
      <c r="G759" s="520" t="e">
        <f t="shared" si="107"/>
        <v>#REF!</v>
      </c>
      <c r="H759" s="520" t="e">
        <f t="shared" si="107"/>
        <v>#REF!</v>
      </c>
      <c r="I759" s="520" t="e">
        <f t="shared" si="107"/>
        <v>#REF!</v>
      </c>
      <c r="J759" s="520" t="e">
        <f t="shared" si="107"/>
        <v>#REF!</v>
      </c>
      <c r="K759" s="520" t="e">
        <f>+K351</f>
        <v>#REF!</v>
      </c>
      <c r="L759" s="520" t="e">
        <f>+L351</f>
        <v>#REF!</v>
      </c>
      <c r="M759" s="520" t="e">
        <f>+M351</f>
        <v>#REF!</v>
      </c>
    </row>
    <row r="760" spans="1:13" ht="15">
      <c r="A760" s="496" t="s">
        <v>1227</v>
      </c>
      <c r="B760" s="496"/>
      <c r="C760" s="496"/>
      <c r="D760" s="496"/>
      <c r="E760" s="520" t="e">
        <f t="shared" ref="E760:J760" si="108">+E351</f>
        <v>#REF!</v>
      </c>
      <c r="F760" s="520" t="e">
        <f t="shared" si="108"/>
        <v>#REF!</v>
      </c>
      <c r="G760" s="520" t="e">
        <f t="shared" si="108"/>
        <v>#REF!</v>
      </c>
      <c r="H760" s="520" t="e">
        <f t="shared" si="108"/>
        <v>#REF!</v>
      </c>
      <c r="I760" s="520" t="e">
        <f t="shared" si="108"/>
        <v>#REF!</v>
      </c>
      <c r="J760" s="520" t="e">
        <f t="shared" si="108"/>
        <v>#REF!</v>
      </c>
      <c r="K760" s="520" t="e">
        <f>+K351</f>
        <v>#REF!</v>
      </c>
      <c r="L760" s="520" t="e">
        <f>+L351</f>
        <v>#REF!</v>
      </c>
      <c r="M760" s="520" t="e">
        <f>+M351</f>
        <v>#REF!</v>
      </c>
    </row>
    <row r="761" spans="1:13" ht="15">
      <c r="A761" s="496" t="s">
        <v>1228</v>
      </c>
      <c r="B761" s="496"/>
      <c r="C761" s="496"/>
      <c r="D761" s="496"/>
      <c r="E761" s="520" t="e">
        <f t="shared" ref="E761:J761" si="109">+E227</f>
        <v>#REF!</v>
      </c>
      <c r="F761" s="520" t="e">
        <f t="shared" si="109"/>
        <v>#REF!</v>
      </c>
      <c r="G761" s="520" t="e">
        <f t="shared" si="109"/>
        <v>#REF!</v>
      </c>
      <c r="H761" s="520" t="e">
        <f t="shared" si="109"/>
        <v>#REF!</v>
      </c>
      <c r="I761" s="520" t="e">
        <f t="shared" si="109"/>
        <v>#REF!</v>
      </c>
      <c r="J761" s="520" t="e">
        <f t="shared" si="109"/>
        <v>#REF!</v>
      </c>
      <c r="K761" s="520" t="e">
        <f>+K227</f>
        <v>#REF!</v>
      </c>
      <c r="L761" s="520" t="e">
        <f>+L227</f>
        <v>#REF!</v>
      </c>
      <c r="M761" s="520" t="e">
        <f>+M227</f>
        <v>#REF!</v>
      </c>
    </row>
    <row r="762" spans="1:13" ht="15">
      <c r="A762" s="496" t="s">
        <v>449</v>
      </c>
      <c r="B762" s="496"/>
      <c r="C762" s="496"/>
      <c r="D762" s="496"/>
      <c r="E762" s="534" t="e">
        <f t="shared" ref="E762:J762" si="110">+E761/E759</f>
        <v>#REF!</v>
      </c>
      <c r="F762" s="534" t="e">
        <f t="shared" si="110"/>
        <v>#REF!</v>
      </c>
      <c r="G762" s="534" t="e">
        <f t="shared" si="110"/>
        <v>#REF!</v>
      </c>
      <c r="H762" s="534" t="e">
        <f t="shared" si="110"/>
        <v>#REF!</v>
      </c>
      <c r="I762" s="534" t="e">
        <f t="shared" si="110"/>
        <v>#REF!</v>
      </c>
      <c r="J762" s="534" t="e">
        <f t="shared" si="110"/>
        <v>#REF!</v>
      </c>
      <c r="K762" s="534" t="e">
        <f>+K761/K759</f>
        <v>#REF!</v>
      </c>
      <c r="L762" s="534" t="e">
        <f>+L761/L759</f>
        <v>#REF!</v>
      </c>
      <c r="M762" s="534" t="e">
        <f>+M761/M759</f>
        <v>#REF!</v>
      </c>
    </row>
    <row r="763" spans="1:13" ht="15">
      <c r="A763" s="496" t="s">
        <v>1229</v>
      </c>
      <c r="B763" s="496"/>
      <c r="C763" s="496"/>
      <c r="D763" s="496"/>
      <c r="E763" s="534" t="e">
        <f t="shared" ref="E763:J763" si="111">+E761/E760</f>
        <v>#REF!</v>
      </c>
      <c r="F763" s="534" t="e">
        <f t="shared" si="111"/>
        <v>#REF!</v>
      </c>
      <c r="G763" s="534" t="e">
        <f t="shared" si="111"/>
        <v>#REF!</v>
      </c>
      <c r="H763" s="534" t="e">
        <f t="shared" si="111"/>
        <v>#REF!</v>
      </c>
      <c r="I763" s="534" t="e">
        <f t="shared" si="111"/>
        <v>#REF!</v>
      </c>
      <c r="J763" s="534" t="e">
        <f t="shared" si="111"/>
        <v>#REF!</v>
      </c>
      <c r="K763" s="534" t="e">
        <f>+K761/K760</f>
        <v>#REF!</v>
      </c>
      <c r="L763" s="534" t="e">
        <f>+L761/L760</f>
        <v>#REF!</v>
      </c>
      <c r="M763" s="534" t="e">
        <f>+M761/M760</f>
        <v>#REF!</v>
      </c>
    </row>
    <row r="764" spans="1:13" ht="15">
      <c r="A764" s="496" t="s">
        <v>448</v>
      </c>
      <c r="B764" s="496"/>
      <c r="C764" s="496"/>
      <c r="D764" s="496"/>
      <c r="E764" s="534" t="e">
        <f t="shared" ref="E764:J764" si="112">+E355</f>
        <v>#REF!</v>
      </c>
      <c r="F764" s="534" t="e">
        <f t="shared" si="112"/>
        <v>#REF!</v>
      </c>
      <c r="G764" s="534" t="e">
        <f t="shared" si="112"/>
        <v>#REF!</v>
      </c>
      <c r="H764" s="534" t="e">
        <f t="shared" si="112"/>
        <v>#REF!</v>
      </c>
      <c r="I764" s="534" t="e">
        <f t="shared" si="112"/>
        <v>#REF!</v>
      </c>
      <c r="J764" s="534" t="e">
        <f t="shared" si="112"/>
        <v>#REF!</v>
      </c>
      <c r="K764" s="534" t="e">
        <f>+K355</f>
        <v>#REF!</v>
      </c>
      <c r="L764" s="534" t="e">
        <f>+L355</f>
        <v>#REF!</v>
      </c>
      <c r="M764" s="534" t="e">
        <f>+M355</f>
        <v>#REF!</v>
      </c>
    </row>
    <row r="765" spans="1:13" ht="15">
      <c r="A765" s="528"/>
      <c r="B765" s="528"/>
      <c r="C765" s="528"/>
      <c r="D765" s="528"/>
      <c r="E765" s="528"/>
      <c r="F765" s="528"/>
      <c r="G765" s="528"/>
      <c r="H765" s="528"/>
      <c r="I765" s="528"/>
      <c r="J765" s="528"/>
      <c r="K765" s="528"/>
      <c r="L765" s="528"/>
      <c r="M765" s="528"/>
    </row>
    <row r="766" spans="1:13" ht="15">
      <c r="A766" s="496"/>
      <c r="B766" s="496"/>
      <c r="C766" s="496"/>
      <c r="D766" s="496"/>
      <c r="E766" s="496"/>
      <c r="F766" s="496"/>
      <c r="G766" s="496"/>
      <c r="H766" s="496"/>
      <c r="I766" s="496"/>
      <c r="J766" s="496"/>
      <c r="K766" s="496"/>
      <c r="L766" s="496"/>
      <c r="M766" s="496"/>
    </row>
    <row r="767" spans="1:13" ht="15.75">
      <c r="A767" s="562" t="s">
        <v>1230</v>
      </c>
      <c r="B767" s="496"/>
      <c r="C767" s="496"/>
      <c r="D767" s="496"/>
      <c r="E767" s="496"/>
      <c r="F767" s="496"/>
      <c r="G767" s="496"/>
      <c r="H767" s="496"/>
      <c r="I767" s="496"/>
      <c r="J767" s="496"/>
      <c r="K767" s="496"/>
      <c r="L767" s="496"/>
      <c r="M767" s="496"/>
    </row>
    <row r="768" spans="1:13" ht="15">
      <c r="A768" s="496"/>
      <c r="B768" s="496"/>
      <c r="C768" s="496"/>
      <c r="D768" s="496"/>
      <c r="E768" s="496"/>
      <c r="F768" s="496"/>
      <c r="G768" s="496"/>
      <c r="H768" s="496"/>
      <c r="I768" s="496"/>
      <c r="J768" s="496"/>
      <c r="K768" s="496"/>
      <c r="L768" s="496"/>
      <c r="M768" s="496"/>
    </row>
    <row r="769" spans="1:13" s="7" customFormat="1">
      <c r="A769" s="525"/>
      <c r="B769" s="525"/>
      <c r="C769" s="525"/>
      <c r="D769" s="525"/>
      <c r="E769" s="564" t="e">
        <f t="shared" ref="E769:I770" si="113">+E748</f>
        <v>#REF!</v>
      </c>
      <c r="F769" s="564" t="e">
        <f t="shared" si="113"/>
        <v>#REF!</v>
      </c>
      <c r="G769" s="564" t="e">
        <f t="shared" si="113"/>
        <v>#REF!</v>
      </c>
      <c r="H769" s="564" t="e">
        <f t="shared" si="113"/>
        <v>#REF!</v>
      </c>
      <c r="I769" s="564" t="e">
        <f t="shared" si="113"/>
        <v>#REF!</v>
      </c>
      <c r="J769" s="564" t="e">
        <f t="shared" ref="J769:M770" si="114">+J748</f>
        <v>#REF!</v>
      </c>
      <c r="K769" s="564" t="e">
        <f t="shared" si="114"/>
        <v>#REF!</v>
      </c>
      <c r="L769" s="564" t="e">
        <f t="shared" si="114"/>
        <v>#REF!</v>
      </c>
      <c r="M769" s="564" t="e">
        <f t="shared" si="114"/>
        <v>#REF!</v>
      </c>
    </row>
    <row r="770" spans="1:13" ht="15">
      <c r="A770" s="528"/>
      <c r="B770" s="528"/>
      <c r="C770" s="528"/>
      <c r="D770" s="528"/>
      <c r="E770" s="569"/>
      <c r="F770" s="570" t="str">
        <f t="shared" si="113"/>
        <v>(Pro.)</v>
      </c>
      <c r="G770" s="570" t="str">
        <f t="shared" si="113"/>
        <v>(Pro.)</v>
      </c>
      <c r="H770" s="570" t="str">
        <f t="shared" si="113"/>
        <v>(Pro.)</v>
      </c>
      <c r="I770" s="570" t="str">
        <f t="shared" si="113"/>
        <v>(Pro.)</v>
      </c>
      <c r="J770" s="570" t="str">
        <f t="shared" si="114"/>
        <v>(Pro.)</v>
      </c>
      <c r="K770" s="570" t="str">
        <f t="shared" si="114"/>
        <v>(Pro.)</v>
      </c>
      <c r="L770" s="570" t="str">
        <f t="shared" si="114"/>
        <v>(Pro.)</v>
      </c>
      <c r="M770" s="570" t="str">
        <f t="shared" si="114"/>
        <v>(Pro.)</v>
      </c>
    </row>
    <row r="771" spans="1:13" ht="15">
      <c r="A771" s="502"/>
      <c r="B771" s="502"/>
      <c r="C771" s="502"/>
      <c r="D771" s="502"/>
      <c r="F771" s="566"/>
      <c r="G771" s="566"/>
      <c r="H771" s="566"/>
      <c r="I771" s="566"/>
      <c r="J771" s="566"/>
      <c r="K771" s="566"/>
      <c r="L771" s="566"/>
      <c r="M771" s="566"/>
    </row>
    <row r="772" spans="1:13" ht="15">
      <c r="A772" s="496" t="s">
        <v>1231</v>
      </c>
      <c r="B772" s="496"/>
      <c r="C772" s="496"/>
      <c r="D772" s="496"/>
      <c r="E772" s="520">
        <f t="shared" ref="E772:K772" si="115">+D351</f>
        <v>0</v>
      </c>
      <c r="F772" s="520" t="e">
        <f t="shared" si="115"/>
        <v>#REF!</v>
      </c>
      <c r="G772" s="520" t="e">
        <f t="shared" si="115"/>
        <v>#REF!</v>
      </c>
      <c r="H772" s="520" t="e">
        <f t="shared" si="115"/>
        <v>#REF!</v>
      </c>
      <c r="I772" s="520" t="e">
        <f t="shared" si="115"/>
        <v>#REF!</v>
      </c>
      <c r="J772" s="520" t="e">
        <f t="shared" si="115"/>
        <v>#REF!</v>
      </c>
      <c r="K772" s="520" t="e">
        <f t="shared" si="115"/>
        <v>#REF!</v>
      </c>
      <c r="L772" s="520" t="e">
        <f>+K351</f>
        <v>#REF!</v>
      </c>
      <c r="M772" s="520" t="e">
        <f>+L351</f>
        <v>#REF!</v>
      </c>
    </row>
    <row r="773" spans="1:13" ht="15">
      <c r="A773" s="496" t="s">
        <v>1232</v>
      </c>
      <c r="B773" s="496"/>
      <c r="C773" s="496"/>
      <c r="D773" s="496"/>
      <c r="E773" s="520" t="e">
        <f t="shared" ref="E773:J773" si="116">+E756</f>
        <v>#REF!</v>
      </c>
      <c r="F773" s="520" t="e">
        <f t="shared" si="116"/>
        <v>#REF!</v>
      </c>
      <c r="G773" s="520" t="e">
        <f t="shared" si="116"/>
        <v>#REF!</v>
      </c>
      <c r="H773" s="520" t="e">
        <f t="shared" si="116"/>
        <v>#REF!</v>
      </c>
      <c r="I773" s="520" t="e">
        <f t="shared" si="116"/>
        <v>#REF!</v>
      </c>
      <c r="J773" s="520" t="e">
        <f t="shared" si="116"/>
        <v>#REF!</v>
      </c>
      <c r="K773" s="520" t="e">
        <f>+K756</f>
        <v>#REF!</v>
      </c>
      <c r="L773" s="520" t="e">
        <f>+L756</f>
        <v>#REF!</v>
      </c>
      <c r="M773" s="520" t="e">
        <f>+M756</f>
        <v>#REF!</v>
      </c>
    </row>
    <row r="774" spans="1:13" ht="15">
      <c r="A774" s="496" t="s">
        <v>1233</v>
      </c>
      <c r="B774" s="496"/>
      <c r="C774" s="496"/>
      <c r="D774" s="496"/>
      <c r="E774" s="520" t="e">
        <f>+E250-D250</f>
        <v>#REF!</v>
      </c>
      <c r="F774" s="520" t="e">
        <f>+F250-E250</f>
        <v>#REF!</v>
      </c>
      <c r="G774" s="520">
        <f t="shared" ref="G774:M774" si="117">+G652</f>
        <v>0</v>
      </c>
      <c r="H774" s="520">
        <f t="shared" si="117"/>
        <v>0</v>
      </c>
      <c r="I774" s="520">
        <f t="shared" si="117"/>
        <v>0</v>
      </c>
      <c r="J774" s="520">
        <f t="shared" si="117"/>
        <v>0</v>
      </c>
      <c r="K774" s="520">
        <f t="shared" si="117"/>
        <v>0</v>
      </c>
      <c r="L774" s="520">
        <f t="shared" si="117"/>
        <v>0</v>
      </c>
      <c r="M774" s="520">
        <f t="shared" si="117"/>
        <v>0</v>
      </c>
    </row>
    <row r="775" spans="1:13" ht="15">
      <c r="A775" s="496" t="s">
        <v>1234</v>
      </c>
      <c r="B775" s="496"/>
      <c r="C775" s="496"/>
      <c r="D775" s="496"/>
      <c r="E775" s="520">
        <v>0</v>
      </c>
      <c r="F775" s="520">
        <v>0</v>
      </c>
      <c r="G775" s="520">
        <v>0</v>
      </c>
      <c r="H775" s="520">
        <v>0</v>
      </c>
      <c r="I775" s="520">
        <v>0</v>
      </c>
      <c r="J775" s="520">
        <v>0</v>
      </c>
      <c r="K775" s="520">
        <v>0</v>
      </c>
      <c r="L775" s="520">
        <v>0</v>
      </c>
      <c r="M775" s="520">
        <v>0</v>
      </c>
    </row>
    <row r="776" spans="1:13" ht="15">
      <c r="A776" s="496" t="s">
        <v>1235</v>
      </c>
      <c r="B776" s="496"/>
      <c r="C776" s="496"/>
      <c r="D776" s="496"/>
      <c r="E776" s="496"/>
      <c r="F776" s="496"/>
      <c r="G776" s="496"/>
      <c r="H776" s="496"/>
      <c r="I776" s="496"/>
      <c r="J776" s="496"/>
      <c r="K776" s="496"/>
      <c r="L776" s="496"/>
      <c r="M776" s="496"/>
    </row>
    <row r="777" spans="1:13" ht="15">
      <c r="A777" s="496" t="s">
        <v>1236</v>
      </c>
      <c r="B777" s="496"/>
      <c r="C777" s="496"/>
      <c r="D777" s="496"/>
      <c r="E777" s="520">
        <f t="shared" ref="E777:J777" si="118">+E109</f>
        <v>0</v>
      </c>
      <c r="F777" s="520">
        <f t="shared" si="118"/>
        <v>0</v>
      </c>
      <c r="G777" s="520">
        <f t="shared" si="118"/>
        <v>0</v>
      </c>
      <c r="H777" s="520">
        <f t="shared" si="118"/>
        <v>0</v>
      </c>
      <c r="I777" s="520">
        <f t="shared" si="118"/>
        <v>0</v>
      </c>
      <c r="J777" s="520">
        <f t="shared" si="118"/>
        <v>0</v>
      </c>
      <c r="K777" s="520">
        <f>+K109</f>
        <v>0</v>
      </c>
      <c r="L777" s="520">
        <f>+L109</f>
        <v>0</v>
      </c>
      <c r="M777" s="520">
        <f>+M109</f>
        <v>0</v>
      </c>
    </row>
    <row r="778" spans="1:13" ht="15">
      <c r="A778" s="496"/>
      <c r="B778" s="496"/>
      <c r="C778" s="496"/>
      <c r="D778" s="496"/>
      <c r="E778" s="520"/>
      <c r="F778" s="520"/>
      <c r="G778" s="520"/>
      <c r="H778" s="520"/>
      <c r="I778" s="520"/>
      <c r="J778" s="520"/>
      <c r="K778" s="520"/>
      <c r="L778" s="520"/>
      <c r="M778" s="520"/>
    </row>
    <row r="779" spans="1:13" ht="15">
      <c r="A779" s="496" t="s">
        <v>1237</v>
      </c>
      <c r="B779" s="496"/>
      <c r="C779" s="496"/>
      <c r="D779" s="496"/>
      <c r="E779" s="520">
        <f t="shared" ref="E779:J779" si="119">+E124</f>
        <v>0</v>
      </c>
      <c r="F779" s="520">
        <f t="shared" si="119"/>
        <v>0</v>
      </c>
      <c r="G779" s="520">
        <f t="shared" si="119"/>
        <v>0</v>
      </c>
      <c r="H779" s="520">
        <f t="shared" si="119"/>
        <v>0</v>
      </c>
      <c r="I779" s="520">
        <f t="shared" si="119"/>
        <v>0</v>
      </c>
      <c r="J779" s="520">
        <f t="shared" si="119"/>
        <v>0</v>
      </c>
      <c r="K779" s="520">
        <f>+K124</f>
        <v>0</v>
      </c>
      <c r="L779" s="520">
        <f>+L124</f>
        <v>0</v>
      </c>
      <c r="M779" s="520">
        <f>+M124</f>
        <v>0</v>
      </c>
    </row>
    <row r="780" spans="1:13" ht="15">
      <c r="A780" s="496"/>
      <c r="B780" s="496"/>
      <c r="C780" s="496"/>
      <c r="D780" s="496"/>
      <c r="E780" s="496"/>
      <c r="F780" s="496"/>
      <c r="G780" s="496"/>
      <c r="H780" s="496"/>
      <c r="I780" s="496"/>
      <c r="J780" s="496"/>
      <c r="K780" s="496"/>
      <c r="L780" s="496"/>
      <c r="M780" s="496"/>
    </row>
    <row r="781" spans="1:13" ht="15">
      <c r="A781" s="496" t="s">
        <v>1238</v>
      </c>
      <c r="B781" s="496"/>
      <c r="C781" s="496"/>
      <c r="D781" s="496"/>
      <c r="E781" s="534" t="e">
        <f t="shared" ref="E781:J781" si="120">SUM(E772:E777)-E779</f>
        <v>#REF!</v>
      </c>
      <c r="F781" s="534" t="e">
        <f t="shared" si="120"/>
        <v>#REF!</v>
      </c>
      <c r="G781" s="534" t="e">
        <f t="shared" si="120"/>
        <v>#REF!</v>
      </c>
      <c r="H781" s="534" t="e">
        <f t="shared" si="120"/>
        <v>#REF!</v>
      </c>
      <c r="I781" s="534" t="e">
        <f t="shared" si="120"/>
        <v>#REF!</v>
      </c>
      <c r="J781" s="534" t="e">
        <f t="shared" si="120"/>
        <v>#REF!</v>
      </c>
      <c r="K781" s="534" t="e">
        <f>SUM(K772:K777)-K779</f>
        <v>#REF!</v>
      </c>
      <c r="L781" s="534" t="e">
        <f>SUM(L772:L777)-L779</f>
        <v>#REF!</v>
      </c>
      <c r="M781" s="534" t="e">
        <f>SUM(M772:M777)-M779</f>
        <v>#REF!</v>
      </c>
    </row>
    <row r="782" spans="1:13" ht="15">
      <c r="A782" s="528"/>
      <c r="B782" s="528"/>
      <c r="C782" s="528"/>
      <c r="D782" s="528"/>
      <c r="E782" s="528"/>
      <c r="F782" s="567"/>
      <c r="G782" s="567"/>
      <c r="H782" s="567"/>
      <c r="I782" s="567"/>
      <c r="J782" s="567"/>
      <c r="K782" s="567"/>
      <c r="L782" s="567"/>
      <c r="M782" s="567"/>
    </row>
    <row r="783" spans="1:13" ht="15">
      <c r="A783" s="496"/>
      <c r="B783" s="496"/>
      <c r="C783" s="496"/>
      <c r="D783" s="496"/>
      <c r="E783" s="534"/>
      <c r="F783" s="496"/>
      <c r="G783" s="496"/>
      <c r="H783" s="496"/>
      <c r="I783" s="496"/>
      <c r="J783" s="496"/>
      <c r="K783" s="496"/>
      <c r="L783" s="496"/>
      <c r="M783" s="496"/>
    </row>
    <row r="784" spans="1:13" ht="15.75">
      <c r="A784" s="562" t="s">
        <v>1239</v>
      </c>
      <c r="B784" s="496"/>
      <c r="C784" s="496"/>
      <c r="D784" s="496"/>
      <c r="E784" s="496"/>
      <c r="F784" s="496"/>
      <c r="G784" s="496"/>
      <c r="H784" s="496"/>
      <c r="I784" s="496"/>
      <c r="J784" s="496"/>
      <c r="K784" s="496"/>
      <c r="L784" s="496"/>
      <c r="M784" s="496"/>
    </row>
    <row r="785" spans="1:13" ht="15.75">
      <c r="A785" s="562"/>
      <c r="B785" s="496"/>
      <c r="C785" s="496"/>
      <c r="D785" s="496"/>
      <c r="E785" s="496"/>
      <c r="F785" s="496"/>
      <c r="G785" s="496"/>
      <c r="H785" s="496"/>
      <c r="I785" s="496"/>
      <c r="J785" s="496"/>
      <c r="K785" s="496"/>
      <c r="L785" s="496"/>
      <c r="M785" s="496"/>
    </row>
    <row r="786" spans="1:13" ht="15.75">
      <c r="A786" s="571"/>
      <c r="B786" s="571"/>
      <c r="C786" s="571"/>
      <c r="D786" s="571"/>
      <c r="E786" s="572" t="e">
        <f t="shared" ref="E786:I787" si="121">+E769</f>
        <v>#REF!</v>
      </c>
      <c r="F786" s="572" t="e">
        <f t="shared" si="121"/>
        <v>#REF!</v>
      </c>
      <c r="G786" s="572" t="e">
        <f t="shared" si="121"/>
        <v>#REF!</v>
      </c>
      <c r="H786" s="572" t="e">
        <f t="shared" si="121"/>
        <v>#REF!</v>
      </c>
      <c r="I786" s="572" t="e">
        <f t="shared" si="121"/>
        <v>#REF!</v>
      </c>
      <c r="J786" s="572" t="e">
        <f t="shared" ref="J786:M787" si="122">+J769</f>
        <v>#REF!</v>
      </c>
      <c r="K786" s="572" t="e">
        <f t="shared" si="122"/>
        <v>#REF!</v>
      </c>
      <c r="L786" s="572" t="e">
        <f t="shared" si="122"/>
        <v>#REF!</v>
      </c>
      <c r="M786" s="572" t="e">
        <f t="shared" si="122"/>
        <v>#REF!</v>
      </c>
    </row>
    <row r="787" spans="1:13" ht="15">
      <c r="A787" s="528"/>
      <c r="B787" s="528"/>
      <c r="C787" s="528"/>
      <c r="D787" s="528"/>
      <c r="E787" s="569"/>
      <c r="F787" s="570" t="str">
        <f t="shared" si="121"/>
        <v>(Pro.)</v>
      </c>
      <c r="G787" s="570" t="str">
        <f t="shared" si="121"/>
        <v>(Pro.)</v>
      </c>
      <c r="H787" s="570" t="str">
        <f t="shared" si="121"/>
        <v>(Pro.)</v>
      </c>
      <c r="I787" s="570" t="str">
        <f t="shared" si="121"/>
        <v>(Pro.)</v>
      </c>
      <c r="J787" s="570" t="str">
        <f t="shared" si="122"/>
        <v>(Pro.)</v>
      </c>
      <c r="K787" s="570" t="str">
        <f t="shared" si="122"/>
        <v>(Pro.)</v>
      </c>
      <c r="L787" s="570" t="str">
        <f t="shared" si="122"/>
        <v>(Pro.)</v>
      </c>
      <c r="M787" s="570" t="str">
        <f t="shared" si="122"/>
        <v>(Pro.)</v>
      </c>
    </row>
    <row r="788" spans="1:13" ht="15">
      <c r="A788" s="502"/>
      <c r="B788" s="502"/>
      <c r="C788" s="502"/>
      <c r="D788" s="502"/>
      <c r="F788" s="566"/>
      <c r="G788" s="566"/>
      <c r="H788" s="566"/>
      <c r="I788" s="566"/>
      <c r="J788" s="566"/>
      <c r="K788" s="566"/>
      <c r="L788" s="566"/>
      <c r="M788" s="566"/>
    </row>
    <row r="789" spans="1:13" ht="15">
      <c r="A789" s="496" t="s">
        <v>1240</v>
      </c>
      <c r="B789" s="496"/>
      <c r="C789" s="496"/>
      <c r="D789" s="496"/>
      <c r="E789" s="531">
        <f t="shared" ref="E789:J789" si="123">+E665</f>
        <v>4263.8642876220001</v>
      </c>
      <c r="F789" s="531" t="e">
        <f t="shared" si="123"/>
        <v>#REF!</v>
      </c>
      <c r="G789" s="531" t="e">
        <f t="shared" si="123"/>
        <v>#REF!</v>
      </c>
      <c r="H789" s="531" t="e">
        <f t="shared" si="123"/>
        <v>#REF!</v>
      </c>
      <c r="I789" s="531" t="e">
        <f t="shared" si="123"/>
        <v>#REF!</v>
      </c>
      <c r="J789" s="531" t="e">
        <f t="shared" si="123"/>
        <v>#REF!</v>
      </c>
      <c r="K789" s="531" t="e">
        <f>+K665</f>
        <v>#REF!</v>
      </c>
      <c r="L789" s="531" t="e">
        <f>+L665</f>
        <v>#REF!</v>
      </c>
      <c r="M789" s="531" t="e">
        <f>+M665</f>
        <v>#REF!</v>
      </c>
    </row>
    <row r="790" spans="1:13" ht="15">
      <c r="A790" s="496" t="s">
        <v>1241</v>
      </c>
      <c r="B790" s="496"/>
      <c r="C790" s="496"/>
      <c r="D790" s="496"/>
      <c r="E790" s="531" t="e">
        <f t="shared" ref="E790:J790" si="124">+E683</f>
        <v>#REF!</v>
      </c>
      <c r="F790" s="531" t="e">
        <f t="shared" si="124"/>
        <v>#REF!</v>
      </c>
      <c r="G790" s="531" t="e">
        <f t="shared" si="124"/>
        <v>#REF!</v>
      </c>
      <c r="H790" s="531" t="e">
        <f t="shared" si="124"/>
        <v>#REF!</v>
      </c>
      <c r="I790" s="531" t="e">
        <f t="shared" si="124"/>
        <v>#REF!</v>
      </c>
      <c r="J790" s="531" t="e">
        <f t="shared" si="124"/>
        <v>#REF!</v>
      </c>
      <c r="K790" s="531" t="e">
        <f>+K683</f>
        <v>#REF!</v>
      </c>
      <c r="L790" s="531" t="e">
        <f>+L683</f>
        <v>#REF!</v>
      </c>
      <c r="M790" s="531" t="e">
        <f>+M683</f>
        <v>#REF!</v>
      </c>
    </row>
    <row r="791" spans="1:13" ht="15">
      <c r="A791" s="496" t="s">
        <v>1242</v>
      </c>
      <c r="B791" s="496"/>
      <c r="C791" s="496"/>
      <c r="D791" s="496"/>
      <c r="E791" s="573" t="e">
        <f t="shared" ref="E791:J791" si="125">+E789-E790</f>
        <v>#REF!</v>
      </c>
      <c r="F791" s="573" t="e">
        <f t="shared" si="125"/>
        <v>#REF!</v>
      </c>
      <c r="G791" s="573" t="e">
        <f t="shared" si="125"/>
        <v>#REF!</v>
      </c>
      <c r="H791" s="573" t="e">
        <f t="shared" si="125"/>
        <v>#REF!</v>
      </c>
      <c r="I791" s="573" t="e">
        <f t="shared" si="125"/>
        <v>#REF!</v>
      </c>
      <c r="J791" s="573" t="e">
        <f t="shared" si="125"/>
        <v>#REF!</v>
      </c>
      <c r="K791" s="573" t="e">
        <f>+K789-K790</f>
        <v>#REF!</v>
      </c>
      <c r="L791" s="573" t="e">
        <f>+L789-L790</f>
        <v>#REF!</v>
      </c>
      <c r="M791" s="573" t="e">
        <f>+M789-M790</f>
        <v>#REF!</v>
      </c>
    </row>
    <row r="792" spans="1:13" ht="15">
      <c r="A792" s="528"/>
      <c r="B792" s="528"/>
      <c r="C792" s="528"/>
      <c r="D792" s="528"/>
      <c r="E792" s="569"/>
      <c r="F792" s="574"/>
      <c r="G792" s="574"/>
      <c r="H792" s="574"/>
      <c r="I792" s="574"/>
      <c r="J792" s="574"/>
      <c r="K792" s="574"/>
      <c r="L792" s="574"/>
      <c r="M792" s="574"/>
    </row>
    <row r="793" spans="1:13" ht="15">
      <c r="A793" s="502"/>
      <c r="B793" s="502"/>
      <c r="C793" s="502"/>
      <c r="D793" s="502"/>
      <c r="E793" s="568"/>
      <c r="F793" s="568"/>
      <c r="G793" s="568"/>
      <c r="H793" s="568"/>
      <c r="I793" s="568"/>
      <c r="J793" s="568"/>
      <c r="K793" s="568"/>
      <c r="L793" s="568"/>
      <c r="M793" s="568"/>
    </row>
    <row r="794" spans="1:13" ht="15">
      <c r="A794" s="502"/>
      <c r="B794" s="502"/>
      <c r="C794" s="502"/>
      <c r="D794" s="502"/>
      <c r="E794" s="568"/>
      <c r="F794" s="568"/>
      <c r="G794" s="568"/>
      <c r="H794" s="568"/>
      <c r="I794" s="568"/>
      <c r="J794" s="568"/>
      <c r="K794" s="568"/>
      <c r="L794" s="568"/>
      <c r="M794" s="568"/>
    </row>
    <row r="795" spans="1:13" ht="15.75">
      <c r="A795" s="562" t="s">
        <v>1243</v>
      </c>
      <c r="B795" s="496"/>
      <c r="C795" s="496"/>
      <c r="D795" s="496"/>
      <c r="E795" s="496"/>
      <c r="F795" s="496"/>
      <c r="G795" s="496"/>
      <c r="H795" s="496"/>
      <c r="I795" s="496"/>
      <c r="J795" s="496"/>
      <c r="K795" s="496"/>
      <c r="L795" s="496"/>
      <c r="M795" s="496"/>
    </row>
    <row r="796" spans="1:13" ht="15.75">
      <c r="A796" s="562"/>
      <c r="B796" s="496"/>
      <c r="C796" s="496"/>
      <c r="D796" s="496"/>
      <c r="E796" s="496"/>
      <c r="F796" s="496"/>
      <c r="G796" s="496"/>
      <c r="H796" s="496"/>
      <c r="I796" s="496"/>
      <c r="J796" s="496"/>
      <c r="K796" s="496"/>
      <c r="L796" s="496"/>
      <c r="M796" s="496"/>
    </row>
    <row r="797" spans="1:13" s="473" customFormat="1" ht="15">
      <c r="A797" s="479"/>
      <c r="B797" s="479"/>
      <c r="C797" s="479"/>
      <c r="D797" s="479"/>
      <c r="E797" s="575" t="e">
        <f t="shared" ref="E797:K797" si="126">+E786</f>
        <v>#REF!</v>
      </c>
      <c r="F797" s="575" t="e">
        <f t="shared" si="126"/>
        <v>#REF!</v>
      </c>
      <c r="G797" s="575" t="e">
        <f t="shared" si="126"/>
        <v>#REF!</v>
      </c>
      <c r="H797" s="575" t="e">
        <f t="shared" si="126"/>
        <v>#REF!</v>
      </c>
      <c r="I797" s="575" t="e">
        <f t="shared" si="126"/>
        <v>#REF!</v>
      </c>
      <c r="J797" s="575" t="e">
        <f t="shared" si="126"/>
        <v>#REF!</v>
      </c>
      <c r="K797" s="575" t="e">
        <f t="shared" si="126"/>
        <v>#REF!</v>
      </c>
      <c r="L797" s="575" t="e">
        <f>+L786</f>
        <v>#REF!</v>
      </c>
      <c r="M797" s="575" t="e">
        <f>+M786</f>
        <v>#REF!</v>
      </c>
    </row>
    <row r="798" spans="1:13" ht="15.75">
      <c r="A798" s="502"/>
      <c r="B798" s="502"/>
      <c r="C798" s="502"/>
      <c r="D798" s="502"/>
      <c r="E798" s="576"/>
      <c r="F798" s="576"/>
      <c r="G798" s="576"/>
      <c r="H798" s="576"/>
      <c r="I798" s="576"/>
      <c r="J798" s="576"/>
      <c r="K798" s="576"/>
      <c r="L798" s="576"/>
      <c r="M798" s="576"/>
    </row>
    <row r="799" spans="1:13" ht="15">
      <c r="A799" s="496" t="s">
        <v>1244</v>
      </c>
      <c r="B799" s="496"/>
      <c r="C799" s="496"/>
      <c r="D799" s="496"/>
      <c r="E799" s="577">
        <f>[16]Project!F134</f>
        <v>0.35</v>
      </c>
      <c r="F799" s="577">
        <f>[16]Project!G134</f>
        <v>0.4</v>
      </c>
      <c r="G799" s="577">
        <f>[16]Project!H134</f>
        <v>0.45</v>
      </c>
      <c r="H799" s="577">
        <f>[16]Project!I134</f>
        <v>0.5</v>
      </c>
      <c r="I799" s="577">
        <f>[16]Project!J134</f>
        <v>0.55000000000000004</v>
      </c>
      <c r="J799" s="577">
        <f>[16]Project!K134</f>
        <v>0.55000000000000004</v>
      </c>
      <c r="K799" s="577">
        <f>[16]Project!L134</f>
        <v>0.55000000000000004</v>
      </c>
      <c r="L799" s="577">
        <f>[16]Project!M134</f>
        <v>0</v>
      </c>
      <c r="M799" s="577">
        <f>[16]Project!N134</f>
        <v>0</v>
      </c>
    </row>
    <row r="800" spans="1:13" ht="15">
      <c r="A800" s="496" t="s">
        <v>439</v>
      </c>
      <c r="B800" s="496"/>
      <c r="C800" s="496"/>
      <c r="D800" s="496"/>
      <c r="E800" s="520" t="e">
        <f t="shared" ref="E800:J800" si="127">+E751</f>
        <v>#REF!</v>
      </c>
      <c r="F800" s="520" t="e">
        <f t="shared" si="127"/>
        <v>#REF!</v>
      </c>
      <c r="G800" s="520" t="e">
        <f t="shared" si="127"/>
        <v>#REF!</v>
      </c>
      <c r="H800" s="520" t="e">
        <f t="shared" si="127"/>
        <v>#REF!</v>
      </c>
      <c r="I800" s="520" t="e">
        <f t="shared" si="127"/>
        <v>#REF!</v>
      </c>
      <c r="J800" s="520" t="e">
        <f t="shared" si="127"/>
        <v>#REF!</v>
      </c>
      <c r="K800" s="520" t="e">
        <f>+K751</f>
        <v>#REF!</v>
      </c>
      <c r="L800" s="520" t="e">
        <f>+L751</f>
        <v>#REF!</v>
      </c>
      <c r="M800" s="520" t="e">
        <f>+M751</f>
        <v>#REF!</v>
      </c>
    </row>
    <row r="801" spans="1:13" ht="15">
      <c r="A801" s="496" t="s">
        <v>1245</v>
      </c>
      <c r="B801" s="496"/>
      <c r="C801" s="496"/>
      <c r="D801" s="496"/>
      <c r="E801" s="520" t="e">
        <f t="shared" ref="E801:I802" si="128">+E756</f>
        <v>#REF!</v>
      </c>
      <c r="F801" s="520" t="e">
        <f t="shared" si="128"/>
        <v>#REF!</v>
      </c>
      <c r="G801" s="520" t="e">
        <f t="shared" si="128"/>
        <v>#REF!</v>
      </c>
      <c r="H801" s="520" t="e">
        <f t="shared" si="128"/>
        <v>#REF!</v>
      </c>
      <c r="I801" s="520" t="e">
        <f t="shared" si="128"/>
        <v>#REF!</v>
      </c>
      <c r="J801" s="520" t="e">
        <f t="shared" ref="J801:M802" si="129">+J756</f>
        <v>#REF!</v>
      </c>
      <c r="K801" s="520" t="e">
        <f t="shared" si="129"/>
        <v>#REF!</v>
      </c>
      <c r="L801" s="520" t="e">
        <f t="shared" si="129"/>
        <v>#REF!</v>
      </c>
      <c r="M801" s="520" t="e">
        <f t="shared" si="129"/>
        <v>#REF!</v>
      </c>
    </row>
    <row r="802" spans="1:13" ht="15">
      <c r="A802" s="496" t="s">
        <v>1225</v>
      </c>
      <c r="B802" s="496"/>
      <c r="C802" s="496"/>
      <c r="D802" s="496"/>
      <c r="E802" s="534" t="e">
        <f>+E757</f>
        <v>#REF!</v>
      </c>
      <c r="F802" s="534" t="e">
        <f t="shared" si="128"/>
        <v>#REF!</v>
      </c>
      <c r="G802" s="534" t="e">
        <f t="shared" si="128"/>
        <v>#REF!</v>
      </c>
      <c r="H802" s="534" t="e">
        <f t="shared" si="128"/>
        <v>#REF!</v>
      </c>
      <c r="I802" s="534" t="e">
        <f t="shared" si="128"/>
        <v>#REF!</v>
      </c>
      <c r="J802" s="534" t="e">
        <f t="shared" si="129"/>
        <v>#REF!</v>
      </c>
      <c r="K802" s="534" t="e">
        <f t="shared" si="129"/>
        <v>#REF!</v>
      </c>
      <c r="L802" s="534" t="e">
        <f t="shared" si="129"/>
        <v>#REF!</v>
      </c>
      <c r="M802" s="534" t="e">
        <f t="shared" si="129"/>
        <v>#REF!</v>
      </c>
    </row>
    <row r="803" spans="1:13" ht="15">
      <c r="A803" s="496" t="s">
        <v>711</v>
      </c>
      <c r="B803" s="496"/>
      <c r="C803" s="496"/>
      <c r="D803" s="496"/>
      <c r="E803" s="520" t="e">
        <f t="shared" ref="E803:J803" si="130">+E96</f>
        <v>#REF!</v>
      </c>
      <c r="F803" s="520" t="e">
        <f t="shared" si="130"/>
        <v>#REF!</v>
      </c>
      <c r="G803" s="520" t="e">
        <f t="shared" si="130"/>
        <v>#REF!</v>
      </c>
      <c r="H803" s="520" t="e">
        <f t="shared" si="130"/>
        <v>#REF!</v>
      </c>
      <c r="I803" s="520" t="e">
        <f t="shared" si="130"/>
        <v>#REF!</v>
      </c>
      <c r="J803" s="520" t="e">
        <f t="shared" si="130"/>
        <v>#REF!</v>
      </c>
      <c r="K803" s="520" t="e">
        <f>+K96</f>
        <v>#REF!</v>
      </c>
      <c r="L803" s="520" t="e">
        <f>+L96</f>
        <v>#REF!</v>
      </c>
      <c r="M803" s="520" t="e">
        <f>+M96</f>
        <v>#REF!</v>
      </c>
    </row>
    <row r="804" spans="1:13" ht="15">
      <c r="A804" s="496"/>
      <c r="B804" s="496"/>
      <c r="C804" s="496"/>
      <c r="D804" s="496"/>
      <c r="E804" s="520"/>
      <c r="F804" s="520"/>
      <c r="G804" s="520"/>
      <c r="H804" s="520"/>
      <c r="I804" s="520"/>
      <c r="J804" s="520"/>
      <c r="K804" s="520"/>
      <c r="L804" s="520"/>
      <c r="M804" s="520"/>
    </row>
    <row r="805" spans="1:13" ht="15.75">
      <c r="A805" s="562" t="s">
        <v>347</v>
      </c>
      <c r="B805" s="496"/>
      <c r="C805" s="496"/>
      <c r="D805" s="496"/>
      <c r="E805" s="520" t="e">
        <f t="shared" ref="E805:J805" si="131">+E802+E803</f>
        <v>#REF!</v>
      </c>
      <c r="F805" s="520" t="e">
        <f t="shared" si="131"/>
        <v>#REF!</v>
      </c>
      <c r="G805" s="520" t="e">
        <f t="shared" si="131"/>
        <v>#REF!</v>
      </c>
      <c r="H805" s="520" t="e">
        <f t="shared" si="131"/>
        <v>#REF!</v>
      </c>
      <c r="I805" s="520" t="e">
        <f t="shared" si="131"/>
        <v>#REF!</v>
      </c>
      <c r="J805" s="520" t="e">
        <f t="shared" si="131"/>
        <v>#REF!</v>
      </c>
      <c r="K805" s="520" t="e">
        <f>+K802+K803</f>
        <v>#REF!</v>
      </c>
      <c r="L805" s="520" t="e">
        <f>+L802+L803</f>
        <v>#REF!</v>
      </c>
      <c r="M805" s="520" t="e">
        <f>+M802+M803</f>
        <v>#REF!</v>
      </c>
    </row>
    <row r="806" spans="1:13" ht="15">
      <c r="A806" s="496"/>
      <c r="B806" s="496"/>
      <c r="C806" s="496"/>
      <c r="D806" s="496"/>
      <c r="E806" s="520"/>
      <c r="F806" s="520"/>
      <c r="G806" s="520"/>
      <c r="H806" s="520"/>
      <c r="I806" s="520"/>
      <c r="J806" s="520"/>
      <c r="K806" s="520"/>
      <c r="L806" s="520"/>
      <c r="M806" s="520"/>
    </row>
    <row r="807" spans="1:13" ht="15.75">
      <c r="A807" s="496" t="s">
        <v>1246</v>
      </c>
      <c r="B807" s="496"/>
      <c r="C807" s="496"/>
      <c r="D807" s="496"/>
      <c r="E807" s="520">
        <f>+E672+15</f>
        <v>15</v>
      </c>
      <c r="F807" s="520" t="e">
        <f>+F672</f>
        <v>#REF!</v>
      </c>
      <c r="G807" s="520" t="e">
        <f>+G672</f>
        <v>#REF!</v>
      </c>
      <c r="H807" s="520" t="e">
        <f>+H672</f>
        <v>#REF!</v>
      </c>
      <c r="I807" s="520" t="e">
        <f>+I672</f>
        <v>#REF!</v>
      </c>
      <c r="J807" s="520" t="e">
        <f>+J672</f>
        <v>#REF!</v>
      </c>
      <c r="K807" s="520" t="e">
        <f>+L672</f>
        <v>#REF!</v>
      </c>
      <c r="L807" s="520" t="e">
        <f>+M672</f>
        <v>#REF!</v>
      </c>
      <c r="M807" s="520" t="e">
        <f>+N672</f>
        <v>#REF!</v>
      </c>
    </row>
    <row r="808" spans="1:13" ht="15">
      <c r="A808" s="496"/>
      <c r="B808" s="496"/>
      <c r="C808" s="496"/>
      <c r="D808" s="496"/>
      <c r="E808" s="534"/>
      <c r="F808" s="534"/>
      <c r="G808" s="534"/>
      <c r="H808" s="534"/>
      <c r="I808" s="534"/>
      <c r="J808" s="534"/>
      <c r="K808" s="534"/>
      <c r="L808" s="534"/>
      <c r="M808" s="534"/>
    </row>
    <row r="809" spans="1:13" ht="15">
      <c r="A809" s="496" t="s">
        <v>711</v>
      </c>
      <c r="B809" s="496"/>
      <c r="C809" s="496"/>
      <c r="D809" s="496"/>
      <c r="E809" s="520" t="e">
        <f t="shared" ref="E809:J809" si="132">+E803</f>
        <v>#REF!</v>
      </c>
      <c r="F809" s="520" t="e">
        <f t="shared" si="132"/>
        <v>#REF!</v>
      </c>
      <c r="G809" s="520" t="e">
        <f t="shared" si="132"/>
        <v>#REF!</v>
      </c>
      <c r="H809" s="520" t="e">
        <f t="shared" si="132"/>
        <v>#REF!</v>
      </c>
      <c r="I809" s="520" t="e">
        <f t="shared" si="132"/>
        <v>#REF!</v>
      </c>
      <c r="J809" s="520" t="e">
        <f t="shared" si="132"/>
        <v>#REF!</v>
      </c>
      <c r="K809" s="520" t="e">
        <f>+K803</f>
        <v>#REF!</v>
      </c>
      <c r="L809" s="520" t="e">
        <f>+L803</f>
        <v>#REF!</v>
      </c>
      <c r="M809" s="520" t="e">
        <f>+M803</f>
        <v>#REF!</v>
      </c>
    </row>
    <row r="810" spans="1:13" ht="15">
      <c r="A810" s="496"/>
      <c r="B810" s="496"/>
      <c r="C810" s="496"/>
      <c r="D810" s="496"/>
      <c r="E810" s="520"/>
      <c r="F810" s="520"/>
      <c r="G810" s="520"/>
      <c r="H810" s="520"/>
      <c r="I810" s="521"/>
      <c r="J810" s="521"/>
      <c r="K810" s="521"/>
      <c r="L810" s="521"/>
      <c r="M810" s="521"/>
    </row>
    <row r="811" spans="1:13" ht="15.75">
      <c r="A811" s="562" t="s">
        <v>347</v>
      </c>
      <c r="B811" s="496"/>
      <c r="C811" s="496"/>
      <c r="D811" s="496"/>
      <c r="E811" s="534" t="e">
        <f t="shared" ref="E811:L811" si="133">+F807+E809</f>
        <v>#REF!</v>
      </c>
      <c r="F811" s="534" t="e">
        <f t="shared" si="133"/>
        <v>#REF!</v>
      </c>
      <c r="G811" s="534" t="e">
        <f t="shared" si="133"/>
        <v>#REF!</v>
      </c>
      <c r="H811" s="534" t="e">
        <f t="shared" si="133"/>
        <v>#REF!</v>
      </c>
      <c r="I811" s="534" t="e">
        <f t="shared" si="133"/>
        <v>#REF!</v>
      </c>
      <c r="J811" s="534" t="e">
        <f t="shared" si="133"/>
        <v>#REF!</v>
      </c>
      <c r="K811" s="534" t="e">
        <f t="shared" si="133"/>
        <v>#REF!</v>
      </c>
      <c r="L811" s="534" t="e">
        <f t="shared" si="133"/>
        <v>#REF!</v>
      </c>
      <c r="M811" s="534" t="e">
        <f>+#REF!+M809</f>
        <v>#REF!</v>
      </c>
    </row>
    <row r="812" spans="1:13" ht="15.75">
      <c r="A812" s="562"/>
      <c r="B812" s="496"/>
      <c r="C812" s="496"/>
      <c r="D812" s="496"/>
      <c r="E812" s="534"/>
      <c r="F812" s="534"/>
      <c r="G812" s="534"/>
      <c r="H812" s="534"/>
      <c r="I812" s="568"/>
      <c r="J812" s="568"/>
      <c r="K812" s="568"/>
      <c r="L812" s="568"/>
      <c r="M812" s="568"/>
    </row>
    <row r="813" spans="1:13" ht="15">
      <c r="A813" s="496" t="s">
        <v>1247</v>
      </c>
      <c r="B813" s="496"/>
      <c r="C813" s="496"/>
      <c r="D813" s="496"/>
      <c r="E813" s="534" t="e">
        <f t="shared" ref="E813:J813" si="134">+E805/E811</f>
        <v>#REF!</v>
      </c>
      <c r="F813" s="534" t="e">
        <f t="shared" si="134"/>
        <v>#REF!</v>
      </c>
      <c r="G813" s="534" t="e">
        <f t="shared" si="134"/>
        <v>#REF!</v>
      </c>
      <c r="H813" s="534" t="e">
        <f t="shared" si="134"/>
        <v>#REF!</v>
      </c>
      <c r="I813" s="534" t="e">
        <f t="shared" si="134"/>
        <v>#REF!</v>
      </c>
      <c r="J813" s="534" t="e">
        <f t="shared" si="134"/>
        <v>#REF!</v>
      </c>
      <c r="K813" s="534" t="e">
        <f>+K805/K811</f>
        <v>#REF!</v>
      </c>
      <c r="L813" s="534" t="e">
        <f>+L805/L811</f>
        <v>#REF!</v>
      </c>
      <c r="M813" s="534" t="e">
        <f>+M805/M811</f>
        <v>#REF!</v>
      </c>
    </row>
    <row r="814" spans="1:13" ht="15">
      <c r="A814" s="496" t="s">
        <v>1248</v>
      </c>
      <c r="B814" s="496"/>
      <c r="C814" s="496"/>
      <c r="D814" s="496"/>
      <c r="E814" s="534" t="e">
        <f>AVERAGE(E813:K813)</f>
        <v>#REF!</v>
      </c>
      <c r="F814" s="496"/>
      <c r="G814" s="496"/>
      <c r="H814" s="496"/>
      <c r="I814" s="502"/>
      <c r="J814" s="502"/>
      <c r="K814" s="502"/>
      <c r="L814" s="502"/>
      <c r="M814" s="502"/>
    </row>
    <row r="815" spans="1:13" ht="15">
      <c r="A815" s="528"/>
      <c r="B815" s="528"/>
      <c r="C815" s="528"/>
      <c r="D815" s="528"/>
      <c r="E815" s="528"/>
      <c r="F815" s="528"/>
      <c r="G815" s="528"/>
      <c r="H815" s="528"/>
      <c r="I815" s="502"/>
      <c r="J815" s="502"/>
      <c r="K815" s="502"/>
      <c r="L815" s="502"/>
      <c r="M815" s="502"/>
    </row>
    <row r="816" spans="1:13" ht="15">
      <c r="A816" s="496"/>
      <c r="B816" s="496"/>
      <c r="C816" s="496"/>
      <c r="D816" s="496"/>
      <c r="E816" s="496"/>
      <c r="F816" s="496"/>
      <c r="G816" s="496"/>
      <c r="H816" s="496"/>
      <c r="I816" s="496"/>
      <c r="J816" s="502"/>
      <c r="K816" s="502"/>
      <c r="L816" s="502"/>
      <c r="M816" s="502"/>
    </row>
    <row r="817" spans="1:13" ht="15">
      <c r="A817" s="496"/>
      <c r="B817" s="496"/>
      <c r="C817" s="496"/>
      <c r="D817" s="496"/>
      <c r="E817" s="496"/>
      <c r="F817" s="496"/>
      <c r="G817" s="496"/>
      <c r="H817" s="496"/>
      <c r="I817" s="496"/>
      <c r="J817" s="502"/>
      <c r="K817" s="502"/>
      <c r="L817" s="502"/>
      <c r="M817" s="502"/>
    </row>
    <row r="818" spans="1:13" ht="15.75">
      <c r="A818" s="562" t="s">
        <v>1249</v>
      </c>
      <c r="B818" s="496"/>
      <c r="C818" s="496"/>
      <c r="D818" s="496"/>
      <c r="E818" s="496"/>
      <c r="F818" s="496"/>
      <c r="G818" s="496"/>
      <c r="H818" s="496"/>
      <c r="I818" s="496"/>
      <c r="J818" s="502"/>
      <c r="K818" s="502"/>
      <c r="L818" s="502"/>
      <c r="M818" s="502"/>
    </row>
    <row r="819" spans="1:13" ht="15.75">
      <c r="A819" s="562"/>
      <c r="B819" s="496"/>
      <c r="C819" s="496"/>
      <c r="D819" s="496"/>
      <c r="E819" s="496"/>
      <c r="F819" s="496"/>
      <c r="G819" s="496"/>
      <c r="H819" s="496"/>
      <c r="I819" s="496"/>
      <c r="J819" s="502"/>
      <c r="K819" s="502"/>
      <c r="L819" s="502"/>
      <c r="M819" s="502"/>
    </row>
    <row r="820" spans="1:13" s="7" customFormat="1">
      <c r="A820" s="525"/>
      <c r="B820" s="525"/>
      <c r="C820" s="525"/>
      <c r="D820" s="525"/>
      <c r="E820" s="564" t="e">
        <f t="shared" ref="E820:J821" si="135">+E786</f>
        <v>#REF!</v>
      </c>
      <c r="F820" s="564" t="e">
        <f t="shared" si="135"/>
        <v>#REF!</v>
      </c>
      <c r="G820" s="564" t="e">
        <f t="shared" si="135"/>
        <v>#REF!</v>
      </c>
      <c r="H820" s="564" t="e">
        <f t="shared" si="135"/>
        <v>#REF!</v>
      </c>
      <c r="I820" s="564" t="e">
        <f t="shared" si="135"/>
        <v>#REF!</v>
      </c>
      <c r="J820" s="564" t="e">
        <f t="shared" si="135"/>
        <v>#REF!</v>
      </c>
      <c r="K820" s="564" t="e">
        <f t="shared" ref="K820:M821" si="136">+K786</f>
        <v>#REF!</v>
      </c>
      <c r="L820" s="564" t="e">
        <f t="shared" si="136"/>
        <v>#REF!</v>
      </c>
      <c r="M820" s="564" t="e">
        <f t="shared" si="136"/>
        <v>#REF!</v>
      </c>
    </row>
    <row r="821" spans="1:13" ht="15">
      <c r="A821" s="528"/>
      <c r="B821" s="528"/>
      <c r="C821" s="528"/>
      <c r="D821" s="528"/>
      <c r="E821" s="570" t="str">
        <f>+F821</f>
        <v>(Pro.)</v>
      </c>
      <c r="F821" s="570" t="str">
        <f t="shared" si="135"/>
        <v>(Pro.)</v>
      </c>
      <c r="G821" s="570" t="str">
        <f t="shared" si="135"/>
        <v>(Pro.)</v>
      </c>
      <c r="H821" s="570" t="str">
        <f t="shared" si="135"/>
        <v>(Pro.)</v>
      </c>
      <c r="I821" s="570" t="str">
        <f t="shared" si="135"/>
        <v>(Pro.)</v>
      </c>
      <c r="J821" s="570" t="str">
        <f>+J787</f>
        <v>(Pro.)</v>
      </c>
      <c r="K821" s="570" t="str">
        <f t="shared" si="136"/>
        <v>(Pro.)</v>
      </c>
      <c r="L821" s="570" t="str">
        <f t="shared" si="136"/>
        <v>(Pro.)</v>
      </c>
      <c r="M821" s="570" t="str">
        <f t="shared" si="136"/>
        <v>(Pro.)</v>
      </c>
    </row>
    <row r="822" spans="1:13" ht="15">
      <c r="A822" s="502"/>
      <c r="B822" s="502"/>
      <c r="C822" s="502"/>
      <c r="D822" s="502"/>
      <c r="E822" s="566"/>
      <c r="F822" s="566"/>
      <c r="G822" s="566"/>
      <c r="H822" s="566"/>
      <c r="I822" s="566"/>
      <c r="J822" s="566"/>
      <c r="K822" s="566"/>
      <c r="L822" s="566"/>
      <c r="M822" s="566"/>
    </row>
    <row r="823" spans="1:13" ht="15">
      <c r="A823" s="496" t="s">
        <v>1250</v>
      </c>
      <c r="B823" s="496"/>
      <c r="C823" s="496"/>
      <c r="D823" s="496"/>
      <c r="E823" s="520" t="e">
        <f t="shared" ref="E823:J823" si="137">+E475</f>
        <v>#REF!</v>
      </c>
      <c r="F823" s="520" t="e">
        <f t="shared" si="137"/>
        <v>#REF!</v>
      </c>
      <c r="G823" s="520" t="e">
        <f t="shared" si="137"/>
        <v>#REF!</v>
      </c>
      <c r="H823" s="520" t="e">
        <f t="shared" si="137"/>
        <v>#REF!</v>
      </c>
      <c r="I823" s="520" t="e">
        <f t="shared" si="137"/>
        <v>#REF!</v>
      </c>
      <c r="J823" s="520" t="e">
        <f t="shared" si="137"/>
        <v>#REF!</v>
      </c>
      <c r="K823" s="520" t="e">
        <f>+K475</f>
        <v>#REF!</v>
      </c>
      <c r="L823" s="520" t="e">
        <f>+L475</f>
        <v>#REF!</v>
      </c>
      <c r="M823" s="520" t="e">
        <f>+M475</f>
        <v>#REF!</v>
      </c>
    </row>
    <row r="824" spans="1:13" ht="15">
      <c r="A824" s="496" t="s">
        <v>1251</v>
      </c>
      <c r="B824" s="496"/>
      <c r="C824" s="496"/>
      <c r="D824" s="496"/>
      <c r="E824" s="520" t="e">
        <f t="shared" ref="E824:J824" si="138">+E201</f>
        <v>#REF!</v>
      </c>
      <c r="F824" s="520" t="e">
        <f t="shared" si="138"/>
        <v>#REF!</v>
      </c>
      <c r="G824" s="520" t="e">
        <f t="shared" si="138"/>
        <v>#REF!</v>
      </c>
      <c r="H824" s="520" t="e">
        <f t="shared" si="138"/>
        <v>#REF!</v>
      </c>
      <c r="I824" s="520" t="e">
        <f t="shared" si="138"/>
        <v>#REF!</v>
      </c>
      <c r="J824" s="520" t="e">
        <f t="shared" si="138"/>
        <v>#REF!</v>
      </c>
      <c r="K824" s="520" t="e">
        <f>+K201</f>
        <v>#REF!</v>
      </c>
      <c r="L824" s="520" t="e">
        <f>+L201</f>
        <v>#REF!</v>
      </c>
      <c r="M824" s="520" t="e">
        <f>+M201</f>
        <v>#REF!</v>
      </c>
    </row>
    <row r="825" spans="1:13" ht="15">
      <c r="A825" s="496" t="s">
        <v>1167</v>
      </c>
      <c r="B825" s="496"/>
      <c r="C825" s="496"/>
      <c r="D825" s="496"/>
      <c r="E825" s="534" t="e">
        <f t="shared" ref="E825:J825" si="139">+E823-E824</f>
        <v>#REF!</v>
      </c>
      <c r="F825" s="534" t="e">
        <f t="shared" si="139"/>
        <v>#REF!</v>
      </c>
      <c r="G825" s="534" t="e">
        <f t="shared" si="139"/>
        <v>#REF!</v>
      </c>
      <c r="H825" s="534" t="e">
        <f t="shared" si="139"/>
        <v>#REF!</v>
      </c>
      <c r="I825" s="534" t="e">
        <f t="shared" si="139"/>
        <v>#REF!</v>
      </c>
      <c r="J825" s="534" t="e">
        <f t="shared" si="139"/>
        <v>#REF!</v>
      </c>
      <c r="K825" s="534" t="e">
        <f>+K823-K824</f>
        <v>#REF!</v>
      </c>
      <c r="L825" s="534" t="e">
        <f>+L823-L824</f>
        <v>#REF!</v>
      </c>
      <c r="M825" s="534" t="e">
        <f>+M823-M824</f>
        <v>#REF!</v>
      </c>
    </row>
    <row r="826" spans="1:13" ht="15">
      <c r="A826" s="496" t="s">
        <v>1252</v>
      </c>
      <c r="B826" s="496"/>
      <c r="C826" s="496"/>
      <c r="D826" s="496"/>
      <c r="E826" s="520" t="e">
        <f t="shared" ref="E826:J826" si="140">+E353</f>
        <v>#REF!</v>
      </c>
      <c r="F826" s="520" t="e">
        <f t="shared" si="140"/>
        <v>#REF!</v>
      </c>
      <c r="G826" s="520" t="e">
        <f t="shared" si="140"/>
        <v>#REF!</v>
      </c>
      <c r="H826" s="520" t="e">
        <f t="shared" si="140"/>
        <v>#REF!</v>
      </c>
      <c r="I826" s="520" t="e">
        <f t="shared" si="140"/>
        <v>#REF!</v>
      </c>
      <c r="J826" s="520" t="e">
        <f t="shared" si="140"/>
        <v>#REF!</v>
      </c>
      <c r="K826" s="520" t="e">
        <f>+K353</f>
        <v>#REF!</v>
      </c>
      <c r="L826" s="520" t="e">
        <f>+L353</f>
        <v>#REF!</v>
      </c>
      <c r="M826" s="520" t="e">
        <f>+M353</f>
        <v>#REF!</v>
      </c>
    </row>
    <row r="827" spans="1:13" ht="15">
      <c r="A827" s="496" t="s">
        <v>1253</v>
      </c>
      <c r="B827" s="496"/>
      <c r="C827" s="496"/>
      <c r="D827" s="496"/>
      <c r="E827" s="520" t="e">
        <f t="shared" ref="E827:J827" si="141">+E173</f>
        <v>#REF!</v>
      </c>
      <c r="F827" s="520" t="e">
        <f t="shared" si="141"/>
        <v>#REF!</v>
      </c>
      <c r="G827" s="520" t="e">
        <f t="shared" si="141"/>
        <v>#REF!</v>
      </c>
      <c r="H827" s="520" t="e">
        <f t="shared" si="141"/>
        <v>#REF!</v>
      </c>
      <c r="I827" s="520" t="e">
        <f t="shared" si="141"/>
        <v>#REF!</v>
      </c>
      <c r="J827" s="520" t="e">
        <f t="shared" si="141"/>
        <v>#REF!</v>
      </c>
      <c r="K827" s="520" t="e">
        <f>+K173</f>
        <v>#REF!</v>
      </c>
      <c r="L827" s="520" t="e">
        <f>+L173</f>
        <v>#REF!</v>
      </c>
      <c r="M827" s="520" t="e">
        <f>+M173</f>
        <v>#REF!</v>
      </c>
    </row>
    <row r="828" spans="1:13" ht="15">
      <c r="A828" s="496" t="s">
        <v>1254</v>
      </c>
      <c r="B828" s="496"/>
      <c r="C828" s="496"/>
      <c r="D828" s="496"/>
      <c r="E828" s="578" t="e">
        <f t="shared" ref="E828:J828" si="142">+E826/E823</f>
        <v>#REF!</v>
      </c>
      <c r="F828" s="578" t="e">
        <f t="shared" si="142"/>
        <v>#REF!</v>
      </c>
      <c r="G828" s="578" t="e">
        <f t="shared" si="142"/>
        <v>#REF!</v>
      </c>
      <c r="H828" s="578" t="e">
        <f t="shared" si="142"/>
        <v>#REF!</v>
      </c>
      <c r="I828" s="578" t="e">
        <f t="shared" si="142"/>
        <v>#REF!</v>
      </c>
      <c r="J828" s="578" t="e">
        <f t="shared" si="142"/>
        <v>#REF!</v>
      </c>
      <c r="K828" s="578" t="e">
        <f>+K826/K823</f>
        <v>#REF!</v>
      </c>
      <c r="L828" s="578" t="e">
        <f>+L826/L823</f>
        <v>#REF!</v>
      </c>
      <c r="M828" s="578" t="e">
        <f>+M826/M823</f>
        <v>#REF!</v>
      </c>
    </row>
    <row r="829" spans="1:13" ht="15">
      <c r="A829" s="496" t="s">
        <v>1255</v>
      </c>
      <c r="B829" s="496"/>
      <c r="C829" s="496"/>
      <c r="D829" s="496"/>
      <c r="E829" s="578" t="e">
        <f t="shared" ref="E829:J829" si="143">+E827/E823</f>
        <v>#REF!</v>
      </c>
      <c r="F829" s="578" t="e">
        <f t="shared" si="143"/>
        <v>#REF!</v>
      </c>
      <c r="G829" s="578" t="e">
        <f t="shared" si="143"/>
        <v>#REF!</v>
      </c>
      <c r="H829" s="578" t="e">
        <f t="shared" si="143"/>
        <v>#REF!</v>
      </c>
      <c r="I829" s="578" t="e">
        <f t="shared" si="143"/>
        <v>#REF!</v>
      </c>
      <c r="J829" s="578" t="e">
        <f t="shared" si="143"/>
        <v>#REF!</v>
      </c>
      <c r="K829" s="578" t="e">
        <f>+K827/K823</f>
        <v>#REF!</v>
      </c>
      <c r="L829" s="578" t="e">
        <f>+L827/L823</f>
        <v>#REF!</v>
      </c>
      <c r="M829" s="578" t="e">
        <f>+M827/M823</f>
        <v>#REF!</v>
      </c>
    </row>
    <row r="830" spans="1:13" ht="15">
      <c r="A830" s="496" t="s">
        <v>1256</v>
      </c>
      <c r="B830" s="496"/>
      <c r="C830" s="496"/>
      <c r="D830" s="496"/>
      <c r="E830" s="578" t="e">
        <f t="shared" ref="E830:J830" si="144">+E824/E823</f>
        <v>#REF!</v>
      </c>
      <c r="F830" s="578" t="e">
        <f t="shared" si="144"/>
        <v>#REF!</v>
      </c>
      <c r="G830" s="578" t="e">
        <f t="shared" si="144"/>
        <v>#REF!</v>
      </c>
      <c r="H830" s="578" t="e">
        <f t="shared" si="144"/>
        <v>#REF!</v>
      </c>
      <c r="I830" s="578" t="e">
        <f t="shared" si="144"/>
        <v>#REF!</v>
      </c>
      <c r="J830" s="578" t="e">
        <f t="shared" si="144"/>
        <v>#REF!</v>
      </c>
      <c r="K830" s="578" t="e">
        <f>+K824/K823</f>
        <v>#REF!</v>
      </c>
      <c r="L830" s="578" t="e">
        <f>+L824/L823</f>
        <v>#REF!</v>
      </c>
      <c r="M830" s="578" t="e">
        <f>+M824/M823</f>
        <v>#REF!</v>
      </c>
    </row>
    <row r="831" spans="1:13" ht="15">
      <c r="A831" s="496" t="s">
        <v>1172</v>
      </c>
      <c r="B831" s="496"/>
      <c r="C831" s="496"/>
      <c r="D831" s="496"/>
      <c r="E831" s="578" t="e">
        <f t="shared" ref="E831:J831" si="145">+E184/E823</f>
        <v>#REF!</v>
      </c>
      <c r="F831" s="578" t="e">
        <f t="shared" si="145"/>
        <v>#REF!</v>
      </c>
      <c r="G831" s="578" t="e">
        <f t="shared" si="145"/>
        <v>#REF!</v>
      </c>
      <c r="H831" s="578" t="e">
        <f t="shared" si="145"/>
        <v>#REF!</v>
      </c>
      <c r="I831" s="578" t="e">
        <f t="shared" si="145"/>
        <v>#REF!</v>
      </c>
      <c r="J831" s="578" t="e">
        <f t="shared" si="145"/>
        <v>#REF!</v>
      </c>
      <c r="K831" s="578" t="e">
        <f>+K184/K823</f>
        <v>#REF!</v>
      </c>
      <c r="L831" s="578" t="e">
        <f>+L184/L823</f>
        <v>#REF!</v>
      </c>
      <c r="M831" s="578" t="e">
        <f>+M184/M823</f>
        <v>#REF!</v>
      </c>
    </row>
    <row r="832" spans="1:13" ht="15">
      <c r="A832" s="496" t="s">
        <v>1257</v>
      </c>
      <c r="B832" s="496"/>
      <c r="C832" s="496"/>
      <c r="D832" s="496"/>
      <c r="E832" s="579" t="e">
        <f t="shared" ref="E832:K832" si="146">(E303+E299+E295)/E29*365</f>
        <v>#REF!</v>
      </c>
      <c r="F832" s="579" t="e">
        <f t="shared" si="146"/>
        <v>#REF!</v>
      </c>
      <c r="G832" s="579" t="e">
        <f t="shared" si="146"/>
        <v>#REF!</v>
      </c>
      <c r="H832" s="579" t="e">
        <f t="shared" si="146"/>
        <v>#REF!</v>
      </c>
      <c r="I832" s="579" t="e">
        <f t="shared" si="146"/>
        <v>#REF!</v>
      </c>
      <c r="J832" s="579" t="e">
        <f t="shared" si="146"/>
        <v>#REF!</v>
      </c>
      <c r="K832" s="579" t="e">
        <f t="shared" si="146"/>
        <v>#REF!</v>
      </c>
      <c r="L832" s="579" t="e">
        <f>(L303+L299+L295)/L29*365</f>
        <v>#REF!</v>
      </c>
      <c r="M832" s="579" t="e">
        <f>(M303+M299+M295)/M29*365</f>
        <v>#REF!</v>
      </c>
    </row>
    <row r="833" spans="1:13" ht="15">
      <c r="A833" s="496" t="s">
        <v>1258</v>
      </c>
      <c r="B833" s="496"/>
      <c r="C833" s="496"/>
      <c r="D833" s="496"/>
      <c r="E833" s="579" t="e">
        <f t="shared" ref="E833:K833" si="147">+E451/E18*365</f>
        <v>#REF!</v>
      </c>
      <c r="F833" s="579" t="e">
        <f t="shared" si="147"/>
        <v>#REF!</v>
      </c>
      <c r="G833" s="579" t="e">
        <f t="shared" si="147"/>
        <v>#REF!</v>
      </c>
      <c r="H833" s="579" t="e">
        <f t="shared" si="147"/>
        <v>#REF!</v>
      </c>
      <c r="I833" s="579" t="e">
        <f t="shared" si="147"/>
        <v>#REF!</v>
      </c>
      <c r="J833" s="579" t="e">
        <f t="shared" si="147"/>
        <v>#REF!</v>
      </c>
      <c r="K833" s="579" t="e">
        <f t="shared" si="147"/>
        <v>#REF!</v>
      </c>
      <c r="L833" s="579" t="e">
        <f>+L451/L18*365</f>
        <v>#REF!</v>
      </c>
      <c r="M833" s="579" t="e">
        <f>+M451/M18*365</f>
        <v>#REF!</v>
      </c>
    </row>
    <row r="834" spans="1:13" ht="15">
      <c r="A834" s="496" t="s">
        <v>1259</v>
      </c>
      <c r="B834" s="496"/>
      <c r="C834" s="496"/>
      <c r="D834" s="496"/>
      <c r="E834" s="579" t="e">
        <f t="shared" ref="E834:K834" si="148">+E184*365/(E42)</f>
        <v>#REF!</v>
      </c>
      <c r="F834" s="579" t="e">
        <f t="shared" si="148"/>
        <v>#REF!</v>
      </c>
      <c r="G834" s="579" t="e">
        <f t="shared" si="148"/>
        <v>#REF!</v>
      </c>
      <c r="H834" s="579" t="e">
        <f t="shared" si="148"/>
        <v>#REF!</v>
      </c>
      <c r="I834" s="579" t="e">
        <f t="shared" si="148"/>
        <v>#REF!</v>
      </c>
      <c r="J834" s="579" t="e">
        <f t="shared" si="148"/>
        <v>#REF!</v>
      </c>
      <c r="K834" s="579" t="e">
        <f t="shared" si="148"/>
        <v>#REF!</v>
      </c>
      <c r="L834" s="579" t="e">
        <f>+L184*365/(L42)</f>
        <v>#REF!</v>
      </c>
      <c r="M834" s="579" t="e">
        <f>+M184*365/(M42)</f>
        <v>#REF!</v>
      </c>
    </row>
    <row r="835" spans="1:13" ht="15">
      <c r="A835" s="528"/>
      <c r="B835" s="528"/>
      <c r="C835" s="528"/>
      <c r="D835" s="528"/>
      <c r="E835" s="580"/>
      <c r="F835" s="580"/>
      <c r="G835" s="580"/>
      <c r="H835" s="580"/>
      <c r="I835" s="580"/>
      <c r="J835" s="580"/>
      <c r="K835" s="580"/>
      <c r="L835" s="580"/>
      <c r="M835" s="580"/>
    </row>
    <row r="836" spans="1:13" ht="15">
      <c r="A836" s="496"/>
      <c r="B836" s="496"/>
      <c r="C836" s="496"/>
      <c r="D836" s="496"/>
      <c r="E836" s="496"/>
      <c r="F836" s="496"/>
      <c r="G836" s="496"/>
      <c r="H836" s="496"/>
      <c r="I836" s="496"/>
      <c r="J836" s="502"/>
      <c r="K836" s="502"/>
      <c r="L836" s="502"/>
      <c r="M836" s="502"/>
    </row>
    <row r="837" spans="1:13" ht="15.75">
      <c r="A837" s="562" t="s">
        <v>1260</v>
      </c>
      <c r="B837" s="496"/>
      <c r="C837" s="496"/>
      <c r="D837" s="496"/>
      <c r="E837" s="496"/>
      <c r="F837" s="496"/>
      <c r="G837" s="496"/>
      <c r="H837" s="496"/>
      <c r="I837" s="496"/>
      <c r="J837" s="502"/>
      <c r="K837" s="502"/>
      <c r="L837" s="502"/>
      <c r="M837" s="502"/>
    </row>
    <row r="838" spans="1:13" ht="6.75" customHeight="1">
      <c r="A838" s="562"/>
      <c r="B838" s="496"/>
      <c r="C838" s="496"/>
      <c r="D838" s="496"/>
      <c r="E838" s="496"/>
      <c r="F838" s="496"/>
      <c r="G838" s="496"/>
      <c r="H838" s="496"/>
      <c r="I838" s="496"/>
      <c r="J838" s="502"/>
      <c r="K838" s="502"/>
      <c r="L838" s="502"/>
      <c r="M838" s="502"/>
    </row>
    <row r="839" spans="1:13" ht="15.75">
      <c r="A839" s="571"/>
      <c r="B839" s="571"/>
      <c r="C839" s="571"/>
      <c r="D839" s="571"/>
      <c r="E839" s="572" t="e">
        <f t="shared" ref="E839:J839" si="149">+E820</f>
        <v>#REF!</v>
      </c>
      <c r="F839" s="572" t="e">
        <f t="shared" si="149"/>
        <v>#REF!</v>
      </c>
      <c r="G839" s="572" t="e">
        <f t="shared" si="149"/>
        <v>#REF!</v>
      </c>
      <c r="H839" s="572" t="e">
        <f t="shared" si="149"/>
        <v>#REF!</v>
      </c>
      <c r="I839" s="572" t="e">
        <f t="shared" si="149"/>
        <v>#REF!</v>
      </c>
      <c r="J839" s="572" t="e">
        <f t="shared" si="149"/>
        <v>#REF!</v>
      </c>
      <c r="K839" s="572" t="e">
        <f>+K820</f>
        <v>#REF!</v>
      </c>
      <c r="L839" s="572" t="e">
        <f>+L820</f>
        <v>#REF!</v>
      </c>
      <c r="M839" s="572" t="e">
        <f>+M820</f>
        <v>#REF!</v>
      </c>
    </row>
    <row r="840" spans="1:13" ht="15">
      <c r="A840" s="528"/>
      <c r="B840" s="528"/>
      <c r="C840" s="528"/>
      <c r="D840" s="528"/>
      <c r="E840" s="570" t="str">
        <f>+F821</f>
        <v>(Pro.)</v>
      </c>
      <c r="F840" s="570" t="str">
        <f>+G821</f>
        <v>(Pro.)</v>
      </c>
      <c r="G840" s="570" t="str">
        <f>+H821</f>
        <v>(Pro.)</v>
      </c>
      <c r="H840" s="570" t="str">
        <f>+I821</f>
        <v>(Pro.)</v>
      </c>
      <c r="I840" s="570" t="str">
        <f>+H840</f>
        <v>(Pro.)</v>
      </c>
      <c r="J840" s="570" t="str">
        <f>+I840</f>
        <v>(Pro.)</v>
      </c>
      <c r="K840" s="570" t="str">
        <f>+J840</f>
        <v>(Pro.)</v>
      </c>
      <c r="L840" s="570" t="str">
        <f>+K840</f>
        <v>(Pro.)</v>
      </c>
      <c r="M840" s="570" t="str">
        <f>+L840</f>
        <v>(Pro.)</v>
      </c>
    </row>
    <row r="841" spans="1:13" ht="5.25" customHeight="1">
      <c r="A841" s="502"/>
      <c r="B841" s="502"/>
      <c r="C841" s="502"/>
      <c r="D841" s="502"/>
      <c r="E841" s="566"/>
      <c r="F841" s="566"/>
      <c r="G841" s="566"/>
      <c r="H841" s="566"/>
      <c r="I841" s="566"/>
      <c r="J841" s="566"/>
      <c r="K841" s="566"/>
      <c r="L841" s="566"/>
      <c r="M841" s="566"/>
    </row>
    <row r="842" spans="1:13" ht="15">
      <c r="A842" s="496" t="s">
        <v>1261</v>
      </c>
      <c r="B842" s="496"/>
      <c r="C842" s="496"/>
      <c r="D842" s="496"/>
      <c r="E842" s="520" t="e">
        <f t="shared" ref="E842:J842" si="150">+E318</f>
        <v>#REF!</v>
      </c>
      <c r="F842" s="520" t="e">
        <f t="shared" si="150"/>
        <v>#REF!</v>
      </c>
      <c r="G842" s="520" t="e">
        <f t="shared" si="150"/>
        <v>#REF!</v>
      </c>
      <c r="H842" s="520" t="e">
        <f t="shared" si="150"/>
        <v>#REF!</v>
      </c>
      <c r="I842" s="520" t="e">
        <f t="shared" si="150"/>
        <v>#REF!</v>
      </c>
      <c r="J842" s="520" t="e">
        <f t="shared" si="150"/>
        <v>#REF!</v>
      </c>
      <c r="K842" s="520" t="e">
        <f>+K318</f>
        <v>#REF!</v>
      </c>
      <c r="L842" s="520" t="e">
        <f>+L318</f>
        <v>#REF!</v>
      </c>
      <c r="M842" s="520" t="e">
        <f>+M318</f>
        <v>#REF!</v>
      </c>
    </row>
    <row r="843" spans="1:13" ht="15">
      <c r="A843" s="496" t="s">
        <v>1262</v>
      </c>
      <c r="B843" s="496"/>
      <c r="C843" s="496"/>
      <c r="D843" s="496"/>
      <c r="E843" s="534" t="e">
        <f t="shared" ref="E843:J843" si="151">+E225-E223+E196</f>
        <v>#REF!</v>
      </c>
      <c r="F843" s="534" t="e">
        <f t="shared" si="151"/>
        <v>#REF!</v>
      </c>
      <c r="G843" s="534" t="e">
        <f t="shared" si="151"/>
        <v>#REF!</v>
      </c>
      <c r="H843" s="534" t="e">
        <f t="shared" si="151"/>
        <v>#REF!</v>
      </c>
      <c r="I843" s="534" t="e">
        <f t="shared" si="151"/>
        <v>#REF!</v>
      </c>
      <c r="J843" s="534" t="e">
        <f t="shared" si="151"/>
        <v>#REF!</v>
      </c>
      <c r="K843" s="534" t="e">
        <f>+K225-K223+K196</f>
        <v>#REF!</v>
      </c>
      <c r="L843" s="534" t="e">
        <f>+L225-L223+L196</f>
        <v>#REF!</v>
      </c>
      <c r="M843" s="534" t="e">
        <f>+M225-M223+M196</f>
        <v>#REF!</v>
      </c>
    </row>
    <row r="844" spans="1:13" ht="15">
      <c r="A844" s="496" t="s">
        <v>1263</v>
      </c>
      <c r="B844" s="496"/>
      <c r="C844" s="496"/>
      <c r="D844" s="496"/>
      <c r="E844" s="520" t="e">
        <f t="shared" ref="E844:J844" si="152">+E842-E843</f>
        <v>#REF!</v>
      </c>
      <c r="F844" s="520" t="e">
        <f t="shared" si="152"/>
        <v>#REF!</v>
      </c>
      <c r="G844" s="520" t="e">
        <f t="shared" si="152"/>
        <v>#REF!</v>
      </c>
      <c r="H844" s="520" t="e">
        <f t="shared" si="152"/>
        <v>#REF!</v>
      </c>
      <c r="I844" s="520" t="e">
        <f t="shared" si="152"/>
        <v>#REF!</v>
      </c>
      <c r="J844" s="520" t="e">
        <f t="shared" si="152"/>
        <v>#REF!</v>
      </c>
      <c r="K844" s="520" t="e">
        <f>+K842-K843</f>
        <v>#REF!</v>
      </c>
      <c r="L844" s="520" t="e">
        <f>+L842-L843</f>
        <v>#REF!</v>
      </c>
      <c r="M844" s="520" t="e">
        <f>+M842-M843</f>
        <v>#REF!</v>
      </c>
    </row>
    <row r="845" spans="1:13" ht="15">
      <c r="A845" s="496" t="s">
        <v>1264</v>
      </c>
      <c r="B845" s="496"/>
      <c r="C845" s="496"/>
      <c r="D845" s="496"/>
      <c r="E845" s="578" t="e">
        <f t="shared" ref="E845:J845" si="153">ROUND(+E844/E842,2)</f>
        <v>#REF!</v>
      </c>
      <c r="F845" s="578" t="e">
        <f t="shared" si="153"/>
        <v>#REF!</v>
      </c>
      <c r="G845" s="578" t="e">
        <f t="shared" si="153"/>
        <v>#REF!</v>
      </c>
      <c r="H845" s="578" t="e">
        <f t="shared" si="153"/>
        <v>#REF!</v>
      </c>
      <c r="I845" s="578" t="e">
        <f t="shared" si="153"/>
        <v>#REF!</v>
      </c>
      <c r="J845" s="578" t="e">
        <f t="shared" si="153"/>
        <v>#REF!</v>
      </c>
      <c r="K845" s="578" t="e">
        <f>ROUND(+K844/K842,2)</f>
        <v>#REF!</v>
      </c>
      <c r="L845" s="578" t="e">
        <f>ROUND(+L844/L842,2)</f>
        <v>#REF!</v>
      </c>
      <c r="M845" s="578" t="e">
        <f>ROUND(+M844/M842,2)</f>
        <v>#REF!</v>
      </c>
    </row>
    <row r="846" spans="1:13" ht="15">
      <c r="A846" s="528"/>
      <c r="B846" s="528"/>
      <c r="C846" s="528"/>
      <c r="D846" s="528"/>
      <c r="E846" s="528"/>
      <c r="F846" s="528"/>
      <c r="G846" s="528"/>
      <c r="H846" s="528"/>
      <c r="I846" s="528"/>
      <c r="J846" s="528"/>
      <c r="K846" s="528"/>
      <c r="L846" s="528"/>
      <c r="M846" s="528"/>
    </row>
    <row r="847" spans="1:13" ht="3.75" customHeight="1">
      <c r="A847" s="496"/>
      <c r="B847" s="496"/>
      <c r="C847" s="496"/>
      <c r="D847" s="496"/>
      <c r="E847" s="496"/>
      <c r="F847" s="496"/>
      <c r="G847" s="496"/>
      <c r="H847" s="496"/>
      <c r="I847" s="496"/>
      <c r="J847" s="502"/>
      <c r="K847" s="502"/>
      <c r="L847" s="502"/>
      <c r="M847" s="502"/>
    </row>
    <row r="848" spans="1:13" ht="15">
      <c r="A848" s="528"/>
      <c r="B848" s="528"/>
      <c r="C848" s="528"/>
      <c r="D848" s="528"/>
      <c r="E848" s="528"/>
      <c r="F848" s="528"/>
      <c r="G848" s="528"/>
      <c r="H848" s="528"/>
      <c r="I848" s="528"/>
      <c r="J848" s="502"/>
      <c r="K848" s="502"/>
      <c r="L848" s="502"/>
      <c r="M848" s="502"/>
    </row>
    <row r="849" spans="1:13" ht="15">
      <c r="A849" s="496"/>
      <c r="B849" s="496"/>
      <c r="C849" s="496"/>
      <c r="D849" s="496"/>
      <c r="E849" s="496"/>
      <c r="F849" s="496"/>
      <c r="G849" s="496"/>
      <c r="H849" s="496"/>
      <c r="I849" s="496"/>
      <c r="J849" s="502"/>
      <c r="K849" s="502"/>
      <c r="L849" s="502"/>
      <c r="M849" s="502"/>
    </row>
    <row r="850" spans="1:13" ht="15.75" hidden="1">
      <c r="A850" s="562" t="s">
        <v>1265</v>
      </c>
      <c r="B850" s="496"/>
      <c r="C850" s="496"/>
      <c r="D850" s="496"/>
      <c r="E850" s="496"/>
      <c r="F850" s="496"/>
      <c r="G850" s="496"/>
      <c r="H850" s="496"/>
      <c r="I850" s="496"/>
      <c r="J850" s="502"/>
      <c r="K850" s="502"/>
      <c r="L850" s="502"/>
      <c r="M850" s="502"/>
    </row>
    <row r="851" spans="1:13" ht="15" hidden="1">
      <c r="A851" s="496"/>
      <c r="B851" s="496"/>
      <c r="C851" s="496"/>
      <c r="D851" s="496"/>
      <c r="E851" s="496"/>
      <c r="F851" s="496"/>
      <c r="G851" s="496"/>
      <c r="H851" s="496"/>
      <c r="I851" s="496"/>
      <c r="J851" s="502"/>
      <c r="K851" s="502"/>
      <c r="L851" s="502"/>
      <c r="M851" s="502"/>
    </row>
    <row r="852" spans="1:13" ht="15.75" hidden="1">
      <c r="A852" s="581" t="s">
        <v>1266</v>
      </c>
      <c r="B852" s="581"/>
      <c r="C852" s="581"/>
      <c r="D852" s="581"/>
      <c r="E852" s="581" t="s">
        <v>1267</v>
      </c>
      <c r="F852" s="581"/>
      <c r="G852" s="581" t="s">
        <v>1268</v>
      </c>
      <c r="H852" s="581"/>
      <c r="I852" s="496"/>
      <c r="J852" s="502"/>
      <c r="K852" s="502"/>
      <c r="L852" s="502"/>
      <c r="M852" s="502"/>
    </row>
    <row r="853" spans="1:13" ht="15.75" hidden="1">
      <c r="A853" s="582"/>
      <c r="B853" s="582"/>
      <c r="C853" s="582"/>
      <c r="D853" s="582"/>
      <c r="E853" s="582"/>
      <c r="F853" s="582"/>
      <c r="G853" s="582" t="s">
        <v>1269</v>
      </c>
      <c r="H853" s="582"/>
      <c r="I853" s="496"/>
      <c r="J853" s="502"/>
      <c r="K853" s="502"/>
      <c r="L853" s="502"/>
      <c r="M853" s="502"/>
    </row>
    <row r="854" spans="1:13" ht="15" hidden="1">
      <c r="A854" s="496"/>
      <c r="B854" s="496"/>
      <c r="C854" s="496"/>
      <c r="D854" s="496"/>
      <c r="E854" s="496"/>
      <c r="F854" s="496"/>
      <c r="G854" s="496"/>
      <c r="H854" s="496"/>
      <c r="I854" s="496"/>
      <c r="J854" s="502"/>
      <c r="K854" s="502"/>
      <c r="L854" s="502"/>
      <c r="M854" s="502"/>
    </row>
    <row r="855" spans="1:13" ht="15" hidden="1">
      <c r="A855" s="496" t="s">
        <v>1270</v>
      </c>
      <c r="B855" s="496"/>
      <c r="C855" s="496"/>
      <c r="D855" s="496"/>
      <c r="E855" s="496">
        <v>1.33</v>
      </c>
      <c r="F855" s="496"/>
      <c r="G855" s="534" t="e">
        <f>+E764</f>
        <v>#REF!</v>
      </c>
      <c r="H855" s="496"/>
      <c r="I855" s="496"/>
      <c r="J855" s="502"/>
      <c r="K855" s="502"/>
      <c r="L855" s="502"/>
      <c r="M855" s="502"/>
    </row>
    <row r="856" spans="1:13" ht="15" hidden="1">
      <c r="A856" s="496" t="s">
        <v>1271</v>
      </c>
      <c r="B856" s="496"/>
      <c r="C856" s="496"/>
      <c r="D856" s="496"/>
      <c r="E856" s="534">
        <v>3</v>
      </c>
      <c r="F856" s="534"/>
      <c r="G856" s="534" t="e">
        <f>+E358</f>
        <v>#REF!</v>
      </c>
      <c r="H856" s="496"/>
      <c r="I856" s="496"/>
      <c r="J856" s="502"/>
      <c r="K856" s="502"/>
      <c r="L856" s="502"/>
      <c r="M856" s="502"/>
    </row>
    <row r="857" spans="1:13" ht="15" hidden="1">
      <c r="A857" s="496" t="s">
        <v>1272</v>
      </c>
      <c r="B857" s="496"/>
      <c r="C857" s="496"/>
      <c r="D857" s="496"/>
      <c r="E857" s="579">
        <v>20</v>
      </c>
      <c r="F857" s="579"/>
      <c r="G857" s="579" t="e">
        <f>+E652/E349*100</f>
        <v>#REF!</v>
      </c>
      <c r="H857" s="496"/>
      <c r="I857" s="496"/>
      <c r="J857" s="502"/>
      <c r="K857" s="502"/>
      <c r="L857" s="502"/>
      <c r="M857" s="502"/>
    </row>
    <row r="858" spans="1:13" ht="15" hidden="1">
      <c r="A858" s="496" t="s">
        <v>1273</v>
      </c>
      <c r="B858" s="496"/>
      <c r="C858" s="496"/>
      <c r="D858" s="496"/>
      <c r="E858" s="534"/>
      <c r="F858" s="534"/>
      <c r="G858" s="534"/>
      <c r="H858" s="496"/>
      <c r="I858" s="496"/>
      <c r="J858" s="502"/>
      <c r="K858" s="502"/>
      <c r="L858" s="502"/>
      <c r="M858" s="502"/>
    </row>
    <row r="859" spans="1:13" ht="15" hidden="1">
      <c r="A859" s="496" t="s">
        <v>1274</v>
      </c>
      <c r="B859" s="496"/>
      <c r="C859" s="496"/>
      <c r="D859" s="496"/>
      <c r="E859" s="534">
        <v>1.75</v>
      </c>
      <c r="F859" s="534"/>
      <c r="G859" s="534" t="e">
        <f>+E814</f>
        <v>#REF!</v>
      </c>
      <c r="H859" s="496"/>
      <c r="I859" s="496"/>
      <c r="J859" s="502"/>
      <c r="K859" s="502"/>
      <c r="L859" s="502"/>
      <c r="M859" s="502"/>
    </row>
    <row r="860" spans="1:13" ht="15" hidden="1">
      <c r="A860" s="496" t="s">
        <v>1275</v>
      </c>
      <c r="B860" s="496"/>
      <c r="C860" s="496"/>
      <c r="D860" s="496"/>
      <c r="E860" s="534">
        <v>3</v>
      </c>
      <c r="F860" s="534"/>
      <c r="G860" s="534" t="e">
        <f>+E225/E262</f>
        <v>#REF!</v>
      </c>
      <c r="H860" s="496"/>
      <c r="I860" s="496"/>
      <c r="J860" s="502"/>
      <c r="K860" s="502"/>
      <c r="L860" s="502"/>
      <c r="M860" s="502"/>
    </row>
    <row r="861" spans="1:13" ht="15" hidden="1">
      <c r="A861" s="528"/>
      <c r="B861" s="528"/>
      <c r="C861" s="528"/>
      <c r="D861" s="528"/>
      <c r="E861" s="528"/>
      <c r="F861" s="528"/>
      <c r="G861" s="528"/>
      <c r="H861" s="528"/>
      <c r="I861" s="496"/>
      <c r="J861" s="502"/>
      <c r="K861" s="502"/>
      <c r="L861" s="502"/>
      <c r="M861" s="502"/>
    </row>
    <row r="862" spans="1:13" ht="15" hidden="1">
      <c r="A862" s="496"/>
      <c r="B862" s="496"/>
      <c r="C862" s="496"/>
      <c r="D862" s="496"/>
      <c r="E862" s="496"/>
      <c r="F862" s="496"/>
      <c r="G862" s="496"/>
      <c r="H862" s="496"/>
      <c r="I862" s="496"/>
      <c r="J862" s="502"/>
      <c r="K862" s="502"/>
      <c r="L862" s="502"/>
      <c r="M862" s="502"/>
    </row>
    <row r="863" spans="1:13" ht="15" hidden="1">
      <c r="A863" s="496"/>
      <c r="B863" s="496"/>
      <c r="C863" s="496"/>
      <c r="D863" s="496"/>
      <c r="E863" s="496"/>
      <c r="F863" s="496"/>
      <c r="G863" s="496"/>
      <c r="H863" s="496"/>
      <c r="I863" s="496"/>
      <c r="J863" s="502"/>
      <c r="K863" s="502"/>
      <c r="L863" s="502"/>
      <c r="M863" s="502"/>
    </row>
    <row r="864" spans="1:13" ht="15.75">
      <c r="A864" s="562" t="s">
        <v>1276</v>
      </c>
      <c r="B864" s="496"/>
      <c r="C864" s="496"/>
      <c r="D864" s="496"/>
      <c r="E864" s="496"/>
      <c r="F864" s="496"/>
      <c r="G864" s="496"/>
      <c r="H864" s="496"/>
      <c r="I864" s="496"/>
      <c r="J864" s="502"/>
      <c r="K864" s="502"/>
      <c r="L864" s="502"/>
      <c r="M864" s="502"/>
    </row>
    <row r="865" spans="1:13" ht="4.5" customHeight="1">
      <c r="A865" s="562"/>
      <c r="B865" s="496"/>
      <c r="C865" s="496"/>
      <c r="D865" s="496"/>
      <c r="E865" s="496"/>
      <c r="F865" s="496"/>
      <c r="G865" s="496"/>
      <c r="H865" s="496"/>
      <c r="I865" s="496"/>
      <c r="J865" s="496"/>
      <c r="K865" s="496"/>
      <c r="L865" s="496"/>
      <c r="M865" s="496"/>
    </row>
    <row r="866" spans="1:13" s="7" customFormat="1">
      <c r="A866" s="525"/>
      <c r="B866" s="525"/>
      <c r="C866" s="525"/>
      <c r="D866" s="525"/>
      <c r="E866" s="564" t="e">
        <f t="shared" ref="E866:J867" si="154">+E839</f>
        <v>#REF!</v>
      </c>
      <c r="F866" s="564" t="e">
        <f t="shared" si="154"/>
        <v>#REF!</v>
      </c>
      <c r="G866" s="564" t="e">
        <f t="shared" si="154"/>
        <v>#REF!</v>
      </c>
      <c r="H866" s="564" t="e">
        <f t="shared" si="154"/>
        <v>#REF!</v>
      </c>
      <c r="I866" s="564" t="e">
        <f t="shared" si="154"/>
        <v>#REF!</v>
      </c>
      <c r="J866" s="564" t="e">
        <f t="shared" si="154"/>
        <v>#REF!</v>
      </c>
      <c r="K866" s="564" t="e">
        <f t="shared" ref="K866:M867" si="155">+K839</f>
        <v>#REF!</v>
      </c>
      <c r="L866" s="564" t="e">
        <f t="shared" si="155"/>
        <v>#REF!</v>
      </c>
      <c r="M866" s="564" t="e">
        <f t="shared" si="155"/>
        <v>#REF!</v>
      </c>
    </row>
    <row r="867" spans="1:13" ht="15.75">
      <c r="A867" s="528"/>
      <c r="B867" s="528"/>
      <c r="C867" s="528"/>
      <c r="D867" s="583"/>
      <c r="E867" s="570" t="str">
        <f t="shared" si="154"/>
        <v>(Pro.)</v>
      </c>
      <c r="F867" s="570" t="str">
        <f t="shared" si="154"/>
        <v>(Pro.)</v>
      </c>
      <c r="G867" s="570" t="str">
        <f t="shared" si="154"/>
        <v>(Pro.)</v>
      </c>
      <c r="H867" s="570" t="str">
        <f t="shared" si="154"/>
        <v>(Pro.)</v>
      </c>
      <c r="I867" s="570" t="str">
        <f t="shared" si="154"/>
        <v>(Pro.)</v>
      </c>
      <c r="J867" s="570" t="str">
        <f>+J840</f>
        <v>(Pro.)</v>
      </c>
      <c r="K867" s="570" t="str">
        <f t="shared" si="155"/>
        <v>(Pro.)</v>
      </c>
      <c r="L867" s="570" t="str">
        <f t="shared" si="155"/>
        <v>(Pro.)</v>
      </c>
      <c r="M867" s="570" t="str">
        <f t="shared" si="155"/>
        <v>(Pro.)</v>
      </c>
    </row>
    <row r="868" spans="1:13" ht="15">
      <c r="A868" s="496" t="s">
        <v>1277</v>
      </c>
      <c r="B868" s="496"/>
      <c r="C868" s="496"/>
      <c r="D868" s="496"/>
      <c r="E868" s="534" t="e">
        <f t="shared" ref="E868:J868" si="156">+E751/E351</f>
        <v>#REF!</v>
      </c>
      <c r="F868" s="534" t="e">
        <f t="shared" si="156"/>
        <v>#REF!</v>
      </c>
      <c r="G868" s="534" t="e">
        <f t="shared" si="156"/>
        <v>#REF!</v>
      </c>
      <c r="H868" s="534" t="e">
        <f t="shared" si="156"/>
        <v>#REF!</v>
      </c>
      <c r="I868" s="534" t="e">
        <f t="shared" si="156"/>
        <v>#REF!</v>
      </c>
      <c r="J868" s="534" t="e">
        <f t="shared" si="156"/>
        <v>#REF!</v>
      </c>
      <c r="K868" s="534" t="e">
        <f>+K751/K351</f>
        <v>#REF!</v>
      </c>
      <c r="L868" s="534" t="e">
        <f>+L751/L351</f>
        <v>#REF!</v>
      </c>
      <c r="M868" s="534" t="e">
        <f>+M751/M351</f>
        <v>#REF!</v>
      </c>
    </row>
    <row r="869" spans="1:13" ht="15">
      <c r="A869" s="496" t="s">
        <v>1278</v>
      </c>
      <c r="B869" s="496"/>
      <c r="C869" s="496"/>
      <c r="D869" s="496"/>
      <c r="E869" s="578" t="e">
        <f t="shared" ref="E869:J869" si="157">+E754/E351</f>
        <v>#REF!</v>
      </c>
      <c r="F869" s="578" t="e">
        <f t="shared" si="157"/>
        <v>#REF!</v>
      </c>
      <c r="G869" s="578" t="e">
        <f t="shared" si="157"/>
        <v>#REF!</v>
      </c>
      <c r="H869" s="578" t="e">
        <f t="shared" si="157"/>
        <v>#REF!</v>
      </c>
      <c r="I869" s="578" t="e">
        <f t="shared" si="157"/>
        <v>#REF!</v>
      </c>
      <c r="J869" s="578" t="e">
        <f t="shared" si="157"/>
        <v>#REF!</v>
      </c>
      <c r="K869" s="578" t="e">
        <f>+K754/K351</f>
        <v>#REF!</v>
      </c>
      <c r="L869" s="578" t="e">
        <f>+L754/L351</f>
        <v>#REF!</v>
      </c>
      <c r="M869" s="578" t="e">
        <f>+M754/M351</f>
        <v>#REF!</v>
      </c>
    </row>
    <row r="870" spans="1:13" ht="15">
      <c r="A870" s="496" t="s">
        <v>1279</v>
      </c>
      <c r="B870" s="496"/>
      <c r="C870" s="496"/>
      <c r="D870" s="496"/>
      <c r="E870" s="578" t="e">
        <f t="shared" ref="E870:J870" si="158">+E90/E23</f>
        <v>#REF!</v>
      </c>
      <c r="F870" s="578" t="e">
        <f t="shared" si="158"/>
        <v>#REF!</v>
      </c>
      <c r="G870" s="578" t="e">
        <f t="shared" si="158"/>
        <v>#REF!</v>
      </c>
      <c r="H870" s="578" t="e">
        <f t="shared" si="158"/>
        <v>#REF!</v>
      </c>
      <c r="I870" s="578" t="e">
        <f t="shared" si="158"/>
        <v>#REF!</v>
      </c>
      <c r="J870" s="578" t="e">
        <f t="shared" si="158"/>
        <v>#REF!</v>
      </c>
      <c r="K870" s="578" t="e">
        <f>+K90/K23</f>
        <v>#REF!</v>
      </c>
      <c r="L870" s="578" t="e">
        <f>+L90/L23</f>
        <v>#REF!</v>
      </c>
      <c r="M870" s="578" t="e">
        <f>+M90/M23</f>
        <v>#REF!</v>
      </c>
    </row>
    <row r="871" spans="1:13" ht="15">
      <c r="A871" s="496" t="s">
        <v>1280</v>
      </c>
      <c r="B871" s="496"/>
      <c r="C871" s="496"/>
      <c r="D871" s="496"/>
      <c r="E871" s="578" t="e">
        <f t="shared" ref="E871:J871" si="159">+E827/E823</f>
        <v>#REF!</v>
      </c>
      <c r="F871" s="578" t="e">
        <f t="shared" si="159"/>
        <v>#REF!</v>
      </c>
      <c r="G871" s="578" t="e">
        <f t="shared" si="159"/>
        <v>#REF!</v>
      </c>
      <c r="H871" s="578" t="e">
        <f t="shared" si="159"/>
        <v>#REF!</v>
      </c>
      <c r="I871" s="578" t="e">
        <f t="shared" si="159"/>
        <v>#REF!</v>
      </c>
      <c r="J871" s="578" t="e">
        <f t="shared" si="159"/>
        <v>#REF!</v>
      </c>
      <c r="K871" s="578" t="e">
        <f>+K827/K823</f>
        <v>#REF!</v>
      </c>
      <c r="L871" s="578" t="e">
        <f>+L827/L823</f>
        <v>#REF!</v>
      </c>
      <c r="M871" s="578" t="e">
        <f>+M827/M823</f>
        <v>#REF!</v>
      </c>
    </row>
    <row r="872" spans="1:13" ht="15">
      <c r="A872" s="496" t="s">
        <v>1281</v>
      </c>
      <c r="B872" s="496"/>
      <c r="C872" s="496"/>
      <c r="D872" s="496"/>
      <c r="E872" s="534" t="e">
        <f t="shared" ref="E872:K872" si="160">ROUND((+E74+E282)/E18,2)</f>
        <v>#REF!</v>
      </c>
      <c r="F872" s="534" t="e">
        <f t="shared" si="160"/>
        <v>#REF!</v>
      </c>
      <c r="G872" s="534" t="e">
        <f t="shared" si="160"/>
        <v>#REF!</v>
      </c>
      <c r="H872" s="534" t="e">
        <f t="shared" si="160"/>
        <v>#REF!</v>
      </c>
      <c r="I872" s="534" t="e">
        <f t="shared" si="160"/>
        <v>#REF!</v>
      </c>
      <c r="J872" s="534" t="e">
        <f t="shared" si="160"/>
        <v>#REF!</v>
      </c>
      <c r="K872" s="534" t="e">
        <f t="shared" si="160"/>
        <v>#REF!</v>
      </c>
      <c r="L872" s="534" t="e">
        <f>ROUND((+L74+L282)/L18,2)</f>
        <v>#REF!</v>
      </c>
      <c r="M872" s="534" t="e">
        <f>ROUND((+M74+M282)/M18,2)</f>
        <v>#REF!</v>
      </c>
    </row>
    <row r="873" spans="1:13" ht="15">
      <c r="A873" s="496" t="s">
        <v>1282</v>
      </c>
      <c r="B873" s="496"/>
      <c r="C873" s="496"/>
      <c r="D873" s="496"/>
      <c r="E873" s="496"/>
      <c r="F873" s="496"/>
      <c r="G873" s="496"/>
      <c r="H873" s="496"/>
      <c r="I873" s="496"/>
      <c r="J873" s="496"/>
      <c r="K873" s="496"/>
      <c r="L873" s="496"/>
      <c r="M873" s="496"/>
    </row>
    <row r="874" spans="1:13" ht="15">
      <c r="A874" s="528"/>
      <c r="B874" s="528"/>
      <c r="C874" s="528"/>
      <c r="D874" s="528"/>
      <c r="E874" s="528"/>
      <c r="F874" s="528"/>
      <c r="G874" s="528"/>
      <c r="H874" s="528"/>
      <c r="I874" s="528"/>
      <c r="J874" s="502"/>
      <c r="K874" s="502"/>
      <c r="L874" s="502"/>
      <c r="M874" s="502"/>
    </row>
    <row r="875" spans="1:13" ht="15">
      <c r="A875" s="496"/>
      <c r="B875" s="496"/>
      <c r="C875" s="496"/>
      <c r="D875" s="496"/>
      <c r="E875" s="496"/>
      <c r="F875" s="496"/>
      <c r="G875" s="496"/>
      <c r="H875" s="496"/>
      <c r="I875" s="496"/>
      <c r="J875" s="496"/>
      <c r="K875" s="496"/>
      <c r="L875" s="496"/>
    </row>
  </sheetData>
  <mergeCells count="22">
    <mergeCell ref="A641:J641"/>
    <mergeCell ref="A401:J401"/>
    <mergeCell ref="A402:J402"/>
    <mergeCell ref="A489:J489"/>
    <mergeCell ref="A490:J490"/>
    <mergeCell ref="A491:J491"/>
    <mergeCell ref="B565:I565"/>
    <mergeCell ref="B343:D343"/>
    <mergeCell ref="A400:J400"/>
    <mergeCell ref="B566:I566"/>
    <mergeCell ref="E569:I569"/>
    <mergeCell ref="A640:J640"/>
    <mergeCell ref="A161:I161"/>
    <mergeCell ref="A162:I162"/>
    <mergeCell ref="A266:J266"/>
    <mergeCell ref="A267:J267"/>
    <mergeCell ref="B310:D310"/>
    <mergeCell ref="A1:J1"/>
    <mergeCell ref="A2:I2"/>
    <mergeCell ref="A4:H4"/>
    <mergeCell ref="A6:H6"/>
    <mergeCell ref="B52:D52"/>
  </mergeCells>
  <pageMargins left="0.32" right="0.27" top="0.71" bottom="0.71" header="0.5" footer="0.5"/>
  <pageSetup paperSize="9" scale="56" orientation="portrait" verticalDpi="360"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7C775-E06F-4580-9457-CBC73EBE7221}">
  <dimension ref="B2:AD106"/>
  <sheetViews>
    <sheetView view="pageBreakPreview" topLeftCell="C5" zoomScaleNormal="100" zoomScaleSheetLayoutView="100" zoomScalePageLayoutView="40" workbookViewId="0">
      <selection activeCell="T70" sqref="T70"/>
    </sheetView>
  </sheetViews>
  <sheetFormatPr defaultRowHeight="12.75"/>
  <cols>
    <col min="1" max="1" width="0.7109375" style="7" customWidth="1"/>
    <col min="2" max="2" width="0.42578125" style="7" customWidth="1"/>
    <col min="3" max="3" width="2.7109375" style="7" customWidth="1"/>
    <col min="4" max="4" width="5" style="7" customWidth="1"/>
    <col min="5" max="5" width="3.7109375" style="7" customWidth="1"/>
    <col min="6" max="6" width="35.140625" style="7" customWidth="1"/>
    <col min="7" max="7" width="9.5703125" style="7" customWidth="1"/>
    <col min="8" max="9" width="9.85546875" style="7" customWidth="1"/>
    <col min="10" max="10" width="9.42578125" style="7" customWidth="1"/>
    <col min="11" max="11" width="10.42578125" style="7" customWidth="1"/>
    <col min="12" max="12" width="10.140625" style="7" customWidth="1"/>
    <col min="13" max="13" width="11.7109375" style="7" bestFit="1" customWidth="1"/>
    <col min="14" max="14" width="10.42578125" style="7" customWidth="1"/>
    <col min="15" max="15" width="10.42578125" style="7" hidden="1" customWidth="1"/>
    <col min="16" max="16" width="1" style="7" customWidth="1"/>
    <col min="17" max="17" width="10.85546875" style="7" bestFit="1" customWidth="1"/>
    <col min="18" max="18" width="9.42578125" style="7" bestFit="1" customWidth="1"/>
    <col min="19" max="25" width="9.28515625" style="7" bestFit="1" customWidth="1"/>
    <col min="26" max="16384" width="9.140625" style="7"/>
  </cols>
  <sheetData>
    <row r="2" spans="2:30">
      <c r="H2" s="7">
        <v>45</v>
      </c>
    </row>
    <row r="3" spans="2:30" ht="6.75" customHeight="1" thickBot="1">
      <c r="B3" s="314"/>
      <c r="C3" s="314"/>
      <c r="D3" s="314"/>
      <c r="E3" s="314"/>
      <c r="F3" s="314"/>
      <c r="G3" s="314"/>
      <c r="H3" s="314"/>
      <c r="I3" s="314"/>
      <c r="J3" s="314"/>
      <c r="K3" s="314"/>
      <c r="L3" s="314"/>
      <c r="M3" s="314"/>
      <c r="N3" s="314"/>
      <c r="O3" s="314"/>
    </row>
    <row r="4" spans="2:30">
      <c r="B4" s="315"/>
      <c r="C4" s="316" t="s">
        <v>858</v>
      </c>
      <c r="D4" s="316"/>
      <c r="E4" s="316"/>
      <c r="F4" s="317"/>
      <c r="G4" s="318"/>
      <c r="H4" s="318"/>
      <c r="I4" s="318"/>
      <c r="J4" s="318"/>
      <c r="K4" s="318"/>
      <c r="L4" s="318"/>
      <c r="M4" s="318"/>
      <c r="N4" s="318"/>
      <c r="O4" s="318"/>
      <c r="P4" s="319"/>
    </row>
    <row r="5" spans="2:30">
      <c r="B5" s="320"/>
      <c r="C5" s="321" t="s">
        <v>1283</v>
      </c>
      <c r="D5" s="321"/>
      <c r="E5" s="321"/>
      <c r="F5" s="314"/>
      <c r="G5" s="314"/>
      <c r="H5" s="314"/>
      <c r="I5" s="314"/>
      <c r="J5" s="314"/>
      <c r="K5" s="322"/>
      <c r="L5" s="322"/>
      <c r="M5" s="603"/>
      <c r="N5" s="323" t="s">
        <v>1284</v>
      </c>
      <c r="O5" s="323" t="s">
        <v>1284</v>
      </c>
      <c r="P5" s="324"/>
    </row>
    <row r="6" spans="2:30">
      <c r="B6" s="320"/>
      <c r="C6" s="314"/>
      <c r="D6" s="314"/>
      <c r="E6" s="314"/>
      <c r="F6" s="314"/>
      <c r="G6" s="314"/>
      <c r="H6" s="314"/>
      <c r="I6" s="314"/>
      <c r="J6" s="314"/>
      <c r="K6" s="314"/>
      <c r="L6" s="314"/>
      <c r="M6" s="314"/>
      <c r="N6" s="314"/>
      <c r="O6" s="314"/>
      <c r="P6" s="324"/>
    </row>
    <row r="7" spans="2:30">
      <c r="B7" s="320"/>
      <c r="C7" s="314"/>
      <c r="D7" s="314"/>
      <c r="E7" s="314"/>
      <c r="F7" s="314"/>
      <c r="G7" s="424"/>
      <c r="H7" s="424"/>
      <c r="I7" s="1143"/>
      <c r="J7" s="1143"/>
      <c r="K7" s="1143"/>
      <c r="L7" s="1018"/>
      <c r="M7" s="325"/>
      <c r="N7" s="325"/>
      <c r="O7" s="325"/>
      <c r="P7" s="324"/>
    </row>
    <row r="8" spans="2:30">
      <c r="B8" s="320"/>
      <c r="C8" s="314"/>
      <c r="D8" s="314"/>
      <c r="E8" s="314"/>
      <c r="F8" s="314"/>
      <c r="G8" s="1018" t="s">
        <v>95</v>
      </c>
      <c r="H8" s="1018" t="s">
        <v>96</v>
      </c>
      <c r="I8" s="1018" t="s">
        <v>97</v>
      </c>
      <c r="J8" s="1018" t="s">
        <v>98</v>
      </c>
      <c r="K8" s="1018" t="s">
        <v>99</v>
      </c>
      <c r="L8" s="1018" t="s">
        <v>100</v>
      </c>
      <c r="M8" s="326" t="s">
        <v>101</v>
      </c>
      <c r="N8" s="326" t="s">
        <v>102</v>
      </c>
      <c r="O8" s="326" t="s">
        <v>103</v>
      </c>
      <c r="P8" s="324"/>
    </row>
    <row r="9" spans="2:30" ht="13.5" thickBot="1">
      <c r="B9" s="320"/>
      <c r="C9" s="314"/>
      <c r="D9" s="314"/>
      <c r="E9" s="314"/>
      <c r="F9" s="327" t="s">
        <v>1285</v>
      </c>
      <c r="G9" s="425" t="s">
        <v>1286</v>
      </c>
      <c r="H9" s="425" t="s">
        <v>1286</v>
      </c>
      <c r="I9" s="425" t="s">
        <v>1286</v>
      </c>
      <c r="J9" s="425" t="s">
        <v>1286</v>
      </c>
      <c r="K9" s="425" t="s">
        <v>1286</v>
      </c>
      <c r="L9" s="425" t="s">
        <v>1286</v>
      </c>
      <c r="M9" s="425" t="s">
        <v>1286</v>
      </c>
      <c r="N9" s="425" t="s">
        <v>1286</v>
      </c>
      <c r="O9" s="425" t="s">
        <v>1286</v>
      </c>
      <c r="P9" s="324"/>
    </row>
    <row r="10" spans="2:30" ht="13.5" thickTop="1">
      <c r="B10" s="320"/>
      <c r="C10" s="314">
        <v>1</v>
      </c>
      <c r="D10" s="314" t="s">
        <v>1287</v>
      </c>
      <c r="E10" s="314"/>
      <c r="F10" s="314"/>
      <c r="G10" s="314"/>
      <c r="H10" s="314"/>
      <c r="I10" s="314"/>
      <c r="J10" s="314"/>
      <c r="K10" s="314"/>
      <c r="L10" s="314"/>
      <c r="M10" s="314"/>
      <c r="N10" s="314"/>
      <c r="O10" s="314"/>
      <c r="P10" s="324"/>
    </row>
    <row r="11" spans="2:30">
      <c r="B11" s="320"/>
      <c r="C11" s="314"/>
      <c r="D11" s="322"/>
      <c r="E11" s="322" t="s">
        <v>1288</v>
      </c>
      <c r="F11" s="314" t="s">
        <v>1289</v>
      </c>
      <c r="G11" s="328"/>
      <c r="H11" s="328"/>
      <c r="I11" s="328"/>
      <c r="J11" s="328"/>
      <c r="K11" s="328"/>
      <c r="L11" s="328"/>
      <c r="M11" s="328"/>
      <c r="N11" s="328"/>
      <c r="O11" s="328"/>
      <c r="P11" s="324"/>
    </row>
    <row r="12" spans="2:30">
      <c r="B12" s="320"/>
      <c r="C12" s="314"/>
      <c r="D12" s="322"/>
      <c r="E12" s="322" t="s">
        <v>1290</v>
      </c>
      <c r="F12" s="314" t="s">
        <v>1291</v>
      </c>
      <c r="G12" s="329" t="e">
        <f>#REF!</f>
        <v>#REF!</v>
      </c>
      <c r="H12" s="329" t="e">
        <f>#REF!</f>
        <v>#REF!</v>
      </c>
      <c r="I12" s="329" t="e">
        <f>#REF!</f>
        <v>#REF!</v>
      </c>
      <c r="J12" s="329" t="e">
        <f>#REF!</f>
        <v>#REF!</v>
      </c>
      <c r="K12" s="329" t="e">
        <f>#REF!</f>
        <v>#REF!</v>
      </c>
      <c r="L12" s="329" t="e">
        <f>#REF!</f>
        <v>#REF!</v>
      </c>
      <c r="M12" s="329" t="e">
        <f>#REF!</f>
        <v>#REF!</v>
      </c>
      <c r="N12" s="329" t="e">
        <f>#REF!</f>
        <v>#REF!</v>
      </c>
      <c r="O12" s="329" t="e">
        <f>#REF!</f>
        <v>#REF!</v>
      </c>
      <c r="P12" s="324"/>
      <c r="Q12" s="330"/>
      <c r="R12" s="330"/>
      <c r="S12" s="330"/>
      <c r="T12" s="330"/>
      <c r="U12" s="330"/>
      <c r="V12" s="330"/>
      <c r="W12" s="330"/>
      <c r="X12" s="330"/>
      <c r="Y12" s="330"/>
      <c r="Z12" s="330"/>
      <c r="AA12" s="330"/>
      <c r="AB12" s="330"/>
      <c r="AC12" s="330"/>
      <c r="AD12" s="330"/>
    </row>
    <row r="13" spans="2:30">
      <c r="B13" s="320"/>
      <c r="C13" s="314"/>
      <c r="D13" s="314"/>
      <c r="E13" s="314"/>
      <c r="F13" s="314"/>
      <c r="G13" s="331" t="e">
        <f t="shared" ref="G13:N13" si="0">SUM(G11:G12)</f>
        <v>#REF!</v>
      </c>
      <c r="H13" s="331" t="e">
        <f t="shared" si="0"/>
        <v>#REF!</v>
      </c>
      <c r="I13" s="331" t="e">
        <f t="shared" si="0"/>
        <v>#REF!</v>
      </c>
      <c r="J13" s="331" t="e">
        <f t="shared" si="0"/>
        <v>#REF!</v>
      </c>
      <c r="K13" s="331" t="e">
        <f t="shared" si="0"/>
        <v>#REF!</v>
      </c>
      <c r="L13" s="331" t="e">
        <f t="shared" si="0"/>
        <v>#REF!</v>
      </c>
      <c r="M13" s="331" t="e">
        <f t="shared" si="0"/>
        <v>#REF!</v>
      </c>
      <c r="N13" s="331" t="e">
        <f t="shared" si="0"/>
        <v>#REF!</v>
      </c>
      <c r="O13" s="331" t="e">
        <f>SUM(O11:O12)</f>
        <v>#REF!</v>
      </c>
      <c r="P13" s="324"/>
      <c r="Q13" s="332"/>
      <c r="R13" s="750"/>
      <c r="S13" s="330"/>
      <c r="T13" s="330"/>
      <c r="U13" s="330"/>
      <c r="V13" s="330"/>
      <c r="W13" s="330"/>
      <c r="X13" s="330"/>
      <c r="Y13" s="330"/>
      <c r="Z13" s="330"/>
      <c r="AA13" s="330"/>
      <c r="AB13" s="330"/>
      <c r="AC13" s="330"/>
      <c r="AD13" s="330"/>
    </row>
    <row r="14" spans="2:30">
      <c r="B14" s="320"/>
      <c r="C14" s="314">
        <v>2</v>
      </c>
      <c r="D14" s="314" t="s">
        <v>1292</v>
      </c>
      <c r="E14" s="314"/>
      <c r="F14" s="314"/>
      <c r="G14" s="329">
        <v>0</v>
      </c>
      <c r="H14" s="329">
        <v>0</v>
      </c>
      <c r="I14" s="329">
        <v>0</v>
      </c>
      <c r="J14" s="329">
        <v>0</v>
      </c>
      <c r="K14" s="329">
        <v>0</v>
      </c>
      <c r="L14" s="329">
        <v>0</v>
      </c>
      <c r="M14" s="329">
        <v>0</v>
      </c>
      <c r="N14" s="329">
        <v>0</v>
      </c>
      <c r="O14" s="329">
        <v>0</v>
      </c>
      <c r="P14" s="324"/>
      <c r="Q14" s="333"/>
      <c r="R14" s="330"/>
      <c r="S14" s="330"/>
      <c r="T14" s="330"/>
      <c r="U14" s="330"/>
      <c r="V14" s="330"/>
      <c r="W14" s="330"/>
      <c r="X14" s="330"/>
      <c r="Y14" s="330"/>
      <c r="Z14" s="330"/>
      <c r="AA14" s="330"/>
      <c r="AB14" s="330"/>
      <c r="AC14" s="330"/>
      <c r="AD14" s="330"/>
    </row>
    <row r="15" spans="2:30">
      <c r="B15" s="320"/>
      <c r="C15" s="314"/>
      <c r="D15" s="314" t="s">
        <v>1222</v>
      </c>
      <c r="E15" s="314"/>
      <c r="F15" s="314"/>
      <c r="G15" s="331" t="e">
        <f t="shared" ref="G15:N15" si="1">G13-G14</f>
        <v>#REF!</v>
      </c>
      <c r="H15" s="331" t="e">
        <f t="shared" si="1"/>
        <v>#REF!</v>
      </c>
      <c r="I15" s="331" t="e">
        <f t="shared" si="1"/>
        <v>#REF!</v>
      </c>
      <c r="J15" s="331" t="e">
        <f t="shared" si="1"/>
        <v>#REF!</v>
      </c>
      <c r="K15" s="331" t="e">
        <f t="shared" si="1"/>
        <v>#REF!</v>
      </c>
      <c r="L15" s="331" t="e">
        <f t="shared" si="1"/>
        <v>#REF!</v>
      </c>
      <c r="M15" s="331" t="e">
        <f t="shared" si="1"/>
        <v>#REF!</v>
      </c>
      <c r="N15" s="331" t="e">
        <f t="shared" si="1"/>
        <v>#REF!</v>
      </c>
      <c r="O15" s="331" t="e">
        <f>O13-O14</f>
        <v>#REF!</v>
      </c>
      <c r="P15" s="324"/>
      <c r="Q15" s="334"/>
      <c r="R15" s="330"/>
      <c r="S15" s="330"/>
      <c r="T15" s="330"/>
      <c r="U15" s="330"/>
      <c r="V15" s="330"/>
      <c r="W15" s="330"/>
      <c r="X15" s="330"/>
      <c r="Y15" s="330"/>
      <c r="Z15" s="330"/>
      <c r="AA15" s="330"/>
      <c r="AB15" s="330"/>
      <c r="AC15" s="330"/>
      <c r="AD15" s="330"/>
    </row>
    <row r="16" spans="2:30">
      <c r="B16" s="320"/>
      <c r="C16" s="314">
        <v>3</v>
      </c>
      <c r="D16" s="314" t="s">
        <v>1293</v>
      </c>
      <c r="E16" s="314"/>
      <c r="F16" s="314"/>
      <c r="G16" s="329" t="e">
        <f>#REF!</f>
        <v>#REF!</v>
      </c>
      <c r="H16" s="329" t="e">
        <f>#REF!</f>
        <v>#REF!</v>
      </c>
      <c r="I16" s="329" t="e">
        <f>#REF!</f>
        <v>#REF!</v>
      </c>
      <c r="J16" s="329" t="e">
        <f>#REF!</f>
        <v>#REF!</v>
      </c>
      <c r="K16" s="329" t="e">
        <f>#REF!</f>
        <v>#REF!</v>
      </c>
      <c r="L16" s="329" t="e">
        <f>#REF!</f>
        <v>#REF!</v>
      </c>
      <c r="M16" s="329" t="e">
        <f>#REF!</f>
        <v>#REF!</v>
      </c>
      <c r="N16" s="329" t="e">
        <f>#REF!</f>
        <v>#REF!</v>
      </c>
      <c r="O16" s="329" t="e">
        <f>#REF!</f>
        <v>#REF!</v>
      </c>
      <c r="P16" s="324"/>
      <c r="Q16" s="333"/>
      <c r="R16" s="330"/>
      <c r="S16" s="330"/>
      <c r="T16" s="330"/>
      <c r="U16" s="330"/>
      <c r="V16" s="330"/>
      <c r="W16" s="330"/>
      <c r="X16" s="330"/>
      <c r="Y16" s="330"/>
      <c r="Z16" s="330"/>
      <c r="AA16" s="330"/>
      <c r="AB16" s="330"/>
      <c r="AC16" s="330"/>
      <c r="AD16" s="330"/>
    </row>
    <row r="17" spans="2:30">
      <c r="B17" s="320"/>
      <c r="C17" s="314"/>
      <c r="D17" s="314"/>
      <c r="E17" s="314"/>
      <c r="F17" s="314"/>
      <c r="G17" s="331" t="e">
        <f t="shared" ref="G17:N17" si="2">G15+G16</f>
        <v>#REF!</v>
      </c>
      <c r="H17" s="331" t="e">
        <f t="shared" si="2"/>
        <v>#REF!</v>
      </c>
      <c r="I17" s="331" t="e">
        <f t="shared" si="2"/>
        <v>#REF!</v>
      </c>
      <c r="J17" s="331" t="e">
        <f t="shared" si="2"/>
        <v>#REF!</v>
      </c>
      <c r="K17" s="331" t="e">
        <f t="shared" si="2"/>
        <v>#REF!</v>
      </c>
      <c r="L17" s="331" t="e">
        <f t="shared" si="2"/>
        <v>#REF!</v>
      </c>
      <c r="M17" s="331" t="e">
        <f t="shared" si="2"/>
        <v>#REF!</v>
      </c>
      <c r="N17" s="331" t="e">
        <f t="shared" si="2"/>
        <v>#REF!</v>
      </c>
      <c r="O17" s="331" t="e">
        <f>O15+O16</f>
        <v>#REF!</v>
      </c>
      <c r="P17" s="324"/>
      <c r="Q17" s="335"/>
      <c r="R17" s="334"/>
      <c r="S17" s="330"/>
      <c r="T17" s="330"/>
      <c r="U17" s="330"/>
      <c r="V17" s="330"/>
      <c r="W17" s="330"/>
      <c r="X17" s="330"/>
      <c r="Y17" s="330"/>
      <c r="Z17" s="330"/>
      <c r="AA17" s="330"/>
      <c r="AB17" s="330"/>
      <c r="AC17" s="330"/>
      <c r="AD17" s="330"/>
    </row>
    <row r="18" spans="2:30">
      <c r="B18" s="320"/>
      <c r="C18" s="314">
        <v>4</v>
      </c>
      <c r="D18" s="314" t="s">
        <v>1294</v>
      </c>
      <c r="E18" s="314"/>
      <c r="F18" s="314"/>
      <c r="G18" s="329"/>
      <c r="H18" s="329"/>
      <c r="I18" s="329"/>
      <c r="J18" s="329"/>
      <c r="K18" s="329"/>
      <c r="L18" s="329"/>
      <c r="M18" s="329"/>
      <c r="N18" s="329"/>
      <c r="O18" s="329"/>
      <c r="P18" s="324"/>
      <c r="Q18" s="330"/>
      <c r="R18" s="330"/>
      <c r="S18" s="330"/>
      <c r="T18" s="330"/>
      <c r="U18" s="330"/>
      <c r="V18" s="330"/>
      <c r="W18" s="330"/>
      <c r="X18" s="330"/>
      <c r="Y18" s="330"/>
      <c r="Z18" s="330"/>
      <c r="AA18" s="330"/>
      <c r="AB18" s="330"/>
      <c r="AC18" s="330"/>
      <c r="AD18" s="330"/>
    </row>
    <row r="19" spans="2:30">
      <c r="B19" s="320"/>
      <c r="C19" s="314"/>
      <c r="D19" s="314" t="s">
        <v>1295</v>
      </c>
      <c r="E19" s="314"/>
      <c r="F19" s="314"/>
      <c r="G19" s="336">
        <v>0</v>
      </c>
      <c r="H19" s="336" t="e">
        <f t="shared" ref="H19:O19" si="3">IF(G15=0,0,(H15-G15)/G15)</f>
        <v>#REF!</v>
      </c>
      <c r="I19" s="336" t="e">
        <f t="shared" si="3"/>
        <v>#REF!</v>
      </c>
      <c r="J19" s="336" t="e">
        <f t="shared" si="3"/>
        <v>#REF!</v>
      </c>
      <c r="K19" s="336" t="e">
        <f t="shared" si="3"/>
        <v>#REF!</v>
      </c>
      <c r="L19" s="336" t="e">
        <f t="shared" si="3"/>
        <v>#REF!</v>
      </c>
      <c r="M19" s="336" t="e">
        <f t="shared" si="3"/>
        <v>#REF!</v>
      </c>
      <c r="N19" s="336" t="e">
        <f t="shared" si="3"/>
        <v>#REF!</v>
      </c>
      <c r="O19" s="336" t="e">
        <f t="shared" si="3"/>
        <v>#REF!</v>
      </c>
      <c r="P19" s="324"/>
      <c r="Q19" s="330"/>
      <c r="R19" s="330"/>
      <c r="S19" s="330"/>
      <c r="T19" s="330"/>
      <c r="U19" s="330"/>
      <c r="V19" s="330"/>
      <c r="W19" s="330"/>
      <c r="X19" s="330"/>
      <c r="Y19" s="330"/>
      <c r="Z19" s="330"/>
      <c r="AA19" s="330"/>
      <c r="AB19" s="330"/>
      <c r="AC19" s="330"/>
      <c r="AD19" s="330"/>
    </row>
    <row r="20" spans="2:30" ht="6.75" customHeight="1">
      <c r="B20" s="320"/>
      <c r="C20" s="314"/>
      <c r="D20" s="314"/>
      <c r="E20" s="314"/>
      <c r="F20" s="314"/>
      <c r="G20" s="329"/>
      <c r="H20" s="329"/>
      <c r="I20" s="329"/>
      <c r="J20" s="329"/>
      <c r="K20" s="329"/>
      <c r="L20" s="329"/>
      <c r="M20" s="329"/>
      <c r="N20" s="329"/>
      <c r="O20" s="329"/>
      <c r="P20" s="324"/>
      <c r="Q20" s="330"/>
      <c r="R20" s="330"/>
      <c r="S20" s="330"/>
      <c r="T20" s="330"/>
      <c r="U20" s="330"/>
      <c r="V20" s="330"/>
      <c r="W20" s="330"/>
      <c r="X20" s="330"/>
      <c r="Y20" s="330"/>
      <c r="Z20" s="330"/>
      <c r="AA20" s="330"/>
      <c r="AB20" s="330"/>
      <c r="AC20" s="330"/>
      <c r="AD20" s="330"/>
    </row>
    <row r="21" spans="2:30">
      <c r="B21" s="320"/>
      <c r="C21" s="314">
        <v>5</v>
      </c>
      <c r="D21" s="314" t="s">
        <v>1296</v>
      </c>
      <c r="E21" s="314"/>
      <c r="F21" s="314"/>
      <c r="G21" s="329"/>
      <c r="H21" s="329"/>
      <c r="I21" s="329"/>
      <c r="J21" s="329"/>
      <c r="K21" s="329"/>
      <c r="L21" s="329"/>
      <c r="M21" s="329"/>
      <c r="N21" s="329"/>
      <c r="O21" s="329"/>
      <c r="P21" s="324"/>
      <c r="Q21" s="330"/>
      <c r="R21" s="330"/>
      <c r="S21" s="330"/>
      <c r="T21" s="330"/>
      <c r="U21" s="330"/>
      <c r="V21" s="330"/>
      <c r="W21" s="330"/>
      <c r="X21" s="330"/>
      <c r="Y21" s="330"/>
      <c r="Z21" s="330"/>
      <c r="AA21" s="330"/>
      <c r="AB21" s="330"/>
      <c r="AC21" s="330"/>
      <c r="AD21" s="330"/>
    </row>
    <row r="22" spans="2:30">
      <c r="B22" s="320"/>
      <c r="C22" s="314"/>
      <c r="D22" s="322" t="s">
        <v>1297</v>
      </c>
      <c r="E22" s="322"/>
      <c r="F22" s="314" t="s">
        <v>1298</v>
      </c>
      <c r="G22" s="329"/>
      <c r="H22" s="329"/>
      <c r="I22" s="329"/>
      <c r="J22" s="329"/>
      <c r="K22" s="329"/>
      <c r="L22" s="329"/>
      <c r="M22" s="329"/>
      <c r="N22" s="329"/>
      <c r="O22" s="329"/>
      <c r="P22" s="324"/>
      <c r="Q22" s="330"/>
      <c r="R22" s="330"/>
      <c r="S22" s="330"/>
      <c r="T22" s="330"/>
      <c r="U22" s="330"/>
      <c r="V22" s="330"/>
      <c r="W22" s="330"/>
      <c r="X22" s="330"/>
      <c r="Y22" s="330"/>
      <c r="Z22" s="330"/>
      <c r="AA22" s="330"/>
      <c r="AB22" s="330"/>
      <c r="AC22" s="330"/>
      <c r="AD22" s="330"/>
    </row>
    <row r="23" spans="2:30">
      <c r="B23" s="320"/>
      <c r="C23" s="314"/>
      <c r="D23" s="322"/>
      <c r="E23" s="322"/>
      <c r="F23" s="314" t="s">
        <v>1299</v>
      </c>
      <c r="G23" s="329"/>
      <c r="H23" s="329"/>
      <c r="I23" s="329"/>
      <c r="J23" s="329"/>
      <c r="K23" s="329"/>
      <c r="L23" s="329"/>
      <c r="M23" s="329"/>
      <c r="N23" s="329"/>
      <c r="O23" s="329"/>
      <c r="P23" s="324"/>
      <c r="Q23" s="330"/>
      <c r="R23" s="330"/>
      <c r="S23" s="330"/>
      <c r="T23" s="330"/>
      <c r="U23" s="330"/>
      <c r="V23" s="330"/>
      <c r="W23" s="330"/>
      <c r="X23" s="330"/>
      <c r="Y23" s="330"/>
      <c r="Z23" s="330"/>
      <c r="AA23" s="330"/>
      <c r="AB23" s="330"/>
      <c r="AC23" s="330"/>
      <c r="AD23" s="330"/>
    </row>
    <row r="24" spans="2:30">
      <c r="B24" s="320"/>
      <c r="C24" s="314"/>
      <c r="D24" s="322"/>
      <c r="E24" s="322" t="s">
        <v>1288</v>
      </c>
      <c r="F24" s="314" t="s">
        <v>1300</v>
      </c>
      <c r="G24" s="329"/>
      <c r="H24" s="329"/>
      <c r="I24" s="329"/>
      <c r="J24" s="329"/>
      <c r="K24" s="329"/>
      <c r="L24" s="329"/>
      <c r="M24" s="329"/>
      <c r="N24" s="329"/>
      <c r="O24" s="329"/>
      <c r="P24" s="324"/>
      <c r="Q24" s="330"/>
      <c r="R24" s="330"/>
      <c r="S24" s="330"/>
      <c r="T24" s="330"/>
      <c r="U24" s="330"/>
      <c r="V24" s="330"/>
      <c r="W24" s="330"/>
      <c r="X24" s="330"/>
      <c r="Y24" s="330"/>
      <c r="Z24" s="330"/>
      <c r="AA24" s="330"/>
      <c r="AB24" s="330"/>
      <c r="AC24" s="330"/>
      <c r="AD24" s="330"/>
    </row>
    <row r="25" spans="2:30">
      <c r="B25" s="320"/>
      <c r="C25" s="314"/>
      <c r="D25" s="322"/>
      <c r="E25" s="322" t="s">
        <v>1290</v>
      </c>
      <c r="F25" s="314" t="s">
        <v>1301</v>
      </c>
      <c r="G25" s="329" t="e">
        <f>#REF!</f>
        <v>#REF!</v>
      </c>
      <c r="H25" s="329" t="e">
        <f>#REF!</f>
        <v>#REF!</v>
      </c>
      <c r="I25" s="329" t="e">
        <f>#REF!</f>
        <v>#REF!</v>
      </c>
      <c r="J25" s="329" t="e">
        <f>#REF!</f>
        <v>#REF!</v>
      </c>
      <c r="K25" s="329" t="e">
        <f>#REF!</f>
        <v>#REF!</v>
      </c>
      <c r="L25" s="329" t="e">
        <f>#REF!</f>
        <v>#REF!</v>
      </c>
      <c r="M25" s="329" t="e">
        <f>#REF!</f>
        <v>#REF!</v>
      </c>
      <c r="N25" s="329" t="e">
        <f>#REF!</f>
        <v>#REF!</v>
      </c>
      <c r="O25" s="329" t="e">
        <f>#REF!</f>
        <v>#REF!</v>
      </c>
      <c r="P25" s="324"/>
      <c r="Q25" s="330"/>
      <c r="R25" s="330"/>
      <c r="S25" s="330"/>
      <c r="T25" s="330"/>
      <c r="U25" s="330"/>
      <c r="V25" s="330"/>
      <c r="W25" s="330"/>
      <c r="X25" s="330"/>
      <c r="Y25" s="330"/>
      <c r="Z25" s="330"/>
      <c r="AA25" s="330"/>
      <c r="AB25" s="330"/>
      <c r="AC25" s="330"/>
      <c r="AD25" s="330"/>
    </row>
    <row r="26" spans="2:30">
      <c r="B26" s="320"/>
      <c r="C26" s="314"/>
      <c r="D26" s="322"/>
      <c r="E26" s="322"/>
      <c r="F26" s="314"/>
      <c r="G26" s="331" t="e">
        <f t="shared" ref="G26:N26" si="4">SUM(G24:G25)</f>
        <v>#REF!</v>
      </c>
      <c r="H26" s="331" t="e">
        <f t="shared" si="4"/>
        <v>#REF!</v>
      </c>
      <c r="I26" s="331" t="e">
        <f t="shared" si="4"/>
        <v>#REF!</v>
      </c>
      <c r="J26" s="331" t="e">
        <f t="shared" si="4"/>
        <v>#REF!</v>
      </c>
      <c r="K26" s="331" t="e">
        <f t="shared" si="4"/>
        <v>#REF!</v>
      </c>
      <c r="L26" s="331" t="e">
        <f t="shared" si="4"/>
        <v>#REF!</v>
      </c>
      <c r="M26" s="331" t="e">
        <f t="shared" si="4"/>
        <v>#REF!</v>
      </c>
      <c r="N26" s="331" t="e">
        <f t="shared" si="4"/>
        <v>#REF!</v>
      </c>
      <c r="O26" s="331" t="e">
        <f>SUM(O24:O25)</f>
        <v>#REF!</v>
      </c>
      <c r="P26" s="324"/>
      <c r="Q26" s="330"/>
      <c r="R26" s="330"/>
      <c r="S26" s="330"/>
      <c r="T26" s="330"/>
      <c r="U26" s="330"/>
      <c r="V26" s="330"/>
      <c r="W26" s="330"/>
      <c r="X26" s="330"/>
      <c r="Y26" s="330"/>
      <c r="Z26" s="330"/>
      <c r="AA26" s="330"/>
      <c r="AB26" s="330"/>
      <c r="AC26" s="330"/>
      <c r="AD26" s="330"/>
    </row>
    <row r="27" spans="2:30">
      <c r="B27" s="320"/>
      <c r="C27" s="314"/>
      <c r="D27" s="322" t="s">
        <v>1302</v>
      </c>
      <c r="E27" s="322"/>
      <c r="F27" s="314" t="s">
        <v>1303</v>
      </c>
      <c r="G27" s="329"/>
      <c r="H27" s="329"/>
      <c r="I27" s="329"/>
      <c r="J27" s="329"/>
      <c r="K27" s="329"/>
      <c r="L27" s="329"/>
      <c r="M27" s="329"/>
      <c r="N27" s="329"/>
      <c r="O27" s="329"/>
      <c r="P27" s="324"/>
      <c r="Q27" s="330"/>
      <c r="R27" s="330"/>
      <c r="S27" s="330"/>
      <c r="T27" s="330"/>
      <c r="U27" s="330"/>
      <c r="V27" s="330"/>
      <c r="W27" s="330"/>
      <c r="X27" s="330"/>
      <c r="Y27" s="330"/>
      <c r="Z27" s="330"/>
      <c r="AA27" s="330"/>
      <c r="AB27" s="330"/>
      <c r="AC27" s="330"/>
      <c r="AD27" s="330"/>
    </row>
    <row r="28" spans="2:30">
      <c r="B28" s="320"/>
      <c r="C28" s="314"/>
      <c r="D28" s="322"/>
      <c r="E28" s="322" t="s">
        <v>1288</v>
      </c>
      <c r="F28" s="314" t="s">
        <v>1300</v>
      </c>
      <c r="G28" s="329"/>
      <c r="H28" s="329"/>
      <c r="I28" s="329"/>
      <c r="J28" s="329"/>
      <c r="K28" s="329"/>
      <c r="L28" s="329"/>
      <c r="M28" s="329"/>
      <c r="N28" s="329"/>
      <c r="O28" s="329"/>
      <c r="P28" s="324"/>
      <c r="Q28" s="330"/>
      <c r="R28" s="330"/>
      <c r="S28" s="330"/>
      <c r="T28" s="330"/>
      <c r="U28" s="330"/>
      <c r="V28" s="330"/>
      <c r="W28" s="330"/>
      <c r="X28" s="330"/>
      <c r="Y28" s="330"/>
      <c r="Z28" s="330"/>
      <c r="AA28" s="330"/>
      <c r="AB28" s="330"/>
      <c r="AC28" s="330"/>
      <c r="AD28" s="330"/>
    </row>
    <row r="29" spans="2:30">
      <c r="B29" s="320"/>
      <c r="C29" s="314"/>
      <c r="D29" s="322"/>
      <c r="E29" s="322" t="s">
        <v>1290</v>
      </c>
      <c r="F29" s="314" t="s">
        <v>1304</v>
      </c>
      <c r="G29" s="329">
        <f>[17]CMA!E24</f>
        <v>0</v>
      </c>
      <c r="H29" s="329">
        <f>[17]CMA!F24</f>
        <v>0</v>
      </c>
      <c r="I29" s="329">
        <f>[17]CMA!G24</f>
        <v>0</v>
      </c>
      <c r="J29" s="329">
        <f>[17]CMA!H24</f>
        <v>0</v>
      </c>
      <c r="K29" s="329">
        <f>[17]CMA!I24</f>
        <v>0</v>
      </c>
      <c r="L29" s="329">
        <f>[17]CMA!J24</f>
        <v>0</v>
      </c>
      <c r="M29" s="329">
        <f>[17]CMA!K24</f>
        <v>0</v>
      </c>
      <c r="N29" s="329">
        <f>[17]CMA!L24</f>
        <v>0</v>
      </c>
      <c r="O29" s="329">
        <f>[17]CMA!M24</f>
        <v>0</v>
      </c>
      <c r="P29" s="324"/>
      <c r="Q29" s="330"/>
      <c r="R29" s="330"/>
      <c r="S29" s="330"/>
      <c r="T29" s="330"/>
      <c r="U29" s="330"/>
      <c r="V29" s="330"/>
      <c r="W29" s="330"/>
      <c r="X29" s="330"/>
      <c r="Y29" s="330"/>
      <c r="Z29" s="330"/>
      <c r="AA29" s="330"/>
      <c r="AB29" s="330"/>
      <c r="AC29" s="330"/>
      <c r="AD29" s="330"/>
    </row>
    <row r="30" spans="2:30" ht="6.75" customHeight="1">
      <c r="B30" s="320"/>
      <c r="C30" s="314"/>
      <c r="D30" s="322"/>
      <c r="E30" s="322"/>
      <c r="F30" s="314"/>
      <c r="G30" s="329"/>
      <c r="H30" s="329"/>
      <c r="I30" s="329"/>
      <c r="J30" s="329"/>
      <c r="K30" s="329"/>
      <c r="L30" s="329"/>
      <c r="M30" s="329"/>
      <c r="N30" s="329"/>
      <c r="O30" s="329"/>
      <c r="P30" s="324"/>
      <c r="Q30" s="330"/>
      <c r="R30" s="330"/>
      <c r="S30" s="330"/>
      <c r="T30" s="330"/>
      <c r="U30" s="330"/>
      <c r="V30" s="330"/>
      <c r="W30" s="330"/>
      <c r="X30" s="330"/>
      <c r="Y30" s="330"/>
      <c r="Z30" s="330"/>
      <c r="AA30" s="330"/>
      <c r="AB30" s="330"/>
      <c r="AC30" s="330"/>
      <c r="AD30" s="330"/>
    </row>
    <row r="31" spans="2:30">
      <c r="B31" s="320"/>
      <c r="C31" s="314"/>
      <c r="D31" s="322" t="s">
        <v>1305</v>
      </c>
      <c r="E31" s="322"/>
      <c r="F31" s="314" t="s">
        <v>1306</v>
      </c>
      <c r="G31" s="329" t="e">
        <f>#REF!</f>
        <v>#REF!</v>
      </c>
      <c r="H31" s="329" t="e">
        <f>#REF!</f>
        <v>#REF!</v>
      </c>
      <c r="I31" s="329" t="e">
        <f>#REF!</f>
        <v>#REF!</v>
      </c>
      <c r="J31" s="329" t="e">
        <f>#REF!</f>
        <v>#REF!</v>
      </c>
      <c r="K31" s="329" t="e">
        <f>#REF!</f>
        <v>#REF!</v>
      </c>
      <c r="L31" s="329" t="e">
        <f>#REF!</f>
        <v>#REF!</v>
      </c>
      <c r="M31" s="329" t="e">
        <f>#REF!</f>
        <v>#REF!</v>
      </c>
      <c r="N31" s="329" t="e">
        <f>#REF!</f>
        <v>#REF!</v>
      </c>
      <c r="O31" s="329" t="e">
        <f>#REF!</f>
        <v>#REF!</v>
      </c>
      <c r="P31" s="324"/>
      <c r="Q31" s="330"/>
      <c r="R31" s="330"/>
      <c r="S31" s="330"/>
      <c r="T31" s="330"/>
      <c r="U31" s="330"/>
      <c r="V31" s="330"/>
      <c r="W31" s="330"/>
      <c r="X31" s="330"/>
      <c r="Y31" s="330"/>
      <c r="Z31" s="330"/>
      <c r="AA31" s="330"/>
      <c r="AB31" s="330"/>
      <c r="AC31" s="330"/>
      <c r="AD31" s="330"/>
    </row>
    <row r="32" spans="2:30">
      <c r="B32" s="320"/>
      <c r="C32" s="314"/>
      <c r="D32" s="322" t="s">
        <v>1307</v>
      </c>
      <c r="E32" s="322"/>
      <c r="F32" s="314" t="s">
        <v>1308</v>
      </c>
      <c r="G32" s="329" t="e">
        <f>#REF!</f>
        <v>#REF!</v>
      </c>
      <c r="H32" s="329" t="e">
        <f>#REF!</f>
        <v>#REF!</v>
      </c>
      <c r="I32" s="329" t="e">
        <f>#REF!</f>
        <v>#REF!</v>
      </c>
      <c r="J32" s="329" t="e">
        <f>#REF!</f>
        <v>#REF!</v>
      </c>
      <c r="K32" s="329" t="e">
        <f>#REF!</f>
        <v>#REF!</v>
      </c>
      <c r="L32" s="329" t="e">
        <f>#REF!</f>
        <v>#REF!</v>
      </c>
      <c r="M32" s="329" t="e">
        <f>#REF!</f>
        <v>#REF!</v>
      </c>
      <c r="N32" s="329" t="e">
        <f>#REF!</f>
        <v>#REF!</v>
      </c>
      <c r="O32" s="329" t="e">
        <f>#REF!</f>
        <v>#REF!</v>
      </c>
      <c r="P32" s="324"/>
      <c r="Q32" s="330"/>
      <c r="R32" s="330"/>
      <c r="S32" s="330"/>
      <c r="T32" s="330"/>
      <c r="U32" s="330"/>
      <c r="V32" s="330"/>
      <c r="W32" s="330"/>
      <c r="X32" s="330"/>
      <c r="Y32" s="330"/>
      <c r="Z32" s="330"/>
      <c r="AA32" s="330"/>
      <c r="AB32" s="330"/>
      <c r="AC32" s="330"/>
      <c r="AD32" s="330"/>
    </row>
    <row r="33" spans="2:30">
      <c r="B33" s="320"/>
      <c r="C33" s="314"/>
      <c r="D33" s="322" t="s">
        <v>1309</v>
      </c>
      <c r="E33" s="322"/>
      <c r="F33" s="314" t="s">
        <v>1310</v>
      </c>
      <c r="G33" s="329" t="e">
        <f>#REF!</f>
        <v>#REF!</v>
      </c>
      <c r="H33" s="329" t="e">
        <f>#REF!</f>
        <v>#REF!</v>
      </c>
      <c r="I33" s="329" t="e">
        <f>#REF!</f>
        <v>#REF!</v>
      </c>
      <c r="J33" s="329" t="e">
        <f>#REF!</f>
        <v>#REF!</v>
      </c>
      <c r="K33" s="329" t="e">
        <f>#REF!</f>
        <v>#REF!</v>
      </c>
      <c r="L33" s="329" t="e">
        <f>#REF!</f>
        <v>#REF!</v>
      </c>
      <c r="M33" s="329" t="e">
        <f>#REF!</f>
        <v>#REF!</v>
      </c>
      <c r="N33" s="329" t="e">
        <f>#REF!</f>
        <v>#REF!</v>
      </c>
      <c r="O33" s="329" t="e">
        <f>#REF!</f>
        <v>#REF!</v>
      </c>
      <c r="P33" s="324"/>
      <c r="Q33" s="330"/>
      <c r="R33" s="330"/>
      <c r="S33" s="330"/>
      <c r="T33" s="330"/>
      <c r="U33" s="330"/>
      <c r="V33" s="330"/>
      <c r="W33" s="330"/>
      <c r="X33" s="330"/>
      <c r="Y33" s="330"/>
      <c r="Z33" s="330"/>
      <c r="AA33" s="330"/>
      <c r="AB33" s="330"/>
      <c r="AC33" s="330"/>
      <c r="AD33" s="330"/>
    </row>
    <row r="34" spans="2:30">
      <c r="B34" s="320"/>
      <c r="C34" s="314"/>
      <c r="D34" s="322" t="s">
        <v>1311</v>
      </c>
      <c r="E34" s="322"/>
      <c r="F34" s="314" t="s">
        <v>106</v>
      </c>
      <c r="G34" s="329" t="e">
        <f>#REF!</f>
        <v>#REF!</v>
      </c>
      <c r="H34" s="329" t="e">
        <f>#REF!</f>
        <v>#REF!</v>
      </c>
      <c r="I34" s="329" t="e">
        <f>#REF!</f>
        <v>#REF!</v>
      </c>
      <c r="J34" s="329" t="e">
        <f>#REF!</f>
        <v>#REF!</v>
      </c>
      <c r="K34" s="329" t="e">
        <f>#REF!</f>
        <v>#REF!</v>
      </c>
      <c r="L34" s="329" t="e">
        <f>#REF!</f>
        <v>#REF!</v>
      </c>
      <c r="M34" s="329" t="e">
        <f>#REF!</f>
        <v>#REF!</v>
      </c>
      <c r="N34" s="329" t="e">
        <f>#REF!</f>
        <v>#REF!</v>
      </c>
      <c r="O34" s="329" t="e">
        <f>#REF!</f>
        <v>#REF!</v>
      </c>
      <c r="P34" s="324"/>
      <c r="Q34" s="330"/>
      <c r="R34" s="330"/>
      <c r="S34" s="330"/>
      <c r="T34" s="330"/>
      <c r="U34" s="330"/>
      <c r="V34" s="330"/>
      <c r="W34" s="330"/>
      <c r="X34" s="330"/>
      <c r="Y34" s="330"/>
      <c r="Z34" s="330"/>
      <c r="AA34" s="330"/>
      <c r="AB34" s="330"/>
      <c r="AC34" s="330"/>
      <c r="AD34" s="330"/>
    </row>
    <row r="35" spans="2:30">
      <c r="B35" s="320"/>
      <c r="C35" s="314"/>
      <c r="D35" s="322" t="s">
        <v>1312</v>
      </c>
      <c r="E35" s="322"/>
      <c r="F35" s="321" t="s">
        <v>1313</v>
      </c>
      <c r="G35" s="331" t="e">
        <f t="shared" ref="G35:N35" si="5">+G26+G29+G30+G31+G32+G33+G34</f>
        <v>#REF!</v>
      </c>
      <c r="H35" s="331" t="e">
        <f t="shared" si="5"/>
        <v>#REF!</v>
      </c>
      <c r="I35" s="331" t="e">
        <f t="shared" si="5"/>
        <v>#REF!</v>
      </c>
      <c r="J35" s="331" t="e">
        <f t="shared" si="5"/>
        <v>#REF!</v>
      </c>
      <c r="K35" s="331" t="e">
        <f t="shared" si="5"/>
        <v>#REF!</v>
      </c>
      <c r="L35" s="331" t="e">
        <f t="shared" si="5"/>
        <v>#REF!</v>
      </c>
      <c r="M35" s="331" t="e">
        <f t="shared" si="5"/>
        <v>#REF!</v>
      </c>
      <c r="N35" s="331" t="e">
        <f t="shared" si="5"/>
        <v>#REF!</v>
      </c>
      <c r="O35" s="331" t="e">
        <f>+O26+O29+O30+O31+O32+O33+O34</f>
        <v>#REF!</v>
      </c>
      <c r="P35" s="324"/>
    </row>
    <row r="36" spans="2:30">
      <c r="B36" s="320"/>
      <c r="C36" s="314"/>
      <c r="D36" s="322" t="s">
        <v>1314</v>
      </c>
      <c r="E36" s="322"/>
      <c r="F36" s="314" t="s">
        <v>1315</v>
      </c>
      <c r="G36" s="329">
        <v>0</v>
      </c>
      <c r="H36" s="329">
        <v>0</v>
      </c>
      <c r="I36" s="329">
        <v>0</v>
      </c>
      <c r="J36" s="329">
        <v>0</v>
      </c>
      <c r="K36" s="329">
        <v>0</v>
      </c>
      <c r="L36" s="329">
        <v>0</v>
      </c>
      <c r="M36" s="329">
        <v>0</v>
      </c>
      <c r="N36" s="329">
        <v>0</v>
      </c>
      <c r="O36" s="329">
        <v>0</v>
      </c>
      <c r="P36" s="324"/>
    </row>
    <row r="37" spans="2:30">
      <c r="B37" s="320"/>
      <c r="C37" s="314"/>
      <c r="D37" s="322"/>
      <c r="E37" s="322"/>
      <c r="F37" s="314" t="s">
        <v>1316</v>
      </c>
      <c r="G37" s="331" t="e">
        <f t="shared" ref="G37:N37" si="6">SUM(G35:G36)</f>
        <v>#REF!</v>
      </c>
      <c r="H37" s="331" t="e">
        <f t="shared" si="6"/>
        <v>#REF!</v>
      </c>
      <c r="I37" s="331" t="e">
        <f t="shared" si="6"/>
        <v>#REF!</v>
      </c>
      <c r="J37" s="331" t="e">
        <f t="shared" si="6"/>
        <v>#REF!</v>
      </c>
      <c r="K37" s="331" t="e">
        <f t="shared" si="6"/>
        <v>#REF!</v>
      </c>
      <c r="L37" s="331" t="e">
        <f t="shared" si="6"/>
        <v>#REF!</v>
      </c>
      <c r="M37" s="331" t="e">
        <f t="shared" si="6"/>
        <v>#REF!</v>
      </c>
      <c r="N37" s="331" t="e">
        <f t="shared" si="6"/>
        <v>#REF!</v>
      </c>
      <c r="O37" s="331" t="e">
        <f>SUM(O35:O36)</f>
        <v>#REF!</v>
      </c>
      <c r="P37" s="324"/>
    </row>
    <row r="38" spans="2:30">
      <c r="B38" s="320"/>
      <c r="C38" s="314"/>
      <c r="D38" s="322" t="s">
        <v>1317</v>
      </c>
      <c r="E38" s="322"/>
      <c r="F38" s="314" t="s">
        <v>1318</v>
      </c>
      <c r="G38" s="329">
        <v>0</v>
      </c>
      <c r="H38" s="329">
        <v>0</v>
      </c>
      <c r="I38" s="329">
        <v>0</v>
      </c>
      <c r="J38" s="329">
        <v>0</v>
      </c>
      <c r="K38" s="329">
        <v>0</v>
      </c>
      <c r="L38" s="329">
        <v>0</v>
      </c>
      <c r="M38" s="329">
        <v>0</v>
      </c>
      <c r="N38" s="329">
        <v>0</v>
      </c>
      <c r="O38" s="329">
        <v>0</v>
      </c>
      <c r="P38" s="324"/>
    </row>
    <row r="39" spans="2:30">
      <c r="B39" s="320"/>
      <c r="C39" s="314"/>
      <c r="D39" s="322" t="s">
        <v>1319</v>
      </c>
      <c r="E39" s="322"/>
      <c r="F39" s="321" t="s">
        <v>1320</v>
      </c>
      <c r="G39" s="331" t="e">
        <f t="shared" ref="G39:N39" si="7">G37-G38</f>
        <v>#REF!</v>
      </c>
      <c r="H39" s="331" t="e">
        <f t="shared" si="7"/>
        <v>#REF!</v>
      </c>
      <c r="I39" s="331" t="e">
        <f t="shared" si="7"/>
        <v>#REF!</v>
      </c>
      <c r="J39" s="331" t="e">
        <f t="shared" si="7"/>
        <v>#REF!</v>
      </c>
      <c r="K39" s="331" t="e">
        <f t="shared" si="7"/>
        <v>#REF!</v>
      </c>
      <c r="L39" s="331" t="e">
        <f t="shared" si="7"/>
        <v>#REF!</v>
      </c>
      <c r="M39" s="331" t="e">
        <f t="shared" si="7"/>
        <v>#REF!</v>
      </c>
      <c r="N39" s="331" t="e">
        <f t="shared" si="7"/>
        <v>#REF!</v>
      </c>
      <c r="O39" s="331" t="e">
        <f>O37-O38</f>
        <v>#REF!</v>
      </c>
      <c r="P39" s="324"/>
    </row>
    <row r="40" spans="2:30">
      <c r="B40" s="320"/>
      <c r="C40" s="314"/>
      <c r="D40" s="322" t="s">
        <v>1321</v>
      </c>
      <c r="E40" s="322"/>
      <c r="F40" s="314" t="s">
        <v>1322</v>
      </c>
      <c r="G40" s="329"/>
      <c r="H40" s="329">
        <v>0</v>
      </c>
      <c r="I40" s="329">
        <v>0</v>
      </c>
      <c r="J40" s="329">
        <v>0</v>
      </c>
      <c r="K40" s="329">
        <v>0</v>
      </c>
      <c r="L40" s="329">
        <v>0</v>
      </c>
      <c r="M40" s="329">
        <v>0</v>
      </c>
      <c r="N40" s="329">
        <v>0</v>
      </c>
      <c r="O40" s="329">
        <v>0</v>
      </c>
      <c r="P40" s="324"/>
    </row>
    <row r="41" spans="2:30">
      <c r="B41" s="320"/>
      <c r="C41" s="314"/>
      <c r="D41" s="322"/>
      <c r="E41" s="322"/>
      <c r="F41" s="314" t="s">
        <v>1316</v>
      </c>
      <c r="G41" s="331" t="e">
        <f t="shared" ref="G41:N41" si="8">SUM(G39:G40)</f>
        <v>#REF!</v>
      </c>
      <c r="H41" s="331" t="e">
        <f t="shared" si="8"/>
        <v>#REF!</v>
      </c>
      <c r="I41" s="331" t="e">
        <f t="shared" si="8"/>
        <v>#REF!</v>
      </c>
      <c r="J41" s="331" t="e">
        <f t="shared" si="8"/>
        <v>#REF!</v>
      </c>
      <c r="K41" s="331" t="e">
        <f t="shared" si="8"/>
        <v>#REF!</v>
      </c>
      <c r="L41" s="331" t="e">
        <f t="shared" si="8"/>
        <v>#REF!</v>
      </c>
      <c r="M41" s="331" t="e">
        <f t="shared" si="8"/>
        <v>#REF!</v>
      </c>
      <c r="N41" s="331" t="e">
        <f t="shared" si="8"/>
        <v>#REF!</v>
      </c>
      <c r="O41" s="331" t="e">
        <f>SUM(O39:O40)</f>
        <v>#REF!</v>
      </c>
      <c r="P41" s="324"/>
    </row>
    <row r="42" spans="2:30">
      <c r="B42" s="320"/>
      <c r="C42" s="314"/>
      <c r="D42" s="322" t="s">
        <v>1323</v>
      </c>
      <c r="E42" s="322"/>
      <c r="F42" s="314" t="s">
        <v>1324</v>
      </c>
      <c r="G42" s="329">
        <v>0</v>
      </c>
      <c r="H42" s="329">
        <v>0</v>
      </c>
      <c r="I42" s="329">
        <v>0</v>
      </c>
      <c r="J42" s="329">
        <v>0</v>
      </c>
      <c r="K42" s="329">
        <v>0</v>
      </c>
      <c r="L42" s="329">
        <v>0</v>
      </c>
      <c r="M42" s="329">
        <v>0</v>
      </c>
      <c r="N42" s="329">
        <v>0</v>
      </c>
      <c r="O42" s="329">
        <v>0</v>
      </c>
      <c r="P42" s="324"/>
    </row>
    <row r="43" spans="2:30">
      <c r="B43" s="320"/>
      <c r="C43" s="314"/>
      <c r="D43" s="322" t="s">
        <v>1325</v>
      </c>
      <c r="E43" s="322"/>
      <c r="F43" s="321" t="s">
        <v>1326</v>
      </c>
      <c r="G43" s="331" t="e">
        <f t="shared" ref="G43:N43" si="9">G41-G42</f>
        <v>#REF!</v>
      </c>
      <c r="H43" s="331" t="e">
        <f t="shared" si="9"/>
        <v>#REF!</v>
      </c>
      <c r="I43" s="331" t="e">
        <f t="shared" si="9"/>
        <v>#REF!</v>
      </c>
      <c r="J43" s="331" t="e">
        <f t="shared" si="9"/>
        <v>#REF!</v>
      </c>
      <c r="K43" s="331" t="e">
        <f t="shared" si="9"/>
        <v>#REF!</v>
      </c>
      <c r="L43" s="331" t="e">
        <f t="shared" si="9"/>
        <v>#REF!</v>
      </c>
      <c r="M43" s="331" t="e">
        <f t="shared" si="9"/>
        <v>#REF!</v>
      </c>
      <c r="N43" s="331" t="e">
        <f t="shared" si="9"/>
        <v>#REF!</v>
      </c>
      <c r="O43" s="331" t="e">
        <f>O41-O42</f>
        <v>#REF!</v>
      </c>
      <c r="P43" s="324"/>
    </row>
    <row r="44" spans="2:30" ht="6.75" customHeight="1">
      <c r="B44" s="320"/>
      <c r="C44" s="314"/>
      <c r="D44" s="322"/>
      <c r="E44" s="322"/>
      <c r="F44" s="314"/>
      <c r="G44" s="329"/>
      <c r="H44" s="329"/>
      <c r="I44" s="329"/>
      <c r="J44" s="329"/>
      <c r="K44" s="329"/>
      <c r="L44" s="329"/>
      <c r="M44" s="329"/>
      <c r="N44" s="329"/>
      <c r="O44" s="329"/>
      <c r="P44" s="324"/>
    </row>
    <row r="45" spans="2:30" hidden="1">
      <c r="B45" s="320"/>
      <c r="C45" s="314"/>
      <c r="D45" s="322" t="s">
        <v>1327</v>
      </c>
      <c r="E45" s="322"/>
      <c r="F45" s="314" t="s">
        <v>1328</v>
      </c>
      <c r="G45" s="329">
        <v>0</v>
      </c>
      <c r="H45" s="329">
        <v>0</v>
      </c>
      <c r="I45" s="329">
        <v>0</v>
      </c>
      <c r="J45" s="329"/>
      <c r="K45" s="329"/>
      <c r="L45" s="329"/>
      <c r="M45" s="329"/>
      <c r="N45" s="329"/>
      <c r="O45" s="329"/>
      <c r="P45" s="324"/>
    </row>
    <row r="46" spans="2:30" hidden="1">
      <c r="B46" s="320"/>
      <c r="C46" s="314"/>
      <c r="D46" s="322" t="s">
        <v>1329</v>
      </c>
      <c r="E46" s="322"/>
      <c r="F46" s="314" t="s">
        <v>1330</v>
      </c>
      <c r="G46" s="329" t="e">
        <f>#REF!</f>
        <v>#REF!</v>
      </c>
      <c r="H46" s="329" t="e">
        <f>#REF!</f>
        <v>#REF!</v>
      </c>
      <c r="I46" s="329" t="e">
        <f>#REF!</f>
        <v>#REF!</v>
      </c>
      <c r="J46" s="329"/>
      <c r="K46" s="329"/>
      <c r="L46" s="329"/>
      <c r="M46" s="329"/>
      <c r="N46" s="329"/>
      <c r="O46" s="329"/>
      <c r="P46" s="324"/>
    </row>
    <row r="47" spans="2:30" hidden="1">
      <c r="B47" s="320"/>
      <c r="C47" s="314"/>
      <c r="D47" s="322"/>
      <c r="E47" s="322"/>
      <c r="F47" s="314" t="s">
        <v>1331</v>
      </c>
      <c r="G47" s="329" t="e">
        <f>SUM(G45:G46)</f>
        <v>#REF!</v>
      </c>
      <c r="H47" s="329" t="e">
        <f>SUM(H45:H46)</f>
        <v>#REF!</v>
      </c>
      <c r="I47" s="329" t="e">
        <f>SUM(I45:I46)</f>
        <v>#REF!</v>
      </c>
      <c r="J47" s="329"/>
      <c r="K47" s="329"/>
      <c r="L47" s="329"/>
      <c r="M47" s="329"/>
      <c r="N47" s="329"/>
      <c r="O47" s="329"/>
      <c r="P47" s="324"/>
    </row>
    <row r="48" spans="2:30" hidden="1">
      <c r="B48" s="320"/>
      <c r="C48" s="314"/>
      <c r="D48" s="322" t="s">
        <v>1332</v>
      </c>
      <c r="E48" s="322"/>
      <c r="F48" s="314" t="s">
        <v>1333</v>
      </c>
      <c r="G48" s="329">
        <v>0</v>
      </c>
      <c r="H48" s="329">
        <v>0</v>
      </c>
      <c r="I48" s="329">
        <v>0</v>
      </c>
      <c r="J48" s="329"/>
      <c r="K48" s="329"/>
      <c r="L48" s="329"/>
      <c r="M48" s="329"/>
      <c r="N48" s="329"/>
      <c r="O48" s="329"/>
      <c r="P48" s="324"/>
    </row>
    <row r="49" spans="2:16" hidden="1">
      <c r="B49" s="320"/>
      <c r="C49" s="314"/>
      <c r="D49" s="322" t="s">
        <v>1334</v>
      </c>
      <c r="E49" s="322"/>
      <c r="F49" s="314" t="s">
        <v>1335</v>
      </c>
      <c r="G49" s="329" t="e">
        <f>G47-G48</f>
        <v>#REF!</v>
      </c>
      <c r="H49" s="329" t="e">
        <f>H47-H48</f>
        <v>#REF!</v>
      </c>
      <c r="I49" s="329" t="e">
        <f>I47-I48</f>
        <v>#REF!</v>
      </c>
      <c r="J49" s="329"/>
      <c r="K49" s="329"/>
      <c r="L49" s="329"/>
      <c r="M49" s="329"/>
      <c r="N49" s="329"/>
      <c r="O49" s="329"/>
      <c r="P49" s="324"/>
    </row>
    <row r="50" spans="2:16" hidden="1">
      <c r="B50" s="320"/>
      <c r="C50" s="314"/>
      <c r="D50" s="322"/>
      <c r="E50" s="322"/>
      <c r="F50" s="314"/>
      <c r="G50" s="329"/>
      <c r="H50" s="329"/>
      <c r="I50" s="329"/>
      <c r="J50" s="329"/>
      <c r="K50" s="329"/>
      <c r="L50" s="329"/>
      <c r="M50" s="329"/>
      <c r="N50" s="329"/>
      <c r="O50" s="329"/>
      <c r="P50" s="324"/>
    </row>
    <row r="51" spans="2:16" hidden="1">
      <c r="B51" s="320"/>
      <c r="C51" s="314"/>
      <c r="D51" s="322" t="s">
        <v>1336</v>
      </c>
      <c r="E51" s="322"/>
      <c r="F51" s="314" t="s">
        <v>1337</v>
      </c>
      <c r="G51" s="329" t="e">
        <f>SUM(G43+G49)</f>
        <v>#REF!</v>
      </c>
      <c r="H51" s="329" t="e">
        <f>SUM(H43+H49)</f>
        <v>#REF!</v>
      </c>
      <c r="I51" s="329" t="e">
        <f>SUM(I43+I49)</f>
        <v>#REF!</v>
      </c>
      <c r="J51" s="329"/>
      <c r="K51" s="329"/>
      <c r="L51" s="329"/>
      <c r="M51" s="329"/>
      <c r="N51" s="329"/>
      <c r="O51" s="329"/>
      <c r="P51" s="324"/>
    </row>
    <row r="52" spans="2:16" hidden="1">
      <c r="B52" s="320"/>
      <c r="C52" s="314"/>
      <c r="D52" s="314"/>
      <c r="E52" s="314"/>
      <c r="F52" s="314"/>
      <c r="G52" s="329"/>
      <c r="H52" s="329"/>
      <c r="I52" s="329"/>
      <c r="J52" s="329"/>
      <c r="K52" s="329"/>
      <c r="L52" s="329"/>
      <c r="M52" s="329"/>
      <c r="N52" s="329"/>
      <c r="O52" s="329"/>
      <c r="P52" s="324"/>
    </row>
    <row r="53" spans="2:16" hidden="1">
      <c r="B53" s="320"/>
      <c r="C53" s="314"/>
      <c r="D53" s="314"/>
      <c r="E53" s="314"/>
      <c r="F53" s="314"/>
      <c r="G53" s="329"/>
      <c r="H53" s="329"/>
      <c r="I53" s="329"/>
      <c r="J53" s="329"/>
      <c r="K53" s="329"/>
      <c r="L53" s="329"/>
      <c r="M53" s="329"/>
      <c r="N53" s="329"/>
      <c r="O53" s="329"/>
      <c r="P53" s="324"/>
    </row>
    <row r="54" spans="2:16" hidden="1">
      <c r="B54" s="320"/>
      <c r="C54" s="314"/>
      <c r="D54" s="314"/>
      <c r="E54" s="314"/>
      <c r="F54" s="314"/>
      <c r="G54" s="329"/>
      <c r="H54" s="329"/>
      <c r="I54" s="329"/>
      <c r="J54" s="329"/>
      <c r="K54" s="329"/>
      <c r="L54" s="329"/>
      <c r="M54" s="329"/>
      <c r="N54" s="329"/>
      <c r="O54" s="329"/>
      <c r="P54" s="324"/>
    </row>
    <row r="55" spans="2:16" ht="8.25" customHeight="1">
      <c r="B55" s="320"/>
      <c r="C55" s="314"/>
      <c r="D55" s="314"/>
      <c r="E55" s="314"/>
      <c r="F55" s="314"/>
      <c r="G55" s="329"/>
      <c r="H55" s="329"/>
      <c r="I55" s="329"/>
      <c r="J55" s="329"/>
      <c r="K55" s="329"/>
      <c r="L55" s="329"/>
      <c r="M55" s="329"/>
      <c r="N55" s="329"/>
      <c r="O55" s="329"/>
      <c r="P55" s="324"/>
    </row>
    <row r="56" spans="2:16">
      <c r="B56" s="320"/>
      <c r="C56" s="314">
        <v>6</v>
      </c>
      <c r="D56" s="314" t="s">
        <v>1338</v>
      </c>
      <c r="E56" s="314"/>
      <c r="F56" s="314"/>
      <c r="G56" s="329" t="e">
        <f>#REF!+#REF!</f>
        <v>#REF!</v>
      </c>
      <c r="H56" s="329" t="e">
        <f>#REF!+#REF!</f>
        <v>#REF!</v>
      </c>
      <c r="I56" s="329" t="e">
        <f>#REF!+#REF!</f>
        <v>#REF!</v>
      </c>
      <c r="J56" s="329" t="e">
        <f>#REF!+#REF!</f>
        <v>#REF!</v>
      </c>
      <c r="K56" s="329" t="e">
        <f>#REF!+#REF!</f>
        <v>#REF!</v>
      </c>
      <c r="L56" s="329" t="e">
        <f>#REF!+#REF!</f>
        <v>#REF!</v>
      </c>
      <c r="M56" s="329" t="e">
        <f>#REF!+#REF!</f>
        <v>#REF!</v>
      </c>
      <c r="N56" s="329" t="e">
        <f>#REF!+#REF!</f>
        <v>#REF!</v>
      </c>
      <c r="O56" s="329" t="e">
        <f>#REF!+#REF!</f>
        <v>#REF!</v>
      </c>
      <c r="P56" s="324"/>
    </row>
    <row r="57" spans="2:16" ht="7.5" customHeight="1">
      <c r="B57" s="320"/>
      <c r="C57" s="314"/>
      <c r="D57" s="314"/>
      <c r="E57" s="314"/>
      <c r="F57" s="314"/>
      <c r="G57" s="329"/>
      <c r="H57" s="329"/>
      <c r="I57" s="329"/>
      <c r="J57" s="329"/>
      <c r="K57" s="329"/>
      <c r="L57" s="329"/>
      <c r="M57" s="329"/>
      <c r="N57" s="329"/>
      <c r="O57" s="329"/>
      <c r="P57" s="324"/>
    </row>
    <row r="58" spans="2:16" ht="7.5" customHeight="1">
      <c r="B58" s="320"/>
      <c r="C58" s="314"/>
      <c r="D58" s="314"/>
      <c r="E58" s="314"/>
      <c r="F58" s="314"/>
      <c r="G58" s="329"/>
      <c r="H58" s="329"/>
      <c r="I58" s="329"/>
      <c r="J58" s="329"/>
      <c r="K58" s="329"/>
      <c r="L58" s="329"/>
      <c r="M58" s="329"/>
      <c r="N58" s="329"/>
      <c r="O58" s="329"/>
      <c r="P58" s="324"/>
    </row>
    <row r="59" spans="2:16">
      <c r="B59" s="320"/>
      <c r="C59" s="314">
        <v>7</v>
      </c>
      <c r="D59" s="314" t="s">
        <v>1339</v>
      </c>
      <c r="E59" s="314"/>
      <c r="F59" s="314"/>
      <c r="G59" s="329" t="e">
        <f t="shared" ref="G59:L59" si="10">G43+G56</f>
        <v>#REF!</v>
      </c>
      <c r="H59" s="329" t="e">
        <f t="shared" si="10"/>
        <v>#REF!</v>
      </c>
      <c r="I59" s="329" t="e">
        <f t="shared" si="10"/>
        <v>#REF!</v>
      </c>
      <c r="J59" s="329" t="e">
        <f t="shared" si="10"/>
        <v>#REF!</v>
      </c>
      <c r="K59" s="329" t="e">
        <f t="shared" si="10"/>
        <v>#REF!</v>
      </c>
      <c r="L59" s="329" t="e">
        <f t="shared" si="10"/>
        <v>#REF!</v>
      </c>
      <c r="M59" s="329" t="e">
        <f>M43+M56</f>
        <v>#REF!</v>
      </c>
      <c r="N59" s="329" t="e">
        <f>N43+N56</f>
        <v>#REF!</v>
      </c>
      <c r="O59" s="329" t="e">
        <f>O43+O56</f>
        <v>#REF!</v>
      </c>
      <c r="P59" s="324"/>
    </row>
    <row r="60" spans="2:16" ht="6" customHeight="1">
      <c r="B60" s="320"/>
      <c r="C60" s="314"/>
      <c r="D60" s="314"/>
      <c r="E60" s="314"/>
      <c r="F60" s="314"/>
      <c r="G60" s="329"/>
      <c r="H60" s="329"/>
      <c r="I60" s="329"/>
      <c r="J60" s="329"/>
      <c r="K60" s="329"/>
      <c r="L60" s="329"/>
      <c r="M60" s="329"/>
      <c r="N60" s="329"/>
      <c r="O60" s="329"/>
      <c r="P60" s="324"/>
    </row>
    <row r="61" spans="2:16">
      <c r="B61" s="320"/>
      <c r="C61" s="314">
        <v>8</v>
      </c>
      <c r="D61" s="314" t="s">
        <v>1340</v>
      </c>
      <c r="E61" s="314"/>
      <c r="F61" s="314"/>
      <c r="G61" s="329" t="e">
        <f t="shared" ref="G61:L61" si="11">G17-G59</f>
        <v>#REF!</v>
      </c>
      <c r="H61" s="329" t="e">
        <f t="shared" si="11"/>
        <v>#REF!</v>
      </c>
      <c r="I61" s="329" t="e">
        <f t="shared" si="11"/>
        <v>#REF!</v>
      </c>
      <c r="J61" s="329" t="e">
        <f t="shared" si="11"/>
        <v>#REF!</v>
      </c>
      <c r="K61" s="329" t="e">
        <f t="shared" si="11"/>
        <v>#REF!</v>
      </c>
      <c r="L61" s="329" t="e">
        <f t="shared" si="11"/>
        <v>#REF!</v>
      </c>
      <c r="M61" s="329" t="e">
        <f>M17-M59</f>
        <v>#REF!</v>
      </c>
      <c r="N61" s="329" t="e">
        <f>N17-N59</f>
        <v>#REF!</v>
      </c>
      <c r="O61" s="329" t="e">
        <f>O17-O59</f>
        <v>#REF!</v>
      </c>
      <c r="P61" s="324"/>
    </row>
    <row r="62" spans="2:16" ht="6" customHeight="1">
      <c r="B62" s="320"/>
      <c r="C62" s="314"/>
      <c r="D62" s="314"/>
      <c r="E62" s="314"/>
      <c r="F62" s="314"/>
      <c r="G62" s="329"/>
      <c r="H62" s="329"/>
      <c r="I62" s="329"/>
      <c r="J62" s="329"/>
      <c r="K62" s="329"/>
      <c r="L62" s="329"/>
      <c r="M62" s="329"/>
      <c r="N62" s="329"/>
      <c r="O62" s="329"/>
      <c r="P62" s="324"/>
    </row>
    <row r="63" spans="2:16">
      <c r="B63" s="320"/>
      <c r="C63" s="314">
        <v>9</v>
      </c>
      <c r="D63" s="314" t="s">
        <v>711</v>
      </c>
      <c r="E63" s="314"/>
      <c r="F63" s="314"/>
      <c r="G63" s="329" t="e">
        <f>#REF!+#REF!</f>
        <v>#REF!</v>
      </c>
      <c r="H63" s="329" t="e">
        <f>#REF!+#REF!</f>
        <v>#REF!</v>
      </c>
      <c r="I63" s="329" t="e">
        <f>#REF!+#REF!</f>
        <v>#REF!</v>
      </c>
      <c r="J63" s="329" t="e">
        <f>#REF!+#REF!</f>
        <v>#REF!</v>
      </c>
      <c r="K63" s="329" t="e">
        <f>#REF!+#REF!</f>
        <v>#REF!</v>
      </c>
      <c r="L63" s="329" t="e">
        <f>#REF!+#REF!</f>
        <v>#REF!</v>
      </c>
      <c r="M63" s="329" t="e">
        <f>#REF!+#REF!</f>
        <v>#REF!</v>
      </c>
      <c r="N63" s="329" t="e">
        <f>#REF!+#REF!</f>
        <v>#REF!</v>
      </c>
      <c r="O63" s="329" t="e">
        <f>#REF!+#REF!</f>
        <v>#REF!</v>
      </c>
      <c r="P63" s="324"/>
    </row>
    <row r="64" spans="2:16" ht="8.25" customHeight="1">
      <c r="B64" s="320"/>
      <c r="C64" s="314"/>
      <c r="D64" s="314"/>
      <c r="E64" s="314"/>
      <c r="F64" s="314"/>
      <c r="G64" s="329"/>
      <c r="H64" s="329"/>
      <c r="I64" s="329"/>
      <c r="J64" s="329"/>
      <c r="K64" s="329"/>
      <c r="L64" s="329"/>
      <c r="M64" s="329"/>
      <c r="N64" s="329"/>
      <c r="O64" s="329"/>
      <c r="P64" s="324"/>
    </row>
    <row r="65" spans="2:16">
      <c r="B65" s="320"/>
      <c r="C65" s="314">
        <v>10</v>
      </c>
      <c r="D65" s="314" t="s">
        <v>1341</v>
      </c>
      <c r="E65" s="314"/>
      <c r="F65" s="314"/>
      <c r="G65" s="329" t="e">
        <f t="shared" ref="G65:L65" si="12">G61-G63</f>
        <v>#REF!</v>
      </c>
      <c r="H65" s="329" t="e">
        <f t="shared" si="12"/>
        <v>#REF!</v>
      </c>
      <c r="I65" s="329" t="e">
        <f t="shared" si="12"/>
        <v>#REF!</v>
      </c>
      <c r="J65" s="329" t="e">
        <f t="shared" si="12"/>
        <v>#REF!</v>
      </c>
      <c r="K65" s="329" t="e">
        <f t="shared" si="12"/>
        <v>#REF!</v>
      </c>
      <c r="L65" s="329" t="e">
        <f t="shared" si="12"/>
        <v>#REF!</v>
      </c>
      <c r="M65" s="329" t="e">
        <f>M61-M63</f>
        <v>#REF!</v>
      </c>
      <c r="N65" s="329" t="e">
        <f>N61-N63</f>
        <v>#REF!</v>
      </c>
      <c r="O65" s="329" t="e">
        <f>O61-O63</f>
        <v>#REF!</v>
      </c>
      <c r="P65" s="324"/>
    </row>
    <row r="66" spans="2:16" ht="6.75" customHeight="1">
      <c r="B66" s="320"/>
      <c r="C66" s="314"/>
      <c r="D66" s="314"/>
      <c r="E66" s="314"/>
      <c r="F66" s="314"/>
      <c r="G66" s="329"/>
      <c r="H66" s="329"/>
      <c r="I66" s="329"/>
      <c r="J66" s="329"/>
      <c r="K66" s="329"/>
      <c r="L66" s="329"/>
      <c r="M66" s="329"/>
      <c r="N66" s="329"/>
      <c r="O66" s="329"/>
      <c r="P66" s="324"/>
    </row>
    <row r="67" spans="2:16">
      <c r="B67" s="320"/>
      <c r="C67" s="314">
        <v>11</v>
      </c>
      <c r="D67" s="322" t="s">
        <v>1297</v>
      </c>
      <c r="E67" s="322"/>
      <c r="F67" s="337" t="s">
        <v>1342</v>
      </c>
      <c r="G67" s="329"/>
      <c r="H67" s="329"/>
      <c r="I67" s="329"/>
      <c r="J67" s="329"/>
      <c r="K67" s="329"/>
      <c r="L67" s="329"/>
      <c r="M67" s="329"/>
      <c r="N67" s="329"/>
      <c r="O67" s="329"/>
      <c r="P67" s="324"/>
    </row>
    <row r="68" spans="2:16">
      <c r="B68" s="320"/>
      <c r="C68" s="314"/>
      <c r="D68" s="314"/>
      <c r="E68" s="322" t="s">
        <v>1288</v>
      </c>
      <c r="F68" s="314" t="s">
        <v>1343</v>
      </c>
      <c r="G68" s="329"/>
      <c r="H68" s="329"/>
      <c r="I68" s="329"/>
      <c r="J68" s="329"/>
      <c r="K68" s="329"/>
      <c r="L68" s="329"/>
      <c r="M68" s="329"/>
      <c r="N68" s="329"/>
      <c r="O68" s="329"/>
      <c r="P68" s="324"/>
    </row>
    <row r="69" spans="2:16">
      <c r="B69" s="320"/>
      <c r="C69" s="314"/>
      <c r="D69" s="314"/>
      <c r="E69" s="322" t="s">
        <v>1290</v>
      </c>
      <c r="F69" s="314" t="s">
        <v>17</v>
      </c>
      <c r="G69" s="329">
        <v>0</v>
      </c>
      <c r="H69" s="329">
        <v>0</v>
      </c>
      <c r="I69" s="329">
        <v>0</v>
      </c>
      <c r="J69" s="329">
        <v>0</v>
      </c>
      <c r="K69" s="329">
        <v>0</v>
      </c>
      <c r="L69" s="329">
        <v>0</v>
      </c>
      <c r="M69" s="329">
        <v>0</v>
      </c>
      <c r="N69" s="329">
        <v>0</v>
      </c>
      <c r="O69" s="329">
        <v>0</v>
      </c>
      <c r="P69" s="324"/>
    </row>
    <row r="70" spans="2:16">
      <c r="B70" s="320"/>
      <c r="C70" s="314"/>
      <c r="D70" s="314"/>
      <c r="E70" s="314"/>
      <c r="F70" s="314" t="s">
        <v>1344</v>
      </c>
      <c r="G70" s="329"/>
      <c r="H70" s="329"/>
      <c r="I70" s="329"/>
      <c r="J70" s="329"/>
      <c r="K70" s="329"/>
      <c r="L70" s="329"/>
      <c r="M70" s="329"/>
      <c r="N70" s="329"/>
      <c r="O70" s="329"/>
      <c r="P70" s="324"/>
    </row>
    <row r="71" spans="2:16">
      <c r="B71" s="320"/>
      <c r="C71" s="314"/>
      <c r="D71" s="322" t="s">
        <v>1302</v>
      </c>
      <c r="E71" s="322"/>
      <c r="F71" s="314" t="s">
        <v>1345</v>
      </c>
      <c r="G71" s="329"/>
      <c r="H71" s="329"/>
      <c r="I71" s="329"/>
      <c r="J71" s="329"/>
      <c r="K71" s="329"/>
      <c r="L71" s="329"/>
      <c r="M71" s="329"/>
      <c r="N71" s="329"/>
      <c r="O71" s="329"/>
      <c r="P71" s="324"/>
    </row>
    <row r="72" spans="2:16">
      <c r="B72" s="320"/>
      <c r="C72" s="314"/>
      <c r="D72" s="314"/>
      <c r="E72" s="322" t="s">
        <v>1288</v>
      </c>
      <c r="F72" s="314" t="s">
        <v>1346</v>
      </c>
      <c r="G72" s="329"/>
      <c r="H72" s="329"/>
      <c r="I72" s="329"/>
      <c r="J72" s="329"/>
      <c r="K72" s="329"/>
      <c r="L72" s="329"/>
      <c r="M72" s="329"/>
      <c r="N72" s="329"/>
      <c r="O72" s="329"/>
      <c r="P72" s="324"/>
    </row>
    <row r="73" spans="2:16">
      <c r="B73" s="320"/>
      <c r="C73" s="314"/>
      <c r="D73" s="314"/>
      <c r="E73" s="322" t="s">
        <v>1290</v>
      </c>
      <c r="F73" s="314"/>
      <c r="G73" s="329"/>
      <c r="H73" s="329"/>
      <c r="I73" s="329"/>
      <c r="J73" s="329"/>
      <c r="K73" s="329"/>
      <c r="L73" s="329"/>
      <c r="M73" s="329"/>
      <c r="N73" s="329"/>
      <c r="O73" s="329"/>
      <c r="P73" s="324"/>
    </row>
    <row r="74" spans="2:16">
      <c r="B74" s="320"/>
      <c r="C74" s="314"/>
      <c r="D74" s="314"/>
      <c r="E74" s="314"/>
      <c r="F74" s="314" t="s">
        <v>1347</v>
      </c>
      <c r="G74" s="329">
        <f>SUM(G72:G73)</f>
        <v>0</v>
      </c>
      <c r="H74" s="329">
        <f>SUM(H72:H73)</f>
        <v>0</v>
      </c>
      <c r="I74" s="329">
        <f>SUM(I72:I73)</f>
        <v>0</v>
      </c>
      <c r="J74" s="329">
        <v>0</v>
      </c>
      <c r="K74" s="329">
        <v>0</v>
      </c>
      <c r="L74" s="329">
        <v>0</v>
      </c>
      <c r="M74" s="329">
        <v>0</v>
      </c>
      <c r="N74" s="329">
        <v>0</v>
      </c>
      <c r="O74" s="329">
        <v>0</v>
      </c>
      <c r="P74" s="324"/>
    </row>
    <row r="75" spans="2:16">
      <c r="B75" s="320"/>
      <c r="C75" s="314"/>
      <c r="D75" s="322" t="s">
        <v>1305</v>
      </c>
      <c r="E75" s="322"/>
      <c r="F75" s="314" t="s">
        <v>1348</v>
      </c>
      <c r="G75" s="329">
        <f t="shared" ref="G75:N75" si="13">G70-G74</f>
        <v>0</v>
      </c>
      <c r="H75" s="329">
        <f t="shared" si="13"/>
        <v>0</v>
      </c>
      <c r="I75" s="329">
        <f t="shared" si="13"/>
        <v>0</v>
      </c>
      <c r="J75" s="329">
        <f t="shared" si="13"/>
        <v>0</v>
      </c>
      <c r="K75" s="329">
        <f t="shared" si="13"/>
        <v>0</v>
      </c>
      <c r="L75" s="329">
        <f t="shared" si="13"/>
        <v>0</v>
      </c>
      <c r="M75" s="329">
        <f t="shared" si="13"/>
        <v>0</v>
      </c>
      <c r="N75" s="329">
        <f t="shared" si="13"/>
        <v>0</v>
      </c>
      <c r="O75" s="329">
        <f>O70-O74</f>
        <v>0</v>
      </c>
      <c r="P75" s="324"/>
    </row>
    <row r="76" spans="2:16" ht="6.75" customHeight="1">
      <c r="B76" s="320"/>
      <c r="C76" s="314"/>
      <c r="D76" s="314"/>
      <c r="E76" s="314"/>
      <c r="F76" s="314"/>
      <c r="G76" s="329"/>
      <c r="H76" s="329"/>
      <c r="I76" s="329"/>
      <c r="J76" s="329"/>
      <c r="K76" s="329"/>
      <c r="L76" s="329"/>
      <c r="M76" s="329"/>
      <c r="N76" s="329"/>
      <c r="O76" s="329"/>
      <c r="P76" s="324"/>
    </row>
    <row r="77" spans="2:16">
      <c r="B77" s="320"/>
      <c r="C77" s="314">
        <v>12</v>
      </c>
      <c r="D77" s="314" t="s">
        <v>1349</v>
      </c>
      <c r="E77" s="314"/>
      <c r="F77" s="314"/>
      <c r="G77" s="329" t="e">
        <f t="shared" ref="G77:L77" si="14">SUM(G65+G69+G75)</f>
        <v>#REF!</v>
      </c>
      <c r="H77" s="329" t="e">
        <f t="shared" si="14"/>
        <v>#REF!</v>
      </c>
      <c r="I77" s="329" t="e">
        <f t="shared" si="14"/>
        <v>#REF!</v>
      </c>
      <c r="J77" s="329" t="e">
        <f t="shared" si="14"/>
        <v>#REF!</v>
      </c>
      <c r="K77" s="329" t="e">
        <f t="shared" si="14"/>
        <v>#REF!</v>
      </c>
      <c r="L77" s="329" t="e">
        <f t="shared" si="14"/>
        <v>#REF!</v>
      </c>
      <c r="M77" s="329" t="e">
        <f>SUM(M65+M69+M75)</f>
        <v>#REF!</v>
      </c>
      <c r="N77" s="329" t="e">
        <f>SUM(N65+N69+N75)</f>
        <v>#REF!</v>
      </c>
      <c r="O77" s="329" t="e">
        <f>SUM(O65+O69+O75)</f>
        <v>#REF!</v>
      </c>
      <c r="P77" s="324"/>
    </row>
    <row r="78" spans="2:16" ht="6.75" customHeight="1">
      <c r="B78" s="320"/>
      <c r="C78" s="314"/>
      <c r="D78" s="314"/>
      <c r="E78" s="314"/>
      <c r="F78" s="314"/>
      <c r="G78" s="329"/>
      <c r="H78" s="329"/>
      <c r="I78" s="329"/>
      <c r="J78" s="329"/>
      <c r="K78" s="329"/>
      <c r="L78" s="329"/>
      <c r="M78" s="329"/>
      <c r="N78" s="329"/>
      <c r="O78" s="329"/>
      <c r="P78" s="324"/>
    </row>
    <row r="79" spans="2:16">
      <c r="B79" s="320"/>
      <c r="C79" s="314">
        <v>13</v>
      </c>
      <c r="D79" s="314" t="s">
        <v>935</v>
      </c>
      <c r="E79" s="314"/>
      <c r="F79" s="314"/>
      <c r="G79" s="329" t="e">
        <f>#REF!</f>
        <v>#REF!</v>
      </c>
      <c r="H79" s="329" t="e">
        <f>#REF!</f>
        <v>#REF!</v>
      </c>
      <c r="I79" s="329" t="e">
        <f>#REF!</f>
        <v>#REF!</v>
      </c>
      <c r="J79" s="329" t="e">
        <f>#REF!</f>
        <v>#REF!</v>
      </c>
      <c r="K79" s="329" t="e">
        <f>#REF!</f>
        <v>#REF!</v>
      </c>
      <c r="L79" s="329" t="e">
        <f>#REF!</f>
        <v>#REF!</v>
      </c>
      <c r="M79" s="329" t="e">
        <f>#REF!</f>
        <v>#REF!</v>
      </c>
      <c r="N79" s="329" t="e">
        <f>#REF!</f>
        <v>#REF!</v>
      </c>
      <c r="O79" s="329" t="e">
        <f>#REF!</f>
        <v>#REF!</v>
      </c>
      <c r="P79" s="324"/>
    </row>
    <row r="80" spans="2:16" ht="7.5" customHeight="1">
      <c r="B80" s="320"/>
      <c r="C80" s="314"/>
      <c r="D80" s="314"/>
      <c r="E80" s="314"/>
      <c r="F80" s="314"/>
      <c r="G80" s="329"/>
      <c r="H80" s="329"/>
      <c r="I80" s="329"/>
      <c r="J80" s="329"/>
      <c r="K80" s="329"/>
      <c r="L80" s="329"/>
      <c r="M80" s="329"/>
      <c r="N80" s="329"/>
      <c r="O80" s="329"/>
      <c r="P80" s="324"/>
    </row>
    <row r="81" spans="2:25">
      <c r="B81" s="320"/>
      <c r="C81" s="314">
        <v>14</v>
      </c>
      <c r="D81" s="321" t="s">
        <v>1350</v>
      </c>
      <c r="E81" s="321"/>
      <c r="F81" s="321"/>
      <c r="G81" s="331" t="e">
        <f t="shared" ref="G81:L81" si="15">SUM(G77-G79)</f>
        <v>#REF!</v>
      </c>
      <c r="H81" s="331" t="e">
        <f t="shared" si="15"/>
        <v>#REF!</v>
      </c>
      <c r="I81" s="331" t="e">
        <f t="shared" si="15"/>
        <v>#REF!</v>
      </c>
      <c r="J81" s="331" t="e">
        <f t="shared" si="15"/>
        <v>#REF!</v>
      </c>
      <c r="K81" s="331" t="e">
        <f t="shared" si="15"/>
        <v>#REF!</v>
      </c>
      <c r="L81" s="331" t="e">
        <f t="shared" si="15"/>
        <v>#REF!</v>
      </c>
      <c r="M81" s="331" t="e">
        <f>SUM(M77-M79)</f>
        <v>#REF!</v>
      </c>
      <c r="N81" s="331" t="e">
        <f>SUM(N77-N79)</f>
        <v>#REF!</v>
      </c>
      <c r="O81" s="331" t="e">
        <f>SUM(O77-O79)</f>
        <v>#REF!</v>
      </c>
      <c r="P81" s="338"/>
    </row>
    <row r="82" spans="2:25" ht="5.25" customHeight="1">
      <c r="B82" s="320"/>
      <c r="C82" s="314"/>
      <c r="D82" s="314"/>
      <c r="E82" s="314"/>
      <c r="F82" s="314"/>
      <c r="G82" s="329"/>
      <c r="H82" s="329"/>
      <c r="I82" s="329"/>
      <c r="J82" s="329"/>
      <c r="K82" s="329"/>
      <c r="L82" s="329"/>
      <c r="M82" s="329"/>
      <c r="N82" s="329"/>
      <c r="O82" s="329"/>
      <c r="P82" s="324"/>
    </row>
    <row r="83" spans="2:25">
      <c r="B83" s="320"/>
      <c r="C83" s="314">
        <v>15</v>
      </c>
      <c r="D83" s="322" t="s">
        <v>1288</v>
      </c>
      <c r="E83" s="322"/>
      <c r="F83" s="314" t="s">
        <v>1351</v>
      </c>
      <c r="G83" s="329">
        <f>'P  L '!D64</f>
        <v>35.652353731319273</v>
      </c>
      <c r="H83" s="329">
        <f>'P  L '!E64</f>
        <v>35.629787236896391</v>
      </c>
      <c r="I83" s="329">
        <f>'P  L '!F64</f>
        <v>41.957620846358992</v>
      </c>
      <c r="J83" s="329">
        <f>'P  L '!G64</f>
        <v>52.036420293660427</v>
      </c>
      <c r="K83" s="329">
        <f>'P  L '!H64</f>
        <v>62.672099467423806</v>
      </c>
      <c r="L83" s="329">
        <f>'P  L '!I64</f>
        <v>73.377743847027801</v>
      </c>
      <c r="M83" s="329">
        <f>'P  L '!J64</f>
        <v>85.563563553233166</v>
      </c>
      <c r="N83" s="329">
        <f>'P  L '!K64</f>
        <v>96.533819278732523</v>
      </c>
      <c r="O83" s="329" t="e">
        <f>'P  L '!L64</f>
        <v>#VALUE!</v>
      </c>
      <c r="P83" s="324"/>
    </row>
    <row r="84" spans="2:25">
      <c r="B84" s="320"/>
      <c r="C84" s="314"/>
      <c r="D84" s="322" t="s">
        <v>1290</v>
      </c>
      <c r="E84" s="322"/>
      <c r="F84" s="314" t="s">
        <v>1352</v>
      </c>
      <c r="G84" s="329"/>
      <c r="H84" s="329"/>
      <c r="I84" s="329"/>
      <c r="J84" s="329"/>
      <c r="K84" s="329"/>
      <c r="L84" s="329"/>
      <c r="M84" s="329"/>
      <c r="N84" s="329"/>
      <c r="O84" s="329"/>
      <c r="P84" s="324"/>
    </row>
    <row r="85" spans="2:25" ht="5.25" customHeight="1">
      <c r="B85" s="320"/>
      <c r="C85" s="314"/>
      <c r="D85" s="322"/>
      <c r="E85" s="322"/>
      <c r="F85" s="314"/>
      <c r="G85" s="329"/>
      <c r="H85" s="329"/>
      <c r="I85" s="329"/>
      <c r="J85" s="329"/>
      <c r="K85" s="329"/>
      <c r="L85" s="329"/>
      <c r="M85" s="329"/>
      <c r="N85" s="329"/>
      <c r="O85" s="329"/>
      <c r="P85" s="324"/>
    </row>
    <row r="86" spans="2:25" hidden="1">
      <c r="B86" s="320"/>
      <c r="C86" s="314"/>
      <c r="D86" s="314" t="s">
        <v>1353</v>
      </c>
      <c r="E86" s="314"/>
      <c r="F86" s="314"/>
      <c r="G86" s="329">
        <v>0</v>
      </c>
      <c r="H86" s="329">
        <v>0</v>
      </c>
      <c r="I86" s="329">
        <v>0</v>
      </c>
      <c r="J86" s="329"/>
      <c r="K86" s="329"/>
      <c r="L86" s="329"/>
      <c r="M86" s="329"/>
      <c r="N86" s="329"/>
      <c r="O86" s="329"/>
      <c r="P86" s="324"/>
    </row>
    <row r="87" spans="2:25" hidden="1">
      <c r="B87" s="320"/>
      <c r="C87" s="314"/>
      <c r="D87" s="314"/>
      <c r="E87" s="314"/>
      <c r="F87" s="314"/>
      <c r="G87" s="329"/>
      <c r="H87" s="329"/>
      <c r="I87" s="329"/>
      <c r="J87" s="329"/>
      <c r="K87" s="329"/>
      <c r="L87" s="329"/>
      <c r="M87" s="329"/>
      <c r="N87" s="329"/>
      <c r="O87" s="329"/>
      <c r="P87" s="324"/>
    </row>
    <row r="88" spans="2:25" hidden="1">
      <c r="B88" s="320"/>
      <c r="C88" s="314"/>
      <c r="D88" s="314" t="s">
        <v>1354</v>
      </c>
      <c r="E88" s="314"/>
      <c r="F88" s="314"/>
      <c r="G88" s="329">
        <v>0</v>
      </c>
      <c r="H88" s="329">
        <v>0</v>
      </c>
      <c r="I88" s="329">
        <v>0</v>
      </c>
      <c r="J88" s="329"/>
      <c r="K88" s="329"/>
      <c r="L88" s="329"/>
      <c r="M88" s="329"/>
      <c r="N88" s="329"/>
      <c r="O88" s="329"/>
      <c r="P88" s="324"/>
    </row>
    <row r="89" spans="2:25" hidden="1">
      <c r="B89" s="320"/>
      <c r="C89" s="314"/>
      <c r="D89" s="314"/>
      <c r="E89" s="314"/>
      <c r="F89" s="314"/>
      <c r="G89" s="329"/>
      <c r="H89" s="329"/>
      <c r="I89" s="329"/>
      <c r="J89" s="329"/>
      <c r="K89" s="329"/>
      <c r="L89" s="329"/>
      <c r="M89" s="329"/>
      <c r="N89" s="329"/>
      <c r="O89" s="329"/>
      <c r="P89" s="324"/>
    </row>
    <row r="90" spans="2:25" hidden="1">
      <c r="B90" s="320"/>
      <c r="C90" s="314"/>
      <c r="D90" s="314" t="s">
        <v>1355</v>
      </c>
      <c r="E90" s="314"/>
      <c r="F90" s="314"/>
      <c r="G90" s="329">
        <v>0</v>
      </c>
      <c r="H90" s="329">
        <v>0</v>
      </c>
      <c r="I90" s="329">
        <v>0</v>
      </c>
      <c r="J90" s="329"/>
      <c r="K90" s="329"/>
      <c r="L90" s="329"/>
      <c r="M90" s="329"/>
      <c r="N90" s="329"/>
      <c r="O90" s="329"/>
      <c r="P90" s="324"/>
    </row>
    <row r="91" spans="2:25" hidden="1">
      <c r="B91" s="320"/>
      <c r="C91" s="314"/>
      <c r="D91" s="322"/>
      <c r="E91" s="322"/>
      <c r="F91" s="314"/>
      <c r="G91" s="329"/>
      <c r="H91" s="329"/>
      <c r="I91" s="329"/>
      <c r="J91" s="329"/>
      <c r="K91" s="329"/>
      <c r="L91" s="329"/>
      <c r="M91" s="329"/>
      <c r="N91" s="329"/>
      <c r="O91" s="329"/>
      <c r="P91" s="324"/>
    </row>
    <row r="92" spans="2:25">
      <c r="B92" s="320"/>
      <c r="C92" s="314">
        <v>16</v>
      </c>
      <c r="D92" s="314" t="s">
        <v>187</v>
      </c>
      <c r="E92" s="314"/>
      <c r="F92" s="314"/>
      <c r="G92" s="329" t="e">
        <f t="shared" ref="G92:L92" si="16">G81+G88-G83-G86-G90-G84</f>
        <v>#REF!</v>
      </c>
      <c r="H92" s="329" t="e">
        <f t="shared" si="16"/>
        <v>#REF!</v>
      </c>
      <c r="I92" s="329" t="e">
        <f t="shared" si="16"/>
        <v>#REF!</v>
      </c>
      <c r="J92" s="329" t="e">
        <f t="shared" si="16"/>
        <v>#REF!</v>
      </c>
      <c r="K92" s="329" t="e">
        <f t="shared" si="16"/>
        <v>#REF!</v>
      </c>
      <c r="L92" s="329" t="e">
        <f t="shared" si="16"/>
        <v>#REF!</v>
      </c>
      <c r="M92" s="329" t="e">
        <f>M81+M88-M83-M86-M90-M84</f>
        <v>#REF!</v>
      </c>
      <c r="N92" s="329" t="e">
        <f>N81+N88-N83-N86-N90-N84</f>
        <v>#REF!</v>
      </c>
      <c r="O92" s="329" t="e">
        <f>O81+O88-O83-O86-O90-O84</f>
        <v>#REF!</v>
      </c>
      <c r="P92" s="324"/>
      <c r="R92" s="426" t="e">
        <f>#REF!</f>
        <v>#REF!</v>
      </c>
      <c r="S92" s="426" t="e">
        <f>#REF!</f>
        <v>#REF!</v>
      </c>
      <c r="T92" s="426" t="e">
        <f>#REF!</f>
        <v>#REF!</v>
      </c>
      <c r="U92" s="426" t="e">
        <f>#REF!</f>
        <v>#REF!</v>
      </c>
      <c r="V92" s="426" t="e">
        <f>#REF!</f>
        <v>#REF!</v>
      </c>
      <c r="W92" s="426" t="e">
        <f>#REF!</f>
        <v>#REF!</v>
      </c>
      <c r="X92" s="426" t="e">
        <f>#REF!</f>
        <v>#REF!</v>
      </c>
      <c r="Y92" s="426" t="e">
        <f>#REF!</f>
        <v>#REF!</v>
      </c>
    </row>
    <row r="93" spans="2:25" ht="6.75" customHeight="1">
      <c r="B93" s="320"/>
      <c r="C93" s="314"/>
      <c r="D93" s="314"/>
      <c r="E93" s="314"/>
      <c r="F93" s="314"/>
      <c r="G93" s="329"/>
      <c r="H93" s="329"/>
      <c r="I93" s="329"/>
      <c r="J93" s="329"/>
      <c r="K93" s="329"/>
      <c r="L93" s="329"/>
      <c r="M93" s="329"/>
      <c r="N93" s="329"/>
      <c r="O93" s="329"/>
      <c r="P93" s="324"/>
    </row>
    <row r="94" spans="2:25">
      <c r="B94" s="320"/>
      <c r="C94" s="314">
        <v>17</v>
      </c>
      <c r="D94" s="314" t="s">
        <v>1356</v>
      </c>
      <c r="E94" s="314"/>
      <c r="F94" s="314"/>
      <c r="G94" s="336" t="e">
        <f t="shared" ref="G94:L94" si="17">IF(G81=0,0,G92/G81)</f>
        <v>#REF!</v>
      </c>
      <c r="H94" s="336" t="e">
        <f t="shared" si="17"/>
        <v>#REF!</v>
      </c>
      <c r="I94" s="336" t="e">
        <f t="shared" si="17"/>
        <v>#REF!</v>
      </c>
      <c r="J94" s="336" t="e">
        <f t="shared" si="17"/>
        <v>#REF!</v>
      </c>
      <c r="K94" s="336" t="e">
        <f t="shared" si="17"/>
        <v>#REF!</v>
      </c>
      <c r="L94" s="336" t="e">
        <f t="shared" si="17"/>
        <v>#REF!</v>
      </c>
      <c r="M94" s="336" t="e">
        <f>IF(M81=0,0,M92/M81)</f>
        <v>#REF!</v>
      </c>
      <c r="N94" s="336" t="e">
        <f>IF(N81=0,0,N92/N81)</f>
        <v>#REF!</v>
      </c>
      <c r="O94" s="336" t="e">
        <f>IF(O81=0,0,O92/O81)</f>
        <v>#REF!</v>
      </c>
      <c r="P94" s="324"/>
      <c r="R94" s="426" t="e">
        <f t="shared" ref="R94:Y94" si="18">G92-R92</f>
        <v>#REF!</v>
      </c>
      <c r="S94" s="426" t="e">
        <f t="shared" si="18"/>
        <v>#REF!</v>
      </c>
      <c r="T94" s="426" t="e">
        <f t="shared" si="18"/>
        <v>#REF!</v>
      </c>
      <c r="U94" s="426" t="e">
        <f t="shared" si="18"/>
        <v>#REF!</v>
      </c>
      <c r="V94" s="426" t="e">
        <f t="shared" si="18"/>
        <v>#REF!</v>
      </c>
      <c r="W94" s="426" t="e">
        <f t="shared" si="18"/>
        <v>#REF!</v>
      </c>
      <c r="X94" s="426" t="e">
        <f t="shared" si="18"/>
        <v>#REF!</v>
      </c>
      <c r="Y94" s="426" t="e">
        <f t="shared" si="18"/>
        <v>#REF!</v>
      </c>
    </row>
    <row r="95" spans="2:25" ht="6" customHeight="1" thickBot="1">
      <c r="B95" s="339"/>
      <c r="C95" s="340"/>
      <c r="D95" s="340"/>
      <c r="E95" s="340"/>
      <c r="F95" s="340"/>
      <c r="G95" s="340"/>
      <c r="H95" s="340"/>
      <c r="I95" s="340"/>
      <c r="J95" s="340"/>
      <c r="K95" s="340"/>
      <c r="L95" s="340"/>
      <c r="M95" s="340"/>
      <c r="N95" s="340"/>
      <c r="O95" s="340"/>
      <c r="P95" s="341"/>
    </row>
    <row r="97" spans="5:15" hidden="1">
      <c r="E97" s="330"/>
      <c r="F97" s="330"/>
      <c r="G97" s="334"/>
      <c r="H97" s="334"/>
      <c r="I97" s="334"/>
      <c r="J97" s="334"/>
      <c r="K97" s="334"/>
      <c r="L97" s="334"/>
      <c r="M97" s="334"/>
      <c r="N97" s="334"/>
      <c r="O97" s="334"/>
    </row>
    <row r="98" spans="5:15" hidden="1">
      <c r="E98" s="330"/>
      <c r="F98" s="330" t="s">
        <v>1357</v>
      </c>
      <c r="G98" s="334"/>
      <c r="H98" s="334"/>
      <c r="I98" s="334"/>
      <c r="J98" s="334"/>
      <c r="K98" s="334"/>
      <c r="L98" s="334"/>
      <c r="M98" s="334"/>
      <c r="N98" s="334"/>
      <c r="O98" s="334"/>
    </row>
    <row r="99" spans="5:15" hidden="1">
      <c r="E99" s="330"/>
      <c r="F99" s="330" t="s">
        <v>1358</v>
      </c>
      <c r="G99" s="334" t="e">
        <f t="shared" ref="G99:L99" si="19">G81/G17*100</f>
        <v>#REF!</v>
      </c>
      <c r="H99" s="334" t="e">
        <f t="shared" si="19"/>
        <v>#REF!</v>
      </c>
      <c r="I99" s="334" t="e">
        <f t="shared" si="19"/>
        <v>#REF!</v>
      </c>
      <c r="J99" s="334" t="e">
        <f t="shared" si="19"/>
        <v>#REF!</v>
      </c>
      <c r="K99" s="334" t="e">
        <f t="shared" si="19"/>
        <v>#REF!</v>
      </c>
      <c r="L99" s="334" t="e">
        <f t="shared" si="19"/>
        <v>#REF!</v>
      </c>
      <c r="M99" s="334" t="e">
        <f>M81/M17*100</f>
        <v>#REF!</v>
      </c>
      <c r="N99" s="334" t="e">
        <f>N81/N17*100</f>
        <v>#REF!</v>
      </c>
      <c r="O99" s="334" t="e">
        <f>O81/O17*100</f>
        <v>#REF!</v>
      </c>
    </row>
    <row r="100" spans="5:15" hidden="1">
      <c r="E100" s="330"/>
      <c r="F100" s="330" t="s">
        <v>1359</v>
      </c>
      <c r="G100" s="334" t="e">
        <f t="shared" ref="G100:L100" si="20">G65/G17*100</f>
        <v>#REF!</v>
      </c>
      <c r="H100" s="334" t="e">
        <f t="shared" si="20"/>
        <v>#REF!</v>
      </c>
      <c r="I100" s="334" t="e">
        <f t="shared" si="20"/>
        <v>#REF!</v>
      </c>
      <c r="J100" s="334" t="e">
        <f t="shared" si="20"/>
        <v>#REF!</v>
      </c>
      <c r="K100" s="334" t="e">
        <f t="shared" si="20"/>
        <v>#REF!</v>
      </c>
      <c r="L100" s="334" t="e">
        <f t="shared" si="20"/>
        <v>#REF!</v>
      </c>
      <c r="M100" s="334" t="e">
        <f>M65/M17*100</f>
        <v>#REF!</v>
      </c>
      <c r="N100" s="334" t="e">
        <f>N65/N17*100</f>
        <v>#REF!</v>
      </c>
      <c r="O100" s="334" t="e">
        <f>O65/O17*100</f>
        <v>#REF!</v>
      </c>
    </row>
    <row r="101" spans="5:15" hidden="1">
      <c r="E101" s="330"/>
      <c r="F101" s="330"/>
      <c r="G101" s="334"/>
      <c r="H101" s="334"/>
      <c r="I101" s="334"/>
      <c r="J101" s="334"/>
      <c r="K101" s="334"/>
      <c r="L101" s="334"/>
      <c r="M101" s="334"/>
      <c r="N101" s="334"/>
      <c r="O101" s="334"/>
    </row>
    <row r="103" spans="5:15">
      <c r="G103" s="342"/>
      <c r="H103" s="342"/>
      <c r="I103" s="342"/>
      <c r="J103" s="342"/>
      <c r="K103" s="342"/>
      <c r="L103" s="342"/>
      <c r="M103" s="342"/>
      <c r="N103" s="342"/>
      <c r="O103" s="342"/>
    </row>
    <row r="104" spans="5:15">
      <c r="G104" s="342"/>
      <c r="H104" s="342"/>
      <c r="I104" s="342"/>
      <c r="J104" s="342"/>
      <c r="K104" s="342"/>
      <c r="L104" s="342"/>
      <c r="M104" s="342"/>
      <c r="N104" s="342"/>
      <c r="O104" s="342"/>
    </row>
    <row r="106" spans="5:15">
      <c r="G106" s="342"/>
      <c r="H106" s="342"/>
      <c r="I106" s="342"/>
      <c r="J106" s="342"/>
      <c r="K106" s="342"/>
      <c r="L106" s="342"/>
      <c r="M106" s="342"/>
      <c r="N106" s="342"/>
      <c r="O106" s="342"/>
    </row>
  </sheetData>
  <mergeCells count="1">
    <mergeCell ref="I7:K7"/>
  </mergeCells>
  <pageMargins left="0.47244094488188981" right="0.11811023622047245" top="0.39" bottom="0.15748031496062992" header="0.23622047244094491" footer="0.19685039370078741"/>
  <pageSetup paperSize="9" orientation="landscape" verticalDpi="144" r:id="rId1"/>
  <headerFooter alignWithMargins="0">
    <oddHeader>&amp;RHOTEL CITY WALK INTERNATIONAL
GUWAHATI</oddHeader>
  </headerFooter>
  <colBreaks count="1" manualBreakCount="1">
    <brk id="16" max="1048575" man="1"/>
  </col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CBF7D-6865-4CBE-81C5-9413750F6BA4}">
  <dimension ref="A1:AM224"/>
  <sheetViews>
    <sheetView view="pageBreakPreview" topLeftCell="A148" zoomScaleNormal="100" zoomScaleSheetLayoutView="100" zoomScalePageLayoutView="40" workbookViewId="0">
      <selection activeCell="K202" sqref="K202"/>
    </sheetView>
  </sheetViews>
  <sheetFormatPr defaultRowHeight="12.75"/>
  <cols>
    <col min="1" max="1" width="0.85546875" style="51" customWidth="1"/>
    <col min="2" max="2" width="0.140625" style="51" customWidth="1"/>
    <col min="3" max="3" width="3.85546875" style="51" customWidth="1"/>
    <col min="4" max="4" width="2.5703125" style="51" customWidth="1"/>
    <col min="5" max="5" width="2.7109375" style="51" customWidth="1"/>
    <col min="6" max="8" width="9.140625" style="51"/>
    <col min="9" max="9" width="7.7109375" style="51" customWidth="1"/>
    <col min="10" max="10" width="9.42578125" style="357" customWidth="1"/>
    <col min="11" max="11" width="9.140625" style="357" customWidth="1"/>
    <col min="12" max="12" width="9.42578125" style="357" customWidth="1"/>
    <col min="13" max="13" width="9.5703125" style="51" customWidth="1"/>
    <col min="14" max="14" width="9" style="51" customWidth="1"/>
    <col min="15" max="15" width="9.5703125" style="51" customWidth="1"/>
    <col min="16" max="16" width="9.140625" style="51" customWidth="1"/>
    <col min="17" max="17" width="9.28515625" style="51" customWidth="1"/>
    <col min="18" max="18" width="9.28515625" style="51" hidden="1" customWidth="1"/>
    <col min="19" max="19" width="0.85546875" style="51" customWidth="1"/>
    <col min="20" max="29" width="0" style="51" hidden="1" customWidth="1"/>
    <col min="30" max="31" width="9.140625" style="51"/>
    <col min="32" max="32" width="9.28515625" style="51" bestFit="1" customWidth="1"/>
    <col min="33" max="16384" width="9.140625" style="51"/>
  </cols>
  <sheetData>
    <row r="1" spans="2:19" ht="6.75" customHeight="1">
      <c r="B1" s="84"/>
      <c r="C1" s="84"/>
      <c r="D1" s="84"/>
      <c r="E1" s="84"/>
      <c r="F1" s="84"/>
      <c r="G1" s="84"/>
      <c r="H1" s="84"/>
      <c r="I1" s="84"/>
      <c r="J1" s="343"/>
      <c r="K1" s="343"/>
      <c r="L1" s="343"/>
      <c r="M1" s="84"/>
      <c r="N1" s="84"/>
      <c r="O1" s="84"/>
      <c r="P1" s="84"/>
      <c r="Q1" s="84"/>
      <c r="R1" s="84"/>
    </row>
    <row r="2" spans="2:19">
      <c r="B2" s="84"/>
      <c r="C2" s="84"/>
      <c r="D2" s="84"/>
      <c r="E2" s="84"/>
      <c r="F2" s="84"/>
      <c r="G2" s="84"/>
      <c r="H2" s="84"/>
      <c r="I2" s="84"/>
      <c r="J2" s="343"/>
      <c r="K2" s="677">
        <v>46</v>
      </c>
      <c r="L2" s="343"/>
      <c r="M2" s="84"/>
      <c r="N2" s="84"/>
      <c r="O2" s="84"/>
      <c r="P2" s="84"/>
      <c r="Q2" s="84"/>
      <c r="R2" s="84"/>
    </row>
    <row r="3" spans="2:19" ht="6.75" customHeight="1" thickBot="1">
      <c r="B3" s="84"/>
      <c r="C3" s="84"/>
      <c r="D3" s="84"/>
      <c r="E3" s="84"/>
      <c r="F3" s="84"/>
      <c r="G3" s="84"/>
      <c r="H3" s="84"/>
      <c r="I3" s="84"/>
      <c r="J3" s="343"/>
      <c r="K3" s="343"/>
      <c r="L3" s="343"/>
      <c r="M3" s="84"/>
      <c r="N3" s="84"/>
      <c r="O3" s="84"/>
      <c r="P3" s="84"/>
      <c r="Q3" s="84"/>
      <c r="R3" s="84"/>
    </row>
    <row r="4" spans="2:19">
      <c r="B4" s="344"/>
      <c r="C4" s="316" t="s">
        <v>1360</v>
      </c>
      <c r="D4" s="316"/>
      <c r="E4" s="317"/>
      <c r="F4" s="317"/>
      <c r="G4" s="345"/>
      <c r="H4" s="317"/>
      <c r="I4" s="317"/>
      <c r="J4" s="346"/>
      <c r="K4" s="346"/>
      <c r="L4" s="346"/>
      <c r="M4" s="317"/>
      <c r="N4" s="317"/>
      <c r="O4" s="317"/>
      <c r="P4" s="317"/>
      <c r="Q4" s="317"/>
      <c r="R4" s="317"/>
      <c r="S4" s="347"/>
    </row>
    <row r="5" spans="2:19">
      <c r="B5" s="165"/>
      <c r="C5" s="78"/>
      <c r="D5" s="78"/>
      <c r="E5" s="84"/>
      <c r="F5" s="84"/>
      <c r="G5" s="84"/>
      <c r="H5" s="84"/>
      <c r="I5" s="84"/>
      <c r="J5" s="343"/>
      <c r="K5" s="343"/>
      <c r="L5" s="343"/>
      <c r="M5" s="84"/>
      <c r="N5" s="84"/>
      <c r="O5" s="84"/>
      <c r="P5" s="672"/>
      <c r="Q5" s="751" t="s">
        <v>1284</v>
      </c>
      <c r="R5" s="348" t="s">
        <v>1284</v>
      </c>
      <c r="S5" s="311"/>
    </row>
    <row r="6" spans="2:19">
      <c r="B6" s="165"/>
      <c r="C6" s="84"/>
      <c r="D6" s="84"/>
      <c r="E6" s="84"/>
      <c r="F6" s="84"/>
      <c r="G6" s="84"/>
      <c r="H6" s="84"/>
      <c r="I6" s="84"/>
      <c r="J6" s="350" t="str">
        <f>OP_STATEMENT!G8</f>
        <v>Year 1</v>
      </c>
      <c r="K6" s="350" t="str">
        <f>OP_STATEMENT!H8</f>
        <v>Year 2</v>
      </c>
      <c r="L6" s="350" t="str">
        <f>OP_STATEMENT!I8</f>
        <v>Year 3</v>
      </c>
      <c r="M6" s="350" t="str">
        <f>OP_STATEMENT!J8</f>
        <v>Year 4</v>
      </c>
      <c r="N6" s="350" t="str">
        <f>OP_STATEMENT!K8</f>
        <v>Year 5</v>
      </c>
      <c r="O6" s="350" t="str">
        <f>OP_STATEMENT!L8</f>
        <v>Year 6</v>
      </c>
      <c r="P6" s="350" t="str">
        <f>OP_STATEMENT!M8</f>
        <v>Year 7</v>
      </c>
      <c r="Q6" s="350" t="str">
        <f>OP_STATEMENT!N8</f>
        <v>Year 8</v>
      </c>
      <c r="R6" s="350" t="str">
        <f>OP_STATEMENT!O8</f>
        <v>Year 9</v>
      </c>
      <c r="S6" s="311"/>
    </row>
    <row r="7" spans="2:19" ht="13.5" thickBot="1">
      <c r="B7" s="165"/>
      <c r="C7" s="84"/>
      <c r="D7" s="84"/>
      <c r="E7" s="84"/>
      <c r="F7" s="84"/>
      <c r="G7" s="84"/>
      <c r="H7" s="84"/>
      <c r="I7" s="84"/>
      <c r="J7" s="427" t="str">
        <f>OP_STATEMENT!G9</f>
        <v>Projected</v>
      </c>
      <c r="K7" s="427" t="str">
        <f>OP_STATEMENT!H9</f>
        <v>Projected</v>
      </c>
      <c r="L7" s="427" t="str">
        <f>OP_STATEMENT!I9</f>
        <v>Projected</v>
      </c>
      <c r="M7" s="427" t="str">
        <f>OP_STATEMENT!J9</f>
        <v>Projected</v>
      </c>
      <c r="N7" s="427" t="str">
        <f>OP_STATEMENT!K9</f>
        <v>Projected</v>
      </c>
      <c r="O7" s="427" t="str">
        <f>OP_STATEMENT!L9</f>
        <v>Projected</v>
      </c>
      <c r="P7" s="427" t="str">
        <f>OP_STATEMENT!M9</f>
        <v>Projected</v>
      </c>
      <c r="Q7" s="427" t="str">
        <f>OP_STATEMENT!N9</f>
        <v>Projected</v>
      </c>
      <c r="R7" s="427" t="str">
        <f>OP_STATEMENT!O9</f>
        <v>Projected</v>
      </c>
      <c r="S7" s="311"/>
    </row>
    <row r="8" spans="2:19" ht="3.75" customHeight="1" thickTop="1">
      <c r="B8" s="165"/>
      <c r="C8" s="84"/>
      <c r="D8" s="84"/>
      <c r="E8" s="84"/>
      <c r="F8" s="84"/>
      <c r="G8" s="84"/>
      <c r="H8" s="84"/>
      <c r="I8" s="84"/>
      <c r="J8" s="352"/>
      <c r="K8" s="352"/>
      <c r="L8" s="352"/>
      <c r="M8" s="352"/>
      <c r="N8" s="352"/>
      <c r="O8" s="352"/>
      <c r="P8" s="352"/>
      <c r="Q8" s="352"/>
      <c r="R8" s="352"/>
      <c r="S8" s="311"/>
    </row>
    <row r="9" spans="2:19">
      <c r="B9" s="165"/>
      <c r="C9" s="353" t="s">
        <v>422</v>
      </c>
      <c r="D9" s="353"/>
      <c r="E9" s="84"/>
      <c r="F9" s="84"/>
      <c r="G9" s="84"/>
      <c r="H9" s="84"/>
      <c r="I9" s="84"/>
      <c r="J9" s="352"/>
      <c r="K9" s="352"/>
      <c r="L9" s="352"/>
      <c r="M9" s="84"/>
      <c r="N9" s="84"/>
      <c r="O9" s="84"/>
      <c r="P9" s="84"/>
      <c r="Q9" s="84"/>
      <c r="R9" s="84"/>
      <c r="S9" s="311"/>
    </row>
    <row r="10" spans="2:19" ht="9" customHeight="1">
      <c r="B10" s="165"/>
      <c r="C10" s="353"/>
      <c r="D10" s="353"/>
      <c r="E10" s="84"/>
      <c r="F10" s="84"/>
      <c r="G10" s="84"/>
      <c r="H10" s="84"/>
      <c r="I10" s="84"/>
      <c r="J10" s="352"/>
      <c r="K10" s="352"/>
      <c r="L10" s="352"/>
      <c r="M10" s="84"/>
      <c r="N10" s="84"/>
      <c r="O10" s="84"/>
      <c r="P10" s="84"/>
      <c r="Q10" s="84"/>
      <c r="R10" s="84"/>
      <c r="S10" s="311"/>
    </row>
    <row r="11" spans="2:19">
      <c r="B11" s="165"/>
      <c r="C11" s="84"/>
      <c r="D11" s="78"/>
      <c r="E11" s="78" t="s">
        <v>360</v>
      </c>
      <c r="F11" s="84"/>
      <c r="G11" s="84"/>
      <c r="H11" s="84"/>
      <c r="I11" s="84"/>
      <c r="J11" s="352"/>
      <c r="K11" s="352"/>
      <c r="L11" s="352"/>
      <c r="M11" s="351"/>
      <c r="N11" s="84"/>
      <c r="O11" s="84"/>
      <c r="P11" s="84"/>
      <c r="Q11" s="84"/>
      <c r="R11" s="84"/>
      <c r="S11" s="311"/>
    </row>
    <row r="12" spans="2:19" ht="7.5" customHeight="1">
      <c r="B12" s="165"/>
      <c r="C12" s="78"/>
      <c r="D12" s="78"/>
      <c r="E12" s="84"/>
      <c r="F12" s="84"/>
      <c r="G12" s="84"/>
      <c r="H12" s="84"/>
      <c r="I12" s="84"/>
      <c r="J12" s="352"/>
      <c r="K12" s="352"/>
      <c r="L12" s="352"/>
      <c r="M12" s="84"/>
      <c r="N12" s="84"/>
      <c r="O12" s="84"/>
      <c r="P12" s="84"/>
      <c r="Q12" s="84"/>
      <c r="R12" s="84"/>
      <c r="S12" s="311"/>
    </row>
    <row r="13" spans="2:19">
      <c r="B13" s="165"/>
      <c r="C13" s="354">
        <v>1</v>
      </c>
      <c r="D13" s="354"/>
      <c r="E13" s="84" t="s">
        <v>1361</v>
      </c>
      <c r="F13" s="84"/>
      <c r="G13" s="84"/>
      <c r="H13" s="84"/>
      <c r="I13" s="84"/>
      <c r="J13" s="343"/>
      <c r="K13" s="343"/>
      <c r="L13" s="343"/>
      <c r="M13" s="84"/>
      <c r="N13" s="84"/>
      <c r="O13" s="84"/>
      <c r="P13" s="84"/>
      <c r="Q13" s="84"/>
      <c r="R13" s="84"/>
      <c r="S13" s="311"/>
    </row>
    <row r="14" spans="2:19">
      <c r="B14" s="165"/>
      <c r="C14" s="354"/>
      <c r="D14" s="354"/>
      <c r="E14" s="84" t="s">
        <v>1362</v>
      </c>
      <c r="F14" s="84"/>
      <c r="G14" s="84"/>
      <c r="H14" s="84"/>
      <c r="I14" s="84"/>
      <c r="J14" s="343"/>
      <c r="K14" s="343"/>
      <c r="L14" s="343"/>
      <c r="M14" s="84"/>
      <c r="N14" s="84"/>
      <c r="O14" s="84"/>
      <c r="P14" s="84"/>
      <c r="Q14" s="84"/>
      <c r="R14" s="84"/>
      <c r="S14" s="311"/>
    </row>
    <row r="15" spans="2:19">
      <c r="B15" s="165"/>
      <c r="C15" s="354"/>
      <c r="D15" s="354"/>
      <c r="E15" s="84" t="s">
        <v>954</v>
      </c>
      <c r="F15" s="84"/>
      <c r="G15" s="84"/>
      <c r="H15" s="84"/>
      <c r="I15" s="84"/>
      <c r="J15" s="343"/>
      <c r="K15" s="343"/>
      <c r="L15" s="343"/>
      <c r="M15" s="84"/>
      <c r="N15" s="84"/>
      <c r="O15" s="84"/>
      <c r="P15" s="84"/>
      <c r="Q15" s="84"/>
      <c r="R15" s="84"/>
      <c r="S15" s="311"/>
    </row>
    <row r="16" spans="2:19">
      <c r="B16" s="165"/>
      <c r="C16" s="354"/>
      <c r="D16" s="354"/>
      <c r="E16" s="84" t="s">
        <v>1363</v>
      </c>
      <c r="F16" s="84"/>
      <c r="G16" s="84"/>
      <c r="H16" s="84"/>
      <c r="I16" s="84"/>
      <c r="J16" s="355" t="e">
        <f>#REF!</f>
        <v>#REF!</v>
      </c>
      <c r="K16" s="355" t="e">
        <f>#REF!</f>
        <v>#REF!</v>
      </c>
      <c r="L16" s="355" t="e">
        <f>#REF!</f>
        <v>#REF!</v>
      </c>
      <c r="M16" s="355" t="e">
        <f>#REF!</f>
        <v>#REF!</v>
      </c>
      <c r="N16" s="355" t="e">
        <f>#REF!</f>
        <v>#REF!</v>
      </c>
      <c r="O16" s="355" t="e">
        <f>#REF!</f>
        <v>#REF!</v>
      </c>
      <c r="P16" s="355" t="e">
        <f>#REF!</f>
        <v>#REF!</v>
      </c>
      <c r="Q16" s="355" t="e">
        <f>#REF!</f>
        <v>#REF!</v>
      </c>
      <c r="R16" s="355" t="e">
        <f>#REF!</f>
        <v>#REF!</v>
      </c>
      <c r="S16" s="311"/>
    </row>
    <row r="17" spans="2:21">
      <c r="B17" s="165"/>
      <c r="C17" s="354"/>
      <c r="D17" s="354"/>
      <c r="E17" s="84" t="s">
        <v>1364</v>
      </c>
      <c r="F17" s="84"/>
      <c r="G17" s="84"/>
      <c r="H17" s="84"/>
      <c r="I17" s="84"/>
      <c r="J17" s="355">
        <v>0</v>
      </c>
      <c r="K17" s="355">
        <v>0</v>
      </c>
      <c r="L17" s="355">
        <v>0</v>
      </c>
      <c r="M17" s="355">
        <v>0</v>
      </c>
      <c r="N17" s="355">
        <v>0</v>
      </c>
      <c r="O17" s="355">
        <v>0</v>
      </c>
      <c r="P17" s="355">
        <v>0</v>
      </c>
      <c r="Q17" s="355">
        <v>0</v>
      </c>
      <c r="R17" s="355">
        <v>0</v>
      </c>
      <c r="S17" s="311"/>
      <c r="U17" s="51">
        <f>84.21</f>
        <v>84.21</v>
      </c>
    </row>
    <row r="18" spans="2:21">
      <c r="B18" s="165"/>
      <c r="C18" s="354"/>
      <c r="D18" s="354"/>
      <c r="E18" s="84" t="s">
        <v>1365</v>
      </c>
      <c r="F18" s="84"/>
      <c r="G18" s="84"/>
      <c r="H18" s="84"/>
      <c r="I18" s="84"/>
      <c r="J18" s="355"/>
      <c r="K18" s="355"/>
      <c r="L18" s="355"/>
      <c r="M18" s="355"/>
      <c r="N18" s="355"/>
      <c r="O18" s="355"/>
      <c r="P18" s="355"/>
      <c r="Q18" s="355"/>
      <c r="R18" s="355"/>
      <c r="S18" s="311"/>
    </row>
    <row r="19" spans="2:21">
      <c r="B19" s="165"/>
      <c r="C19" s="354"/>
      <c r="D19" s="354"/>
      <c r="E19" s="84" t="s">
        <v>1366</v>
      </c>
      <c r="F19" s="84"/>
      <c r="G19" s="84"/>
      <c r="H19" s="84"/>
      <c r="I19" s="84"/>
      <c r="J19" s="356" t="e">
        <f t="shared" ref="J19:Q19" si="0">SUM(J13:J18)</f>
        <v>#REF!</v>
      </c>
      <c r="K19" s="356" t="e">
        <f t="shared" si="0"/>
        <v>#REF!</v>
      </c>
      <c r="L19" s="356" t="e">
        <f t="shared" si="0"/>
        <v>#REF!</v>
      </c>
      <c r="M19" s="356" t="e">
        <f t="shared" si="0"/>
        <v>#REF!</v>
      </c>
      <c r="N19" s="356" t="e">
        <f t="shared" si="0"/>
        <v>#REF!</v>
      </c>
      <c r="O19" s="356" t="e">
        <f t="shared" si="0"/>
        <v>#REF!</v>
      </c>
      <c r="P19" s="356" t="e">
        <f t="shared" si="0"/>
        <v>#REF!</v>
      </c>
      <c r="Q19" s="356" t="e">
        <f t="shared" si="0"/>
        <v>#REF!</v>
      </c>
      <c r="R19" s="356" t="e">
        <f>SUM(R13:R18)</f>
        <v>#REF!</v>
      </c>
      <c r="S19" s="311"/>
    </row>
    <row r="20" spans="2:21">
      <c r="B20" s="165"/>
      <c r="C20" s="354"/>
      <c r="D20" s="354"/>
      <c r="E20" s="84"/>
      <c r="F20" s="84"/>
      <c r="G20" s="84"/>
      <c r="H20" s="84"/>
      <c r="I20" s="84"/>
      <c r="J20" s="356"/>
      <c r="K20" s="356"/>
      <c r="L20" s="356"/>
      <c r="M20" s="356"/>
      <c r="N20" s="356"/>
      <c r="O20" s="356"/>
      <c r="P20" s="356"/>
      <c r="Q20" s="356"/>
      <c r="R20" s="356"/>
      <c r="S20" s="311"/>
    </row>
    <row r="21" spans="2:21">
      <c r="B21" s="165"/>
      <c r="C21" s="354">
        <v>2</v>
      </c>
      <c r="D21" s="354"/>
      <c r="E21" s="84" t="s">
        <v>1367</v>
      </c>
      <c r="F21" s="84"/>
      <c r="G21" s="84"/>
      <c r="H21" s="84"/>
      <c r="I21" s="84"/>
      <c r="J21" s="355">
        <v>0</v>
      </c>
      <c r="K21" s="355">
        <v>0</v>
      </c>
      <c r="L21" s="355">
        <v>0</v>
      </c>
      <c r="M21" s="355">
        <v>0</v>
      </c>
      <c r="N21" s="355">
        <v>0</v>
      </c>
      <c r="O21" s="355">
        <v>0</v>
      </c>
      <c r="P21" s="355">
        <v>0</v>
      </c>
      <c r="Q21" s="355"/>
      <c r="R21" s="355"/>
      <c r="S21" s="311"/>
    </row>
    <row r="22" spans="2:21">
      <c r="B22" s="165"/>
      <c r="C22" s="354"/>
      <c r="D22" s="354"/>
      <c r="E22" s="84"/>
      <c r="F22" s="84"/>
      <c r="G22" s="84"/>
      <c r="H22" s="84"/>
      <c r="I22" s="84"/>
      <c r="J22" s="355"/>
      <c r="K22" s="355"/>
      <c r="L22" s="355"/>
      <c r="M22" s="355"/>
      <c r="N22" s="355"/>
      <c r="O22" s="355"/>
      <c r="P22" s="355"/>
      <c r="Q22" s="355"/>
      <c r="R22" s="355"/>
      <c r="S22" s="311"/>
    </row>
    <row r="23" spans="2:21">
      <c r="B23" s="165"/>
      <c r="C23" s="354">
        <v>3</v>
      </c>
      <c r="D23" s="354"/>
      <c r="E23" s="84" t="s">
        <v>1368</v>
      </c>
      <c r="F23" s="84"/>
      <c r="G23" s="84"/>
      <c r="H23" s="84"/>
      <c r="I23" s="84"/>
      <c r="J23" s="355" t="e">
        <f>#REF!</f>
        <v>#REF!</v>
      </c>
      <c r="K23" s="355" t="e">
        <f>#REF!</f>
        <v>#REF!</v>
      </c>
      <c r="L23" s="355" t="e">
        <f>#REF!</f>
        <v>#REF!</v>
      </c>
      <c r="M23" s="355" t="e">
        <f>#REF!</f>
        <v>#REF!</v>
      </c>
      <c r="N23" s="355" t="e">
        <f>#REF!</f>
        <v>#REF!</v>
      </c>
      <c r="O23" s="355" t="e">
        <f>#REF!</f>
        <v>#REF!</v>
      </c>
      <c r="P23" s="355" t="e">
        <f>#REF!</f>
        <v>#REF!</v>
      </c>
      <c r="Q23" s="355" t="e">
        <f>#REF!</f>
        <v>#REF!</v>
      </c>
      <c r="R23" s="355" t="e">
        <f>#REF!</f>
        <v>#REF!</v>
      </c>
      <c r="S23" s="311"/>
    </row>
    <row r="24" spans="2:21">
      <c r="B24" s="165"/>
      <c r="C24" s="354"/>
      <c r="D24" s="84"/>
      <c r="E24" s="84"/>
      <c r="F24" s="84"/>
      <c r="G24" s="84"/>
      <c r="H24" s="84"/>
      <c r="I24" s="84"/>
      <c r="J24" s="355"/>
      <c r="K24" s="355"/>
      <c r="L24" s="355"/>
      <c r="M24" s="355"/>
      <c r="N24" s="355"/>
      <c r="O24" s="355"/>
      <c r="P24" s="355"/>
      <c r="Q24" s="355"/>
      <c r="R24" s="355"/>
      <c r="S24" s="311"/>
    </row>
    <row r="25" spans="2:21">
      <c r="B25" s="165"/>
      <c r="C25" s="354">
        <v>4</v>
      </c>
      <c r="D25" s="354"/>
      <c r="E25" s="84" t="s">
        <v>1369</v>
      </c>
      <c r="F25" s="84"/>
      <c r="G25" s="84"/>
      <c r="H25" s="84"/>
      <c r="I25" s="84"/>
      <c r="J25" s="355"/>
      <c r="K25" s="355"/>
      <c r="L25" s="355"/>
      <c r="M25" s="355"/>
      <c r="N25" s="355"/>
      <c r="O25" s="355"/>
      <c r="P25" s="355"/>
      <c r="Q25" s="355"/>
      <c r="R25" s="355"/>
      <c r="S25" s="311"/>
    </row>
    <row r="26" spans="2:21">
      <c r="B26" s="165"/>
      <c r="C26" s="354"/>
      <c r="D26" s="354"/>
      <c r="E26" s="84" t="s">
        <v>1370</v>
      </c>
      <c r="F26" s="84"/>
      <c r="G26" s="84"/>
      <c r="H26" s="84"/>
      <c r="I26" s="84"/>
      <c r="J26" s="355">
        <v>0</v>
      </c>
      <c r="K26" s="355">
        <v>0</v>
      </c>
      <c r="L26" s="355">
        <v>0</v>
      </c>
      <c r="M26" s="355">
        <v>0</v>
      </c>
      <c r="N26" s="355">
        <v>0</v>
      </c>
      <c r="O26" s="355">
        <v>0</v>
      </c>
      <c r="P26" s="355">
        <v>0</v>
      </c>
      <c r="Q26" s="355">
        <v>0</v>
      </c>
      <c r="R26" s="355">
        <v>0</v>
      </c>
      <c r="S26" s="311"/>
    </row>
    <row r="27" spans="2:21">
      <c r="B27" s="165"/>
      <c r="C27" s="354"/>
      <c r="D27" s="354"/>
      <c r="E27" s="84"/>
      <c r="F27" s="84"/>
      <c r="G27" s="84"/>
      <c r="H27" s="84"/>
      <c r="I27" s="84"/>
      <c r="J27" s="355"/>
      <c r="K27" s="355"/>
      <c r="L27" s="355"/>
      <c r="M27" s="355"/>
      <c r="N27" s="355"/>
      <c r="O27" s="355"/>
      <c r="P27" s="355"/>
      <c r="Q27" s="355"/>
      <c r="R27" s="355"/>
      <c r="S27" s="311"/>
    </row>
    <row r="28" spans="2:21">
      <c r="B28" s="165"/>
      <c r="C28" s="354">
        <v>5</v>
      </c>
      <c r="D28" s="354"/>
      <c r="E28" s="84" t="s">
        <v>1371</v>
      </c>
      <c r="F28" s="84"/>
      <c r="G28" s="84"/>
      <c r="H28" s="84"/>
      <c r="I28" s="84"/>
      <c r="J28" s="355">
        <v>0</v>
      </c>
      <c r="K28" s="355">
        <v>0</v>
      </c>
      <c r="L28" s="355">
        <v>0</v>
      </c>
      <c r="M28" s="355">
        <v>0</v>
      </c>
      <c r="N28" s="355">
        <v>0</v>
      </c>
      <c r="O28" s="355">
        <v>0</v>
      </c>
      <c r="P28" s="355">
        <v>0</v>
      </c>
      <c r="Q28" s="355">
        <v>0</v>
      </c>
      <c r="R28" s="355">
        <v>0</v>
      </c>
      <c r="S28" s="311"/>
    </row>
    <row r="29" spans="2:21" ht="6.75" customHeight="1">
      <c r="B29" s="165"/>
      <c r="C29" s="354"/>
      <c r="D29" s="354"/>
      <c r="E29" s="84"/>
      <c r="F29" s="84"/>
      <c r="G29" s="84"/>
      <c r="H29" s="84"/>
      <c r="I29" s="84"/>
      <c r="J29" s="355"/>
      <c r="K29" s="355"/>
      <c r="L29" s="355"/>
      <c r="M29" s="355"/>
      <c r="N29" s="355"/>
      <c r="O29" s="355"/>
      <c r="P29" s="355"/>
      <c r="Q29" s="355"/>
      <c r="R29" s="355"/>
      <c r="S29" s="311"/>
    </row>
    <row r="30" spans="2:21">
      <c r="B30" s="165"/>
      <c r="C30" s="354">
        <v>6</v>
      </c>
      <c r="D30" s="354"/>
      <c r="E30" s="84" t="s">
        <v>965</v>
      </c>
      <c r="F30" s="84"/>
      <c r="G30" s="84"/>
      <c r="H30" s="84"/>
      <c r="I30" s="84"/>
      <c r="J30" s="355">
        <v>0</v>
      </c>
      <c r="K30" s="355">
        <v>0</v>
      </c>
      <c r="L30" s="355">
        <v>0</v>
      </c>
      <c r="M30" s="355">
        <v>0</v>
      </c>
      <c r="N30" s="355">
        <v>0</v>
      </c>
      <c r="O30" s="355">
        <v>0</v>
      </c>
      <c r="P30" s="355">
        <v>0</v>
      </c>
      <c r="Q30" s="355">
        <v>0</v>
      </c>
      <c r="R30" s="355">
        <v>0</v>
      </c>
      <c r="S30" s="311"/>
    </row>
    <row r="31" spans="2:21" ht="6.75" customHeight="1">
      <c r="B31" s="165"/>
      <c r="C31" s="354"/>
      <c r="D31" s="354"/>
      <c r="E31" s="84"/>
      <c r="F31" s="84"/>
      <c r="G31" s="84"/>
      <c r="H31" s="84"/>
      <c r="I31" s="84"/>
      <c r="J31" s="355"/>
      <c r="K31" s="355"/>
      <c r="L31" s="355"/>
      <c r="M31" s="355"/>
      <c r="N31" s="355"/>
      <c r="O31" s="355"/>
      <c r="P31" s="355"/>
      <c r="Q31" s="355"/>
      <c r="R31" s="355"/>
      <c r="S31" s="311"/>
    </row>
    <row r="32" spans="2:21">
      <c r="B32" s="165"/>
      <c r="C32" s="354">
        <v>7</v>
      </c>
      <c r="D32" s="354"/>
      <c r="E32" s="84" t="s">
        <v>1372</v>
      </c>
      <c r="F32" s="84"/>
      <c r="G32" s="84"/>
      <c r="H32" s="84"/>
      <c r="I32" s="84"/>
      <c r="J32" s="355">
        <v>0</v>
      </c>
      <c r="K32" s="355">
        <v>0</v>
      </c>
      <c r="L32" s="355">
        <v>0</v>
      </c>
      <c r="M32" s="355">
        <v>0</v>
      </c>
      <c r="N32" s="355">
        <v>0</v>
      </c>
      <c r="O32" s="355">
        <v>0</v>
      </c>
      <c r="P32" s="355">
        <v>0</v>
      </c>
      <c r="Q32" s="355">
        <v>0</v>
      </c>
      <c r="R32" s="355">
        <v>0</v>
      </c>
      <c r="S32" s="311"/>
    </row>
    <row r="33" spans="2:26">
      <c r="B33" s="165"/>
      <c r="C33" s="354"/>
      <c r="D33" s="354"/>
      <c r="E33" s="84" t="s">
        <v>967</v>
      </c>
      <c r="F33" s="84"/>
      <c r="G33" s="84"/>
      <c r="H33" s="84"/>
      <c r="I33" s="84"/>
      <c r="J33" s="355"/>
      <c r="K33" s="355"/>
      <c r="L33" s="355"/>
      <c r="M33" s="355"/>
      <c r="N33" s="355"/>
      <c r="O33" s="355"/>
      <c r="P33" s="355"/>
      <c r="Q33" s="355"/>
      <c r="R33" s="355"/>
      <c r="S33" s="311"/>
    </row>
    <row r="34" spans="2:26">
      <c r="B34" s="165"/>
      <c r="C34" s="354"/>
      <c r="D34" s="354"/>
      <c r="E34" s="84"/>
      <c r="F34" s="84"/>
      <c r="G34" s="84"/>
      <c r="H34" s="84"/>
      <c r="I34" s="84"/>
      <c r="J34" s="355"/>
      <c r="K34" s="355"/>
      <c r="L34" s="355"/>
      <c r="M34" s="355"/>
      <c r="N34" s="355"/>
      <c r="O34" s="355"/>
      <c r="P34" s="355"/>
      <c r="Q34" s="355"/>
      <c r="R34" s="355"/>
      <c r="S34" s="311"/>
    </row>
    <row r="35" spans="2:26">
      <c r="B35" s="165"/>
      <c r="C35" s="354">
        <v>8</v>
      </c>
      <c r="D35" s="354"/>
      <c r="E35" s="84" t="s">
        <v>1373</v>
      </c>
      <c r="F35" s="84"/>
      <c r="G35" s="84"/>
      <c r="H35" s="84"/>
      <c r="I35" s="84"/>
      <c r="J35" s="355">
        <f>'B  S '!E31</f>
        <v>180</v>
      </c>
      <c r="K35" s="355">
        <f>'B  S '!F31</f>
        <v>300</v>
      </c>
      <c r="L35" s="355">
        <f>'B  S '!G31</f>
        <v>360</v>
      </c>
      <c r="M35" s="355">
        <f>'B  S '!H31</f>
        <v>480</v>
      </c>
      <c r="N35" s="355">
        <f>'B  S '!I31</f>
        <v>540</v>
      </c>
      <c r="O35" s="355">
        <f>'B  S '!J31</f>
        <v>600</v>
      </c>
      <c r="P35" s="355">
        <f>'B  S '!K31</f>
        <v>0</v>
      </c>
      <c r="Q35" s="355">
        <f>'B  S '!L31</f>
        <v>0</v>
      </c>
      <c r="R35" s="355">
        <f>'B  S '!M31</f>
        <v>0</v>
      </c>
      <c r="S35" s="68"/>
      <c r="T35" s="357">
        <f>M35-N35</f>
        <v>-60</v>
      </c>
    </row>
    <row r="36" spans="2:26">
      <c r="B36" s="165"/>
      <c r="C36" s="354"/>
      <c r="D36" s="354"/>
      <c r="E36" s="84" t="s">
        <v>1374</v>
      </c>
      <c r="F36" s="84"/>
      <c r="G36" s="84"/>
      <c r="H36" s="84"/>
      <c r="I36" s="84"/>
      <c r="J36" s="355"/>
      <c r="K36" s="355"/>
      <c r="L36" s="355"/>
      <c r="M36" s="355"/>
      <c r="N36" s="355"/>
      <c r="O36" s="355"/>
      <c r="P36" s="355"/>
      <c r="Q36" s="355"/>
      <c r="R36" s="355"/>
      <c r="S36" s="311"/>
    </row>
    <row r="37" spans="2:26">
      <c r="B37" s="165"/>
      <c r="C37" s="354"/>
      <c r="D37" s="354"/>
      <c r="E37" s="84" t="s">
        <v>967</v>
      </c>
      <c r="F37" s="84"/>
      <c r="G37" s="84"/>
      <c r="H37" s="84"/>
      <c r="I37" s="84"/>
      <c r="J37" s="355"/>
      <c r="K37" s="355"/>
      <c r="L37" s="355"/>
      <c r="M37" s="355"/>
      <c r="N37" s="355"/>
      <c r="O37" s="355"/>
      <c r="P37" s="355"/>
      <c r="Q37" s="355"/>
      <c r="R37" s="355"/>
      <c r="S37" s="311"/>
    </row>
    <row r="38" spans="2:26">
      <c r="B38" s="165"/>
      <c r="C38" s="354"/>
      <c r="D38" s="354"/>
      <c r="E38" s="84"/>
      <c r="F38" s="84"/>
      <c r="G38" s="84"/>
      <c r="H38" s="84"/>
      <c r="I38" s="84"/>
      <c r="J38" s="355"/>
      <c r="K38" s="355"/>
      <c r="L38" s="355"/>
      <c r="M38" s="355"/>
      <c r="N38" s="355"/>
      <c r="O38" s="355"/>
      <c r="P38" s="355"/>
      <c r="Q38" s="355"/>
      <c r="R38" s="355"/>
      <c r="S38" s="311"/>
    </row>
    <row r="39" spans="2:26">
      <c r="B39" s="165"/>
      <c r="C39" s="354">
        <v>9</v>
      </c>
      <c r="D39" s="354"/>
      <c r="E39" s="84" t="s">
        <v>1152</v>
      </c>
      <c r="F39" s="84"/>
      <c r="G39" s="84"/>
      <c r="H39" s="84"/>
      <c r="I39" s="84"/>
      <c r="J39" s="355" t="e">
        <f>#REF!</f>
        <v>#REF!</v>
      </c>
      <c r="K39" s="355" t="e">
        <f>#REF!</f>
        <v>#REF!</v>
      </c>
      <c r="L39" s="355" t="e">
        <f>#REF!</f>
        <v>#REF!</v>
      </c>
      <c r="M39" s="355" t="e">
        <f>#REF!</f>
        <v>#REF!</v>
      </c>
      <c r="N39" s="355" t="e">
        <f>#REF!</f>
        <v>#REF!</v>
      </c>
      <c r="O39" s="355" t="e">
        <f>#REF!</f>
        <v>#REF!</v>
      </c>
      <c r="P39" s="355" t="e">
        <f>#REF!</f>
        <v>#REF!</v>
      </c>
      <c r="Q39" s="355" t="e">
        <f>#REF!</f>
        <v>#REF!</v>
      </c>
      <c r="R39" s="355" t="e">
        <f>#REF!</f>
        <v>#REF!</v>
      </c>
      <c r="S39" s="311"/>
    </row>
    <row r="40" spans="2:26">
      <c r="B40" s="165"/>
      <c r="C40" s="354"/>
      <c r="D40" s="354"/>
      <c r="E40" s="84" t="s">
        <v>967</v>
      </c>
      <c r="F40" s="84"/>
      <c r="G40" s="84"/>
      <c r="H40" s="84"/>
      <c r="I40" s="84"/>
      <c r="J40" s="355"/>
      <c r="K40" s="355"/>
      <c r="L40" s="355"/>
      <c r="M40" s="355"/>
      <c r="N40" s="355"/>
      <c r="O40" s="355"/>
      <c r="P40" s="355"/>
      <c r="Q40" s="355"/>
      <c r="R40" s="355"/>
      <c r="S40" s="311"/>
    </row>
    <row r="41" spans="2:26">
      <c r="B41" s="165"/>
      <c r="C41" s="354"/>
      <c r="D41" s="354"/>
      <c r="E41" s="84"/>
      <c r="F41" s="84"/>
      <c r="G41" s="84"/>
      <c r="H41" s="84"/>
      <c r="I41" s="84"/>
      <c r="J41" s="355"/>
      <c r="K41" s="355"/>
      <c r="L41" s="355"/>
      <c r="M41" s="355"/>
      <c r="N41" s="355"/>
      <c r="O41" s="355"/>
      <c r="P41" s="355"/>
      <c r="Q41" s="355"/>
      <c r="R41" s="355"/>
      <c r="S41" s="311"/>
    </row>
    <row r="42" spans="2:26">
      <c r="B42" s="165"/>
      <c r="C42" s="354"/>
      <c r="D42" s="354"/>
      <c r="E42" s="78" t="s">
        <v>1375</v>
      </c>
      <c r="F42" s="78"/>
      <c r="G42" s="78"/>
      <c r="H42" s="78"/>
      <c r="I42" s="78"/>
      <c r="J42" s="356" t="e">
        <f t="shared" ref="J42:Q42" si="1">SUM(J21:J41)</f>
        <v>#REF!</v>
      </c>
      <c r="K42" s="356" t="e">
        <f t="shared" si="1"/>
        <v>#REF!</v>
      </c>
      <c r="L42" s="356" t="e">
        <f t="shared" si="1"/>
        <v>#REF!</v>
      </c>
      <c r="M42" s="356" t="e">
        <f t="shared" si="1"/>
        <v>#REF!</v>
      </c>
      <c r="N42" s="356" t="e">
        <f t="shared" si="1"/>
        <v>#REF!</v>
      </c>
      <c r="O42" s="356" t="e">
        <f t="shared" si="1"/>
        <v>#REF!</v>
      </c>
      <c r="P42" s="356" t="e">
        <f t="shared" si="1"/>
        <v>#REF!</v>
      </c>
      <c r="Q42" s="356" t="e">
        <f t="shared" si="1"/>
        <v>#REF!</v>
      </c>
      <c r="R42" s="356" t="e">
        <f>SUM(R21:R41)</f>
        <v>#REF!</v>
      </c>
      <c r="S42" s="311"/>
    </row>
    <row r="43" spans="2:26">
      <c r="B43" s="165"/>
      <c r="C43" s="354"/>
      <c r="D43" s="354"/>
      <c r="E43" s="84"/>
      <c r="F43" s="84"/>
      <c r="G43" s="84"/>
      <c r="H43" s="84"/>
      <c r="I43" s="84"/>
      <c r="J43" s="355"/>
      <c r="K43" s="355"/>
      <c r="L43" s="355"/>
      <c r="M43" s="355"/>
      <c r="N43" s="355"/>
      <c r="O43" s="355"/>
      <c r="P43" s="355"/>
      <c r="Q43" s="355"/>
      <c r="R43" s="355"/>
      <c r="S43" s="311"/>
    </row>
    <row r="44" spans="2:26">
      <c r="B44" s="165"/>
      <c r="C44" s="354">
        <v>10</v>
      </c>
      <c r="D44" s="354"/>
      <c r="E44" s="78" t="s">
        <v>1376</v>
      </c>
      <c r="F44" s="84"/>
      <c r="G44" s="84"/>
      <c r="H44" s="84"/>
      <c r="I44" s="84"/>
      <c r="J44" s="356" t="e">
        <f t="shared" ref="J44:O44" si="2">SUM(J19+J42)</f>
        <v>#REF!</v>
      </c>
      <c r="K44" s="356" t="e">
        <f t="shared" si="2"/>
        <v>#REF!</v>
      </c>
      <c r="L44" s="356" t="e">
        <f t="shared" si="2"/>
        <v>#REF!</v>
      </c>
      <c r="M44" s="356" t="e">
        <f t="shared" si="2"/>
        <v>#REF!</v>
      </c>
      <c r="N44" s="356" t="e">
        <f t="shared" si="2"/>
        <v>#REF!</v>
      </c>
      <c r="O44" s="356" t="e">
        <f t="shared" si="2"/>
        <v>#REF!</v>
      </c>
      <c r="P44" s="356" t="e">
        <f>SUM(P19+P42)</f>
        <v>#REF!</v>
      </c>
      <c r="Q44" s="356" t="e">
        <f>SUM(Q19+Q42)</f>
        <v>#REF!</v>
      </c>
      <c r="R44" s="356" t="e">
        <f>SUM(R19+R42)</f>
        <v>#REF!</v>
      </c>
      <c r="S44" s="311"/>
      <c r="T44" s="67">
        <f>[17]CMA!H129</f>
        <v>949.20340569999996</v>
      </c>
      <c r="U44" s="67">
        <f>[17]CMA!I129</f>
        <v>1238.9222353000002</v>
      </c>
      <c r="V44" s="67">
        <f>[17]CMA!J129</f>
        <v>2068.5740905000002</v>
      </c>
      <c r="W44" s="67">
        <f>[17]CMA!K129</f>
        <v>2615.6497269000006</v>
      </c>
      <c r="X44" s="67">
        <f>[17]CMA!L129</f>
        <v>3317.9748970000001</v>
      </c>
      <c r="Y44" s="67">
        <f>[17]CMA!M129</f>
        <v>2964.8718238997708</v>
      </c>
      <c r="Z44" s="67">
        <f>[17]CMA!N129</f>
        <v>2679.2234538566131</v>
      </c>
    </row>
    <row r="45" spans="2:26" ht="13.5" thickBot="1">
      <c r="B45" s="358"/>
      <c r="C45" s="359"/>
      <c r="D45" s="359"/>
      <c r="E45" s="169"/>
      <c r="F45" s="169"/>
      <c r="G45" s="169"/>
      <c r="H45" s="169"/>
      <c r="I45" s="169"/>
      <c r="J45" s="360"/>
      <c r="K45" s="360"/>
      <c r="L45" s="360"/>
      <c r="M45" s="360"/>
      <c r="N45" s="360"/>
      <c r="O45" s="360"/>
      <c r="P45" s="360"/>
      <c r="Q45" s="360"/>
      <c r="R45" s="360"/>
      <c r="S45" s="311"/>
      <c r="T45" s="357" t="e">
        <f t="shared" ref="T45:Y45" si="3">M44-T44</f>
        <v>#REF!</v>
      </c>
      <c r="U45" s="357" t="e">
        <f t="shared" si="3"/>
        <v>#REF!</v>
      </c>
      <c r="V45" s="357" t="e">
        <f t="shared" si="3"/>
        <v>#REF!</v>
      </c>
      <c r="W45" s="357" t="e">
        <f t="shared" si="3"/>
        <v>#REF!</v>
      </c>
      <c r="X45" s="357" t="e">
        <f t="shared" si="3"/>
        <v>#REF!</v>
      </c>
      <c r="Y45" s="357" t="e">
        <f t="shared" si="3"/>
        <v>#REF!</v>
      </c>
      <c r="Z45" s="357" t="e">
        <f>#REF!-Z44</f>
        <v>#REF!</v>
      </c>
    </row>
    <row r="46" spans="2:26">
      <c r="B46" s="344"/>
      <c r="C46" s="361"/>
      <c r="D46" s="362"/>
      <c r="E46" s="362" t="s">
        <v>1377</v>
      </c>
      <c r="F46" s="317"/>
      <c r="G46" s="317"/>
      <c r="H46" s="317"/>
      <c r="I46" s="317"/>
      <c r="J46" s="363"/>
      <c r="K46" s="363"/>
      <c r="L46" s="363"/>
      <c r="M46" s="363"/>
      <c r="N46" s="363"/>
      <c r="O46" s="363"/>
      <c r="P46" s="363"/>
      <c r="Q46" s="363"/>
      <c r="R46" s="363"/>
      <c r="S46" s="311"/>
    </row>
    <row r="47" spans="2:26">
      <c r="B47" s="165"/>
      <c r="C47" s="354"/>
      <c r="D47" s="354"/>
      <c r="E47" s="84"/>
      <c r="F47" s="84"/>
      <c r="G47" s="84"/>
      <c r="H47" s="84"/>
      <c r="I47" s="84"/>
      <c r="J47" s="355"/>
      <c r="K47" s="355"/>
      <c r="L47" s="355"/>
      <c r="M47" s="355"/>
      <c r="N47" s="355"/>
      <c r="O47" s="355"/>
      <c r="P47" s="355"/>
      <c r="Q47" s="355"/>
      <c r="R47" s="355"/>
      <c r="S47" s="311"/>
    </row>
    <row r="48" spans="2:26">
      <c r="B48" s="165"/>
      <c r="C48" s="354">
        <v>11</v>
      </c>
      <c r="D48" s="354"/>
      <c r="E48" s="84" t="s">
        <v>1378</v>
      </c>
      <c r="F48" s="84"/>
      <c r="G48" s="84"/>
      <c r="H48" s="84"/>
      <c r="I48" s="84"/>
      <c r="J48" s="355">
        <v>0</v>
      </c>
      <c r="K48" s="355">
        <v>0</v>
      </c>
      <c r="L48" s="355">
        <v>0</v>
      </c>
      <c r="M48" s="355">
        <v>0</v>
      </c>
      <c r="N48" s="355">
        <v>0</v>
      </c>
      <c r="O48" s="355">
        <v>0</v>
      </c>
      <c r="P48" s="355">
        <v>0</v>
      </c>
      <c r="Q48" s="355">
        <v>0</v>
      </c>
      <c r="R48" s="355">
        <v>0</v>
      </c>
      <c r="S48" s="311"/>
    </row>
    <row r="49" spans="1:28">
      <c r="B49" s="165"/>
      <c r="C49" s="354"/>
      <c r="D49" s="354"/>
      <c r="E49" s="84"/>
      <c r="F49" s="84"/>
      <c r="G49" s="84"/>
      <c r="H49" s="84"/>
      <c r="I49" s="84"/>
      <c r="J49" s="355"/>
      <c r="K49" s="355"/>
      <c r="L49" s="355"/>
      <c r="M49" s="355"/>
      <c r="N49" s="355"/>
      <c r="O49" s="355"/>
      <c r="P49" s="355"/>
      <c r="Q49" s="355"/>
      <c r="R49" s="355"/>
      <c r="S49" s="311"/>
    </row>
    <row r="50" spans="1:28">
      <c r="B50" s="165"/>
      <c r="C50" s="354">
        <v>12</v>
      </c>
      <c r="D50" s="354"/>
      <c r="E50" s="84" t="s">
        <v>1379</v>
      </c>
      <c r="F50" s="84"/>
      <c r="G50" s="84"/>
      <c r="H50" s="84"/>
      <c r="I50" s="84"/>
      <c r="J50" s="355">
        <v>0</v>
      </c>
      <c r="K50" s="355">
        <v>0</v>
      </c>
      <c r="L50" s="355">
        <v>0</v>
      </c>
      <c r="M50" s="355">
        <v>0</v>
      </c>
      <c r="N50" s="355">
        <v>0</v>
      </c>
      <c r="O50" s="355">
        <v>0</v>
      </c>
      <c r="P50" s="355">
        <v>0</v>
      </c>
      <c r="Q50" s="355">
        <v>0</v>
      </c>
      <c r="R50" s="355">
        <v>0</v>
      </c>
      <c r="S50" s="311"/>
    </row>
    <row r="51" spans="1:28">
      <c r="B51" s="165"/>
      <c r="C51" s="354"/>
      <c r="D51" s="354"/>
      <c r="E51" s="84"/>
      <c r="F51" s="84"/>
      <c r="G51" s="84"/>
      <c r="H51" s="84"/>
      <c r="I51" s="84"/>
      <c r="J51" s="355"/>
      <c r="K51" s="355"/>
      <c r="L51" s="355"/>
      <c r="M51" s="355"/>
      <c r="N51" s="355"/>
      <c r="O51" s="355"/>
      <c r="P51" s="355"/>
      <c r="Q51" s="355"/>
      <c r="R51" s="355"/>
      <c r="S51" s="311"/>
    </row>
    <row r="52" spans="1:28">
      <c r="B52" s="165"/>
      <c r="C52" s="354">
        <v>13</v>
      </c>
      <c r="D52" s="354"/>
      <c r="E52" s="84" t="s">
        <v>1380</v>
      </c>
      <c r="F52" s="84"/>
      <c r="G52" s="84"/>
      <c r="H52" s="84"/>
      <c r="I52" s="84"/>
      <c r="J52" s="355" t="e">
        <f>#REF!</f>
        <v>#REF!</v>
      </c>
      <c r="K52" s="355" t="e">
        <f>#REF!</f>
        <v>#REF!</v>
      </c>
      <c r="L52" s="355" t="e">
        <f>#REF!</f>
        <v>#REF!</v>
      </c>
      <c r="M52" s="355" t="e">
        <f>#REF!</f>
        <v>#REF!</v>
      </c>
      <c r="N52" s="355" t="e">
        <f>#REF!</f>
        <v>#REF!</v>
      </c>
      <c r="O52" s="355" t="e">
        <f>#REF!</f>
        <v>#REF!</v>
      </c>
      <c r="P52" s="355" t="e">
        <f>#REF!</f>
        <v>#REF!</v>
      </c>
      <c r="Q52" s="355" t="e">
        <f>#REF!</f>
        <v>#REF!</v>
      </c>
      <c r="R52" s="355" t="e">
        <f>#REF!</f>
        <v>#REF!</v>
      </c>
      <c r="S52" s="311"/>
    </row>
    <row r="53" spans="1:28">
      <c r="B53" s="165"/>
      <c r="C53" s="354"/>
      <c r="D53" s="354"/>
      <c r="E53" s="84" t="s">
        <v>1381</v>
      </c>
      <c r="F53" s="84"/>
      <c r="G53" s="84"/>
      <c r="H53" s="84"/>
      <c r="I53" s="84"/>
      <c r="J53" s="355"/>
      <c r="K53" s="355"/>
      <c r="L53" s="355"/>
      <c r="M53" s="355"/>
      <c r="N53" s="355"/>
      <c r="O53" s="355"/>
      <c r="P53" s="355"/>
      <c r="Q53" s="355"/>
      <c r="R53" s="355"/>
      <c r="S53" s="311"/>
    </row>
    <row r="54" spans="1:28">
      <c r="B54" s="165"/>
      <c r="C54" s="354">
        <v>14</v>
      </c>
      <c r="D54" s="354"/>
      <c r="E54" s="84" t="s">
        <v>1382</v>
      </c>
      <c r="F54" s="84"/>
      <c r="G54" s="84"/>
      <c r="H54" s="84"/>
      <c r="I54" s="84"/>
      <c r="J54" s="355"/>
      <c r="K54" s="355"/>
      <c r="L54" s="355"/>
      <c r="M54" s="355"/>
      <c r="N54" s="355"/>
      <c r="O54" s="355"/>
      <c r="P54" s="355"/>
      <c r="Q54" s="355"/>
      <c r="R54" s="355"/>
      <c r="S54" s="311"/>
    </row>
    <row r="55" spans="1:28">
      <c r="B55" s="165"/>
      <c r="C55" s="354"/>
      <c r="D55" s="354"/>
      <c r="E55" s="84" t="s">
        <v>1383</v>
      </c>
      <c r="F55" s="84"/>
      <c r="G55" s="84"/>
      <c r="H55" s="84"/>
      <c r="I55" s="84"/>
      <c r="J55" s="355">
        <v>0</v>
      </c>
      <c r="K55" s="355">
        <v>0</v>
      </c>
      <c r="L55" s="355">
        <v>0</v>
      </c>
      <c r="M55" s="355">
        <v>0</v>
      </c>
      <c r="N55" s="355">
        <v>0</v>
      </c>
      <c r="O55" s="355">
        <v>0</v>
      </c>
      <c r="P55" s="355">
        <v>0</v>
      </c>
      <c r="Q55" s="355">
        <v>0</v>
      </c>
      <c r="R55" s="355">
        <v>0</v>
      </c>
      <c r="S55" s="311"/>
    </row>
    <row r="56" spans="1:28">
      <c r="B56" s="165"/>
      <c r="C56" s="354"/>
      <c r="D56" s="354"/>
      <c r="E56" s="84"/>
      <c r="F56" s="84"/>
      <c r="G56" s="84"/>
      <c r="H56" s="84"/>
      <c r="I56" s="84"/>
      <c r="J56" s="355"/>
      <c r="K56" s="355"/>
      <c r="L56" s="355"/>
      <c r="M56" s="355"/>
      <c r="N56" s="355"/>
      <c r="O56" s="355"/>
      <c r="P56" s="355"/>
      <c r="Q56" s="355"/>
      <c r="R56" s="355"/>
      <c r="S56" s="311"/>
    </row>
    <row r="57" spans="1:28">
      <c r="B57" s="165"/>
      <c r="C57" s="354">
        <v>15</v>
      </c>
      <c r="D57" s="354"/>
      <c r="E57" s="84" t="s">
        <v>1384</v>
      </c>
      <c r="F57" s="84"/>
      <c r="G57" s="84"/>
      <c r="H57" s="84"/>
      <c r="I57" s="84"/>
      <c r="J57" s="355">
        <f>[17]CMA!E136</f>
        <v>0</v>
      </c>
      <c r="K57" s="355">
        <f>[17]CMA!F136</f>
        <v>0</v>
      </c>
      <c r="L57" s="355">
        <f>[17]CMA!G136</f>
        <v>0</v>
      </c>
      <c r="M57" s="355">
        <f>[17]CMA!H136</f>
        <v>0</v>
      </c>
      <c r="N57" s="355">
        <f>[17]CMA!I136</f>
        <v>0</v>
      </c>
      <c r="O57" s="355">
        <f>[17]CMA!J136</f>
        <v>0</v>
      </c>
      <c r="P57" s="355">
        <f>[17]CMA!K136</f>
        <v>0</v>
      </c>
      <c r="Q57" s="355">
        <f>[17]CMA!L136</f>
        <v>0</v>
      </c>
      <c r="R57" s="355">
        <f>[17]CMA!M136</f>
        <v>0</v>
      </c>
      <c r="S57" s="311"/>
    </row>
    <row r="58" spans="1:28">
      <c r="B58" s="165"/>
      <c r="C58" s="354"/>
      <c r="D58" s="354"/>
      <c r="E58" s="364"/>
      <c r="F58" s="84"/>
      <c r="G58" s="84"/>
      <c r="H58" s="84"/>
      <c r="I58" s="84"/>
      <c r="J58" s="355"/>
      <c r="K58" s="355"/>
      <c r="L58" s="355"/>
      <c r="M58" s="355"/>
      <c r="N58" s="355"/>
      <c r="O58" s="355"/>
      <c r="P58" s="355"/>
      <c r="Q58" s="355"/>
      <c r="R58" s="355"/>
      <c r="S58" s="311"/>
    </row>
    <row r="59" spans="1:28">
      <c r="B59" s="165"/>
      <c r="C59" s="354">
        <v>16</v>
      </c>
      <c r="D59" s="354"/>
      <c r="E59" s="84" t="s">
        <v>1385</v>
      </c>
      <c r="F59" s="84"/>
      <c r="G59" s="84"/>
      <c r="H59" s="84"/>
      <c r="I59" s="84"/>
      <c r="J59" s="355" t="e">
        <f>#REF!</f>
        <v>#REF!</v>
      </c>
      <c r="K59" s="355" t="e">
        <f>#REF!</f>
        <v>#REF!</v>
      </c>
      <c r="L59" s="355" t="e">
        <f>#REF!</f>
        <v>#REF!</v>
      </c>
      <c r="M59" s="355" t="e">
        <f>#REF!</f>
        <v>#REF!</v>
      </c>
      <c r="N59" s="355" t="e">
        <f>#REF!</f>
        <v>#REF!</v>
      </c>
      <c r="O59" s="355" t="e">
        <f>#REF!</f>
        <v>#REF!</v>
      </c>
      <c r="P59" s="355" t="e">
        <f>#REF!</f>
        <v>#REF!</v>
      </c>
      <c r="Q59" s="355" t="e">
        <f>#REF!</f>
        <v>#REF!</v>
      </c>
      <c r="R59" s="355" t="e">
        <f>#REF!</f>
        <v>#REF!</v>
      </c>
      <c r="S59" s="311"/>
    </row>
    <row r="60" spans="1:28">
      <c r="B60" s="165"/>
      <c r="C60" s="354"/>
      <c r="D60" s="354"/>
      <c r="E60" s="84"/>
      <c r="F60" s="84"/>
      <c r="G60" s="84"/>
      <c r="H60" s="84"/>
      <c r="I60" s="84"/>
      <c r="J60" s="355"/>
      <c r="K60" s="355"/>
      <c r="L60" s="355"/>
      <c r="M60" s="355"/>
      <c r="N60" s="355"/>
      <c r="O60" s="355"/>
      <c r="P60" s="355"/>
      <c r="Q60" s="355"/>
      <c r="R60" s="355"/>
      <c r="S60" s="311"/>
    </row>
    <row r="61" spans="1:28">
      <c r="B61" s="165"/>
      <c r="C61" s="354">
        <v>17</v>
      </c>
      <c r="D61" s="354"/>
      <c r="E61" s="78" t="s">
        <v>1386</v>
      </c>
      <c r="F61" s="84"/>
      <c r="G61" s="84"/>
      <c r="H61" s="84"/>
      <c r="I61" s="84"/>
      <c r="J61" s="356" t="e">
        <f t="shared" ref="J61:O61" si="4">SUM(J48:J59)</f>
        <v>#REF!</v>
      </c>
      <c r="K61" s="356" t="e">
        <f t="shared" si="4"/>
        <v>#REF!</v>
      </c>
      <c r="L61" s="356" t="e">
        <f t="shared" si="4"/>
        <v>#REF!</v>
      </c>
      <c r="M61" s="356" t="e">
        <f t="shared" si="4"/>
        <v>#REF!</v>
      </c>
      <c r="N61" s="356" t="e">
        <f t="shared" si="4"/>
        <v>#REF!</v>
      </c>
      <c r="O61" s="356" t="e">
        <f t="shared" si="4"/>
        <v>#REF!</v>
      </c>
      <c r="P61" s="356" t="e">
        <f>SUM(P48:P59)</f>
        <v>#REF!</v>
      </c>
      <c r="Q61" s="356" t="e">
        <f>SUM(Q48:Q59)</f>
        <v>#REF!</v>
      </c>
      <c r="R61" s="356" t="e">
        <f>SUM(R48:R59)</f>
        <v>#REF!</v>
      </c>
      <c r="S61" s="311"/>
    </row>
    <row r="62" spans="1:28">
      <c r="B62" s="165"/>
      <c r="C62" s="354"/>
      <c r="D62" s="354"/>
      <c r="E62" s="78"/>
      <c r="F62" s="84"/>
      <c r="G62" s="84"/>
      <c r="H62" s="84"/>
      <c r="I62" s="84"/>
      <c r="J62" s="355"/>
      <c r="K62" s="355"/>
      <c r="L62" s="355"/>
      <c r="M62" s="355"/>
      <c r="N62" s="355"/>
      <c r="O62" s="355"/>
      <c r="P62" s="355"/>
      <c r="Q62" s="355"/>
      <c r="R62" s="355"/>
      <c r="S62" s="311"/>
    </row>
    <row r="63" spans="1:28" ht="13.5" thickBot="1">
      <c r="A63" s="84"/>
      <c r="B63" s="358"/>
      <c r="C63" s="359">
        <v>18</v>
      </c>
      <c r="D63" s="359"/>
      <c r="E63" s="58" t="s">
        <v>1387</v>
      </c>
      <c r="F63" s="169"/>
      <c r="G63" s="169"/>
      <c r="H63" s="169"/>
      <c r="I63" s="169"/>
      <c r="J63" s="365" t="e">
        <f t="shared" ref="J63:O63" si="5">J44+J61</f>
        <v>#REF!</v>
      </c>
      <c r="K63" s="365" t="e">
        <f t="shared" si="5"/>
        <v>#REF!</v>
      </c>
      <c r="L63" s="365" t="e">
        <f t="shared" si="5"/>
        <v>#REF!</v>
      </c>
      <c r="M63" s="365" t="e">
        <f t="shared" si="5"/>
        <v>#REF!</v>
      </c>
      <c r="N63" s="365" t="e">
        <f t="shared" si="5"/>
        <v>#REF!</v>
      </c>
      <c r="O63" s="365" t="e">
        <f t="shared" si="5"/>
        <v>#REF!</v>
      </c>
      <c r="P63" s="365" t="e">
        <f>P44+P61</f>
        <v>#REF!</v>
      </c>
      <c r="Q63" s="365" t="e">
        <f>Q44+Q61</f>
        <v>#REF!</v>
      </c>
      <c r="R63" s="365" t="e">
        <f>R44+R61</f>
        <v>#REF!</v>
      </c>
      <c r="S63" s="311"/>
      <c r="T63" s="67">
        <f>[17]CMA!C141</f>
        <v>1002.7291542</v>
      </c>
      <c r="U63" s="67">
        <f>[17]CMA!G141</f>
        <v>1347.0755128999999</v>
      </c>
      <c r="V63" s="67">
        <f>[17]CMA!H141</f>
        <v>1705.5532715999998</v>
      </c>
      <c r="W63" s="67">
        <f>[17]CMA!I141</f>
        <v>2697.3908990999998</v>
      </c>
      <c r="X63" s="67">
        <f>[17]CMA!J141</f>
        <v>3305.9986878000004</v>
      </c>
      <c r="Y63" s="67">
        <f>[17]CMA!K141</f>
        <v>4329.6412342000003</v>
      </c>
      <c r="Z63" s="67">
        <f>[17]CMA!L141</f>
        <v>4736.3286129999997</v>
      </c>
      <c r="AA63" s="67">
        <f>[17]CMA!M141</f>
        <v>4262.574549149771</v>
      </c>
      <c r="AB63" s="67">
        <f>[17]CMA!N141</f>
        <v>3783.2173299503629</v>
      </c>
    </row>
    <row r="64" spans="1:28" ht="4.5" customHeight="1">
      <c r="A64" s="84"/>
      <c r="B64" s="165"/>
      <c r="C64" s="366"/>
      <c r="D64" s="354"/>
      <c r="E64" s="78"/>
      <c r="F64" s="84"/>
      <c r="G64" s="84"/>
      <c r="H64" s="84"/>
      <c r="I64" s="84"/>
      <c r="J64" s="356"/>
      <c r="K64" s="356"/>
      <c r="L64" s="356"/>
      <c r="M64" s="356"/>
      <c r="N64" s="356"/>
      <c r="O64" s="356"/>
      <c r="P64" s="356"/>
      <c r="Q64" s="356"/>
      <c r="R64" s="356"/>
      <c r="S64" s="311"/>
      <c r="T64" s="357" t="e">
        <f t="shared" ref="T64:AA64" si="6">K63-T63</f>
        <v>#REF!</v>
      </c>
      <c r="U64" s="357" t="e">
        <f t="shared" si="6"/>
        <v>#REF!</v>
      </c>
      <c r="V64" s="357" t="e">
        <f t="shared" si="6"/>
        <v>#REF!</v>
      </c>
      <c r="W64" s="357" t="e">
        <f t="shared" si="6"/>
        <v>#REF!</v>
      </c>
      <c r="X64" s="357" t="e">
        <f t="shared" si="6"/>
        <v>#REF!</v>
      </c>
      <c r="Y64" s="357" t="e">
        <f t="shared" si="6"/>
        <v>#REF!</v>
      </c>
      <c r="Z64" s="357" t="e">
        <f t="shared" si="6"/>
        <v>#REF!</v>
      </c>
      <c r="AA64" s="357" t="e">
        <f t="shared" si="6"/>
        <v>#REF!</v>
      </c>
      <c r="AB64" s="357" t="e">
        <f>#REF!-AB63</f>
        <v>#REF!</v>
      </c>
    </row>
    <row r="65" spans="1:31" ht="3" customHeight="1">
      <c r="A65" s="84"/>
      <c r="B65" s="165"/>
      <c r="C65" s="366"/>
      <c r="D65" s="354"/>
      <c r="E65" s="78"/>
      <c r="F65" s="84"/>
      <c r="G65" s="84"/>
      <c r="H65" s="84"/>
      <c r="I65" s="84"/>
      <c r="J65" s="356"/>
      <c r="K65" s="356"/>
      <c r="L65" s="356"/>
      <c r="M65" s="356"/>
      <c r="N65" s="356"/>
      <c r="O65" s="356"/>
      <c r="P65" s="356"/>
      <c r="Q65" s="356"/>
      <c r="R65" s="356"/>
      <c r="S65" s="311"/>
    </row>
    <row r="66" spans="1:31" ht="3" customHeight="1">
      <c r="A66" s="84"/>
      <c r="B66" s="367"/>
      <c r="C66" s="368"/>
      <c r="D66" s="368"/>
      <c r="E66" s="88"/>
      <c r="F66" s="88"/>
      <c r="G66" s="88"/>
      <c r="H66" s="88"/>
      <c r="I66" s="88"/>
      <c r="J66" s="369"/>
      <c r="K66" s="369"/>
      <c r="L66" s="369"/>
      <c r="M66" s="369"/>
      <c r="N66" s="369"/>
      <c r="O66" s="369"/>
      <c r="P66" s="369"/>
      <c r="Q66" s="369"/>
      <c r="R66" s="369"/>
      <c r="S66" s="311"/>
    </row>
    <row r="67" spans="1:31" ht="6" customHeight="1">
      <c r="B67" s="165"/>
      <c r="C67" s="354"/>
      <c r="D67" s="354"/>
      <c r="E67" s="84"/>
      <c r="F67" s="84"/>
      <c r="G67" s="84"/>
      <c r="H67" s="84"/>
      <c r="I67" s="84"/>
      <c r="J67" s="355"/>
      <c r="K67" s="355"/>
      <c r="L67" s="355"/>
      <c r="M67" s="355"/>
      <c r="N67" s="355"/>
      <c r="O67" s="355"/>
      <c r="P67" s="355"/>
      <c r="Q67" s="355"/>
      <c r="R67" s="355"/>
      <c r="S67" s="311"/>
    </row>
    <row r="68" spans="1:31">
      <c r="B68" s="165"/>
      <c r="C68" s="84"/>
      <c r="D68" s="1002"/>
      <c r="E68" s="1002" t="s">
        <v>1388</v>
      </c>
      <c r="F68" s="84"/>
      <c r="G68" s="84"/>
      <c r="H68" s="84"/>
      <c r="I68" s="84"/>
      <c r="J68" s="355"/>
      <c r="K68" s="355"/>
      <c r="L68" s="355"/>
      <c r="M68" s="355"/>
      <c r="N68" s="355"/>
      <c r="O68" s="355"/>
      <c r="P68" s="355"/>
      <c r="Q68" s="355"/>
      <c r="R68" s="355"/>
      <c r="S68" s="311"/>
    </row>
    <row r="69" spans="1:31" ht="6" customHeight="1">
      <c r="B69" s="165"/>
      <c r="C69" s="354"/>
      <c r="D69" s="354"/>
      <c r="E69" s="84"/>
      <c r="F69" s="84"/>
      <c r="G69" s="84"/>
      <c r="H69" s="84"/>
      <c r="I69" s="84"/>
      <c r="J69" s="355"/>
      <c r="K69" s="355"/>
      <c r="L69" s="355"/>
      <c r="M69" s="355"/>
      <c r="N69" s="355"/>
      <c r="O69" s="355"/>
      <c r="P69" s="355"/>
      <c r="Q69" s="355"/>
      <c r="R69" s="355"/>
      <c r="S69" s="311"/>
    </row>
    <row r="70" spans="1:31">
      <c r="B70" s="165"/>
      <c r="C70" s="366">
        <v>19</v>
      </c>
      <c r="D70" s="354"/>
      <c r="E70" s="84" t="s">
        <v>995</v>
      </c>
      <c r="F70" s="84"/>
      <c r="G70" s="84"/>
      <c r="H70" s="84"/>
      <c r="I70" s="84"/>
      <c r="J70" s="355" t="e">
        <f>#REF!</f>
        <v>#REF!</v>
      </c>
      <c r="K70" s="355" t="e">
        <f>#REF!</f>
        <v>#REF!</v>
      </c>
      <c r="L70" s="355" t="e">
        <f>#REF!</f>
        <v>#REF!</v>
      </c>
      <c r="M70" s="355" t="e">
        <f>#REF!</f>
        <v>#REF!</v>
      </c>
      <c r="N70" s="355" t="e">
        <f>#REF!</f>
        <v>#REF!</v>
      </c>
      <c r="O70" s="355" t="e">
        <f>#REF!</f>
        <v>#REF!</v>
      </c>
      <c r="P70" s="355" t="e">
        <f>#REF!</f>
        <v>#REF!</v>
      </c>
      <c r="Q70" s="355" t="e">
        <f>#REF!</f>
        <v>#REF!</v>
      </c>
      <c r="R70" s="355" t="e">
        <f>#REF!</f>
        <v>#REF!</v>
      </c>
      <c r="S70" s="311"/>
      <c r="AE70" s="370" t="e">
        <f>#REF!-R70</f>
        <v>#REF!</v>
      </c>
    </row>
    <row r="71" spans="1:31" ht="5.25" customHeight="1">
      <c r="B71" s="165"/>
      <c r="C71" s="366"/>
      <c r="D71" s="354"/>
      <c r="E71" s="371"/>
      <c r="F71" s="84"/>
      <c r="G71" s="84"/>
      <c r="H71" s="84"/>
      <c r="I71" s="84"/>
      <c r="J71" s="355"/>
      <c r="K71" s="355"/>
      <c r="L71" s="355"/>
      <c r="M71" s="355"/>
      <c r="N71" s="355"/>
      <c r="O71" s="355"/>
      <c r="P71" s="355"/>
      <c r="Q71" s="355"/>
      <c r="R71" s="355"/>
      <c r="S71" s="311"/>
    </row>
    <row r="72" spans="1:31">
      <c r="B72" s="165"/>
      <c r="C72" s="366">
        <v>20</v>
      </c>
      <c r="D72" s="354"/>
      <c r="E72" s="84" t="s">
        <v>1389</v>
      </c>
      <c r="F72" s="84"/>
      <c r="G72" s="84"/>
      <c r="H72" s="84"/>
      <c r="I72" s="84"/>
      <c r="J72" s="355">
        <v>0</v>
      </c>
      <c r="K72" s="355">
        <v>0</v>
      </c>
      <c r="L72" s="355">
        <v>0</v>
      </c>
      <c r="M72" s="355">
        <v>0</v>
      </c>
      <c r="N72" s="355">
        <v>0</v>
      </c>
      <c r="O72" s="355">
        <v>0</v>
      </c>
      <c r="P72" s="355">
        <v>0</v>
      </c>
      <c r="Q72" s="355">
        <v>0</v>
      </c>
      <c r="R72" s="355">
        <v>0</v>
      </c>
      <c r="S72" s="311"/>
    </row>
    <row r="73" spans="1:31" ht="4.5" customHeight="1">
      <c r="B73" s="165"/>
      <c r="C73" s="366"/>
      <c r="D73" s="354"/>
      <c r="E73" s="84"/>
      <c r="F73" s="84"/>
      <c r="G73" s="84"/>
      <c r="H73" s="84"/>
      <c r="I73" s="84"/>
      <c r="J73" s="355"/>
      <c r="K73" s="355"/>
      <c r="L73" s="355"/>
      <c r="M73" s="355"/>
      <c r="N73" s="355"/>
      <c r="O73" s="355"/>
      <c r="P73" s="355"/>
      <c r="Q73" s="355"/>
      <c r="R73" s="355"/>
      <c r="S73" s="311"/>
    </row>
    <row r="74" spans="1:31">
      <c r="B74" s="165"/>
      <c r="C74" s="366">
        <v>21</v>
      </c>
      <c r="D74" s="354"/>
      <c r="E74" s="84" t="s">
        <v>1390</v>
      </c>
      <c r="F74" s="84"/>
      <c r="G74" s="84"/>
      <c r="H74" s="84"/>
      <c r="I74" s="84"/>
      <c r="J74" s="355">
        <v>0</v>
      </c>
      <c r="K74" s="355">
        <v>0</v>
      </c>
      <c r="L74" s="355">
        <v>0</v>
      </c>
      <c r="M74" s="355">
        <v>0</v>
      </c>
      <c r="N74" s="355">
        <v>0</v>
      </c>
      <c r="O74" s="355">
        <v>0</v>
      </c>
      <c r="P74" s="355">
        <v>0</v>
      </c>
      <c r="Q74" s="355">
        <v>0</v>
      </c>
      <c r="R74" s="355">
        <v>0</v>
      </c>
      <c r="S74" s="311"/>
      <c r="AE74" s="370" t="e">
        <f>#REF!-R74</f>
        <v>#REF!</v>
      </c>
    </row>
    <row r="75" spans="1:31" ht="6" customHeight="1">
      <c r="B75" s="165"/>
      <c r="C75" s="366"/>
      <c r="D75" s="354"/>
      <c r="E75" s="84"/>
      <c r="F75" s="84"/>
      <c r="G75" s="84"/>
      <c r="H75" s="84"/>
      <c r="I75" s="84"/>
      <c r="J75" s="355"/>
      <c r="K75" s="355"/>
      <c r="L75" s="355"/>
      <c r="M75" s="355"/>
      <c r="N75" s="355"/>
      <c r="O75" s="355"/>
      <c r="P75" s="355"/>
      <c r="Q75" s="355"/>
      <c r="R75" s="355"/>
      <c r="S75" s="311"/>
    </row>
    <row r="76" spans="1:31">
      <c r="B76" s="165"/>
      <c r="C76" s="366">
        <v>22</v>
      </c>
      <c r="D76" s="354"/>
      <c r="E76" s="84" t="s">
        <v>1391</v>
      </c>
      <c r="F76" s="84"/>
      <c r="G76" s="84"/>
      <c r="H76" s="84"/>
      <c r="I76" s="84"/>
      <c r="J76" s="355"/>
      <c r="K76" s="355"/>
      <c r="L76" s="355"/>
      <c r="M76" s="355"/>
      <c r="N76" s="355"/>
      <c r="O76" s="355"/>
      <c r="P76" s="355"/>
      <c r="Q76" s="355"/>
      <c r="R76" s="355"/>
      <c r="S76" s="311"/>
    </row>
    <row r="77" spans="1:31" ht="6.75" customHeight="1">
      <c r="B77" s="165"/>
      <c r="C77" s="366"/>
      <c r="D77" s="354"/>
      <c r="E77" s="84"/>
      <c r="F77" s="84"/>
      <c r="G77" s="84"/>
      <c r="H77" s="84"/>
      <c r="I77" s="84"/>
      <c r="J77" s="355"/>
      <c r="K77" s="355"/>
      <c r="L77" s="355"/>
      <c r="M77" s="355"/>
      <c r="N77" s="355"/>
      <c r="O77" s="355"/>
      <c r="P77" s="355"/>
      <c r="Q77" s="355"/>
      <c r="R77" s="355"/>
      <c r="S77" s="311"/>
    </row>
    <row r="78" spans="1:31">
      <c r="B78" s="165"/>
      <c r="C78" s="366">
        <v>23</v>
      </c>
      <c r="D78" s="354"/>
      <c r="E78" s="84" t="s">
        <v>1392</v>
      </c>
      <c r="F78" s="84"/>
      <c r="G78" s="84"/>
      <c r="H78" s="84"/>
      <c r="I78" s="84"/>
      <c r="J78" s="355" t="e">
        <f>#REF!</f>
        <v>#REF!</v>
      </c>
      <c r="K78" s="355" t="e">
        <f>#REF!</f>
        <v>#REF!</v>
      </c>
      <c r="L78" s="355" t="e">
        <f>#REF!</f>
        <v>#REF!</v>
      </c>
      <c r="M78" s="355" t="e">
        <f>#REF!</f>
        <v>#REF!</v>
      </c>
      <c r="N78" s="355" t="e">
        <f>#REF!</f>
        <v>#REF!</v>
      </c>
      <c r="O78" s="355" t="e">
        <f>#REF!</f>
        <v>#REF!</v>
      </c>
      <c r="P78" s="355" t="e">
        <f>#REF!</f>
        <v>#REF!</v>
      </c>
      <c r="Q78" s="355" t="e">
        <f>#REF!</f>
        <v>#REF!</v>
      </c>
      <c r="R78" s="355" t="e">
        <f>#REF!</f>
        <v>#REF!</v>
      </c>
      <c r="S78" s="311"/>
      <c r="AE78" s="370" t="e">
        <f>#REF!-R78</f>
        <v>#REF!</v>
      </c>
    </row>
    <row r="79" spans="1:31" ht="6.75" customHeight="1">
      <c r="B79" s="165"/>
      <c r="C79" s="366"/>
      <c r="D79" s="354"/>
      <c r="E79" s="84"/>
      <c r="F79" s="84"/>
      <c r="G79" s="84"/>
      <c r="H79" s="84"/>
      <c r="I79" s="84"/>
      <c r="J79" s="355"/>
      <c r="K79" s="355"/>
      <c r="L79" s="355"/>
      <c r="M79" s="355"/>
      <c r="N79" s="355"/>
      <c r="O79" s="355"/>
      <c r="P79" s="355"/>
      <c r="Q79" s="355"/>
      <c r="R79" s="355"/>
      <c r="S79" s="311"/>
    </row>
    <row r="80" spans="1:31">
      <c r="B80" s="165"/>
      <c r="C80" s="366">
        <v>24</v>
      </c>
      <c r="D80" s="354"/>
      <c r="E80" s="78" t="s">
        <v>1388</v>
      </c>
      <c r="F80" s="84"/>
      <c r="G80" s="84"/>
      <c r="H80" s="84"/>
      <c r="I80" s="84"/>
      <c r="J80" s="356" t="e">
        <f t="shared" ref="J80:O80" si="7">SUM(J70:J78)</f>
        <v>#REF!</v>
      </c>
      <c r="K80" s="356" t="e">
        <f t="shared" si="7"/>
        <v>#REF!</v>
      </c>
      <c r="L80" s="356" t="e">
        <f t="shared" si="7"/>
        <v>#REF!</v>
      </c>
      <c r="M80" s="356" t="e">
        <f t="shared" si="7"/>
        <v>#REF!</v>
      </c>
      <c r="N80" s="356" t="e">
        <f t="shared" si="7"/>
        <v>#REF!</v>
      </c>
      <c r="O80" s="356" t="e">
        <f t="shared" si="7"/>
        <v>#REF!</v>
      </c>
      <c r="P80" s="356" t="e">
        <f>SUM(P70:P78)</f>
        <v>#REF!</v>
      </c>
      <c r="Q80" s="356" t="e">
        <f>SUM(Q70:Q78)</f>
        <v>#REF!</v>
      </c>
      <c r="R80" s="356" t="e">
        <f>SUM(R70:R78)</f>
        <v>#REF!</v>
      </c>
      <c r="S80" s="311"/>
      <c r="T80" s="67"/>
      <c r="U80" s="67"/>
      <c r="V80" s="67"/>
    </row>
    <row r="81" spans="2:38" ht="5.25" customHeight="1">
      <c r="B81" s="165"/>
      <c r="C81" s="366"/>
      <c r="D81" s="354"/>
      <c r="E81" s="84"/>
      <c r="F81" s="84"/>
      <c r="G81" s="84"/>
      <c r="H81" s="84"/>
      <c r="I81" s="84"/>
      <c r="J81" s="355"/>
      <c r="K81" s="355"/>
      <c r="L81" s="355"/>
      <c r="M81" s="355"/>
      <c r="N81" s="355"/>
      <c r="O81" s="355"/>
      <c r="P81" s="355"/>
      <c r="Q81" s="355"/>
      <c r="R81" s="355"/>
      <c r="S81" s="311"/>
    </row>
    <row r="82" spans="2:38" ht="15.75" customHeight="1">
      <c r="B82" s="165"/>
      <c r="C82" s="366">
        <v>25</v>
      </c>
      <c r="D82" s="354"/>
      <c r="E82" s="78" t="s">
        <v>429</v>
      </c>
      <c r="F82" s="84"/>
      <c r="G82" s="84"/>
      <c r="H82" s="84"/>
      <c r="I82" s="84"/>
      <c r="J82" s="356" t="e">
        <f t="shared" ref="J82:O82" si="8">J63+J80</f>
        <v>#REF!</v>
      </c>
      <c r="K82" s="356" t="e">
        <f t="shared" si="8"/>
        <v>#REF!</v>
      </c>
      <c r="L82" s="356" t="e">
        <f t="shared" si="8"/>
        <v>#REF!</v>
      </c>
      <c r="M82" s="356" t="e">
        <f t="shared" si="8"/>
        <v>#REF!</v>
      </c>
      <c r="N82" s="356" t="e">
        <f t="shared" si="8"/>
        <v>#REF!</v>
      </c>
      <c r="O82" s="356" t="e">
        <f t="shared" si="8"/>
        <v>#REF!</v>
      </c>
      <c r="P82" s="356" t="e">
        <f>P63+P80</f>
        <v>#REF!</v>
      </c>
      <c r="Q82" s="356" t="e">
        <f>Q63+Q80</f>
        <v>#REF!</v>
      </c>
      <c r="R82" s="356" t="e">
        <f>R63+R80</f>
        <v>#REF!</v>
      </c>
      <c r="S82" s="311"/>
      <c r="T82" s="67">
        <f>'[17]BS&amp;PL'!G23+'[17]BS&amp;PL'!G45</f>
        <v>1405.0315332999994</v>
      </c>
      <c r="U82" s="67">
        <f>'[17]BS&amp;PL'!H23+'[17]BS&amp;PL'!H45</f>
        <v>1927.5159065472139</v>
      </c>
      <c r="V82" s="67">
        <f>'[17]BS&amp;PL'!I23+'[17]BS&amp;PL'!I45</f>
        <v>2477.8088289472134</v>
      </c>
      <c r="W82" s="67">
        <f>'[17]BS&amp;PL'!J23+'[17]BS&amp;PL'!J45</f>
        <v>3919.8030235839105</v>
      </c>
      <c r="X82" s="67">
        <f>'[17]BS&amp;PL'!K23+'[17]BS&amp;PL'!K45</f>
        <v>4834.7812386557125</v>
      </c>
      <c r="AE82" s="370" t="e">
        <f>J82-#REF!</f>
        <v>#REF!</v>
      </c>
      <c r="AF82" s="370" t="e">
        <f>K82-#REF!</f>
        <v>#REF!</v>
      </c>
      <c r="AG82" s="370" t="e">
        <f>L82-#REF!</f>
        <v>#REF!</v>
      </c>
      <c r="AH82" s="370" t="e">
        <f>M82-#REF!</f>
        <v>#REF!</v>
      </c>
      <c r="AI82" s="370" t="e">
        <f>N82-#REF!</f>
        <v>#REF!</v>
      </c>
      <c r="AJ82" s="370" t="e">
        <f>O82-#REF!</f>
        <v>#REF!</v>
      </c>
      <c r="AK82" s="370" t="e">
        <f>P82-#REF!</f>
        <v>#REF!</v>
      </c>
      <c r="AL82" s="370" t="e">
        <f>Q82-#REF!</f>
        <v>#REF!</v>
      </c>
    </row>
    <row r="83" spans="2:38" ht="5.25" customHeight="1" thickBot="1">
      <c r="B83" s="358"/>
      <c r="C83" s="359"/>
      <c r="D83" s="359"/>
      <c r="E83" s="169"/>
      <c r="F83" s="169"/>
      <c r="G83" s="169"/>
      <c r="H83" s="169"/>
      <c r="I83" s="169"/>
      <c r="J83" s="360"/>
      <c r="K83" s="360"/>
      <c r="L83" s="360"/>
      <c r="M83" s="360"/>
      <c r="N83" s="360"/>
      <c r="O83" s="360"/>
      <c r="P83" s="360"/>
      <c r="Q83" s="360"/>
      <c r="R83" s="360"/>
      <c r="S83" s="311"/>
    </row>
    <row r="84" spans="2:38">
      <c r="B84" s="344"/>
      <c r="C84" s="361"/>
      <c r="D84" s="361"/>
      <c r="E84" s="317"/>
      <c r="F84" s="317"/>
      <c r="G84" s="317"/>
      <c r="H84" s="317"/>
      <c r="I84" s="317"/>
      <c r="J84" s="363"/>
      <c r="K84" s="678">
        <v>47</v>
      </c>
      <c r="L84" s="363"/>
      <c r="M84" s="363"/>
      <c r="N84" s="363"/>
      <c r="O84" s="363"/>
      <c r="P84" s="363"/>
      <c r="Q84" s="363"/>
      <c r="R84" s="363"/>
      <c r="S84" s="311"/>
      <c r="T84" s="357" t="e">
        <f>K82-T82</f>
        <v>#REF!</v>
      </c>
      <c r="U84" s="357" t="e">
        <f>L82-U82</f>
        <v>#REF!</v>
      </c>
      <c r="V84" s="357" t="e">
        <f>M82-V82</f>
        <v>#REF!</v>
      </c>
      <c r="W84" s="357" t="e">
        <f>N82-W82</f>
        <v>#REF!</v>
      </c>
      <c r="X84" s="357" t="e">
        <f>O82-X82</f>
        <v>#REF!</v>
      </c>
    </row>
    <row r="85" spans="2:38" ht="4.5" customHeight="1">
      <c r="B85" s="165"/>
      <c r="C85" s="354"/>
      <c r="D85" s="354"/>
      <c r="E85" s="84"/>
      <c r="F85" s="84"/>
      <c r="G85" s="84"/>
      <c r="H85" s="84"/>
      <c r="I85" s="84"/>
      <c r="J85" s="355"/>
      <c r="K85" s="355"/>
      <c r="L85" s="355"/>
      <c r="M85" s="355"/>
      <c r="N85" s="355"/>
      <c r="O85" s="355"/>
      <c r="P85" s="355"/>
      <c r="Q85" s="355"/>
      <c r="R85" s="355"/>
      <c r="S85" s="311"/>
      <c r="T85" s="357"/>
      <c r="U85" s="357"/>
      <c r="V85" s="357"/>
      <c r="W85" s="357"/>
      <c r="X85" s="357"/>
    </row>
    <row r="86" spans="2:38" ht="4.5" customHeight="1">
      <c r="B86" s="165"/>
      <c r="C86" s="354"/>
      <c r="D86" s="354"/>
      <c r="E86" s="84"/>
      <c r="F86" s="84"/>
      <c r="G86" s="84"/>
      <c r="H86" s="84"/>
      <c r="I86" s="84"/>
      <c r="J86" s="355"/>
      <c r="K86" s="355"/>
      <c r="L86" s="355"/>
      <c r="M86" s="355"/>
      <c r="N86" s="355"/>
      <c r="O86" s="355"/>
      <c r="P86" s="355"/>
      <c r="Q86" s="355"/>
      <c r="R86" s="355"/>
      <c r="S86" s="311"/>
      <c r="T86" s="357"/>
      <c r="U86" s="357"/>
      <c r="V86" s="357"/>
      <c r="W86" s="357"/>
      <c r="X86" s="357"/>
    </row>
    <row r="87" spans="2:38">
      <c r="B87" s="165"/>
      <c r="C87" s="1001" t="s">
        <v>411</v>
      </c>
      <c r="D87" s="1001"/>
      <c r="E87" s="84"/>
      <c r="F87" s="84"/>
      <c r="G87" s="84"/>
      <c r="H87" s="84"/>
      <c r="I87" s="84"/>
      <c r="J87" s="355"/>
      <c r="K87" s="355"/>
      <c r="L87" s="355"/>
      <c r="M87" s="355"/>
      <c r="N87" s="355"/>
      <c r="O87" s="355"/>
      <c r="P87" s="355"/>
      <c r="Q87" s="355"/>
      <c r="R87" s="355"/>
      <c r="S87" s="311"/>
    </row>
    <row r="88" spans="2:38" ht="6" customHeight="1">
      <c r="B88" s="165"/>
      <c r="C88" s="354"/>
      <c r="D88" s="354"/>
      <c r="E88" s="84"/>
      <c r="F88" s="84"/>
      <c r="G88" s="84"/>
      <c r="H88" s="84"/>
      <c r="I88" s="84"/>
      <c r="J88" s="355"/>
      <c r="K88" s="355"/>
      <c r="L88" s="355"/>
      <c r="M88" s="355"/>
      <c r="N88" s="355"/>
      <c r="O88" s="355"/>
      <c r="P88" s="355"/>
      <c r="Q88" s="355"/>
      <c r="R88" s="355"/>
      <c r="S88" s="311"/>
    </row>
    <row r="89" spans="2:38">
      <c r="B89" s="165"/>
      <c r="C89" s="84"/>
      <c r="D89" s="1002"/>
      <c r="E89" s="1002" t="s">
        <v>354</v>
      </c>
      <c r="F89" s="84"/>
      <c r="G89" s="84"/>
      <c r="H89" s="84"/>
      <c r="I89" s="84"/>
      <c r="J89" s="355"/>
      <c r="K89" s="355"/>
      <c r="L89" s="355"/>
      <c r="M89" s="355"/>
      <c r="N89" s="355"/>
      <c r="O89" s="355"/>
      <c r="P89" s="355"/>
      <c r="Q89" s="355"/>
      <c r="R89" s="355"/>
      <c r="S89" s="311"/>
      <c r="AE89" s="372" t="e">
        <f>BS_ANLYSIS!#REF!+BS_ANLYSIS!#REF!+BS_ANLYSIS!#REF!+BS_ANLYSIS!#REF!+BS_ANLYSIS!#REF!+BS_ANLYSIS!#REF!+BS_ANLYSIS!#REF!-BS_ANLYSIS!R91-BS_ANLYSIS!R94-BS_ANLYSIS!R95-BS_ANLYSIS!R116-BS_ANLYSIS!R118-BS_ANLYSIS!R120-BS_ANLYSIS!R122</f>
        <v>#REF!</v>
      </c>
    </row>
    <row r="90" spans="2:38" ht="6" customHeight="1">
      <c r="B90" s="165"/>
      <c r="C90" s="1002"/>
      <c r="D90" s="1002"/>
      <c r="E90" s="84"/>
      <c r="F90" s="84"/>
      <c r="G90" s="84"/>
      <c r="H90" s="84"/>
      <c r="I90" s="84"/>
      <c r="J90" s="355"/>
      <c r="K90" s="355"/>
      <c r="L90" s="355"/>
      <c r="M90" s="355"/>
      <c r="N90" s="355"/>
      <c r="O90" s="355"/>
      <c r="P90" s="355"/>
      <c r="Q90" s="355"/>
      <c r="R90" s="355"/>
      <c r="S90" s="311"/>
    </row>
    <row r="91" spans="2:38">
      <c r="B91" s="165"/>
      <c r="C91" s="366">
        <v>26</v>
      </c>
      <c r="D91" s="354"/>
      <c r="E91" s="84" t="s">
        <v>1393</v>
      </c>
      <c r="F91" s="84"/>
      <c r="G91" s="84"/>
      <c r="H91" s="84"/>
      <c r="I91" s="354"/>
      <c r="J91" s="355" t="e">
        <f>#REF!</f>
        <v>#REF!</v>
      </c>
      <c r="K91" s="355" t="e">
        <f>#REF!</f>
        <v>#REF!</v>
      </c>
      <c r="L91" s="355" t="e">
        <f>#REF!</f>
        <v>#REF!</v>
      </c>
      <c r="M91" s="355" t="e">
        <f>#REF!</f>
        <v>#REF!</v>
      </c>
      <c r="N91" s="355" t="e">
        <f>#REF!</f>
        <v>#REF!</v>
      </c>
      <c r="O91" s="355" t="e">
        <f>#REF!</f>
        <v>#REF!</v>
      </c>
      <c r="P91" s="355" t="e">
        <f>#REF!</f>
        <v>#REF!</v>
      </c>
      <c r="Q91" s="355" t="e">
        <f>#REF!</f>
        <v>#REF!</v>
      </c>
      <c r="R91" s="355" t="e">
        <f>#REF!</f>
        <v>#REF!</v>
      </c>
      <c r="S91" s="311"/>
    </row>
    <row r="92" spans="2:38" ht="6" customHeight="1">
      <c r="B92" s="165"/>
      <c r="C92" s="366"/>
      <c r="D92" s="354"/>
      <c r="E92" s="84"/>
      <c r="F92" s="84"/>
      <c r="G92" s="84"/>
      <c r="H92" s="84"/>
      <c r="I92" s="84"/>
      <c r="J92" s="355"/>
      <c r="K92" s="355"/>
      <c r="L92" s="355"/>
      <c r="M92" s="355"/>
      <c r="N92" s="355"/>
      <c r="O92" s="355"/>
      <c r="P92" s="355"/>
      <c r="Q92" s="355"/>
      <c r="R92" s="355"/>
      <c r="S92" s="311"/>
    </row>
    <row r="93" spans="2:38">
      <c r="B93" s="165"/>
      <c r="C93" s="366">
        <v>27</v>
      </c>
      <c r="D93" s="354"/>
      <c r="E93" s="84" t="s">
        <v>1394</v>
      </c>
      <c r="F93" s="84"/>
      <c r="G93" s="84"/>
      <c r="H93" s="84"/>
      <c r="I93" s="84"/>
      <c r="J93" s="355"/>
      <c r="K93" s="355"/>
      <c r="L93" s="355"/>
      <c r="M93" s="355"/>
      <c r="N93" s="355"/>
      <c r="O93" s="355"/>
      <c r="P93" s="355"/>
      <c r="Q93" s="355"/>
      <c r="R93" s="355"/>
      <c r="S93" s="311"/>
    </row>
    <row r="94" spans="2:38">
      <c r="B94" s="165"/>
      <c r="C94" s="366"/>
      <c r="D94" s="354" t="s">
        <v>1297</v>
      </c>
      <c r="E94" s="84" t="s">
        <v>1395</v>
      </c>
      <c r="F94" s="84"/>
      <c r="G94" s="84"/>
      <c r="H94" s="84"/>
      <c r="I94" s="84"/>
      <c r="J94" s="355">
        <v>0</v>
      </c>
      <c r="K94" s="355">
        <v>0</v>
      </c>
      <c r="L94" s="355">
        <v>0</v>
      </c>
      <c r="M94" s="355">
        <v>0</v>
      </c>
      <c r="N94" s="355">
        <v>0</v>
      </c>
      <c r="O94" s="355">
        <f>[17]CMA!J157</f>
        <v>0</v>
      </c>
      <c r="P94" s="355">
        <v>0</v>
      </c>
      <c r="Q94" s="355">
        <v>0</v>
      </c>
      <c r="R94" s="355">
        <v>0</v>
      </c>
      <c r="S94" s="311"/>
    </row>
    <row r="95" spans="2:38">
      <c r="B95" s="165"/>
      <c r="C95" s="366"/>
      <c r="D95" s="354" t="s">
        <v>1302</v>
      </c>
      <c r="E95" s="84" t="s">
        <v>1396</v>
      </c>
      <c r="F95" s="84"/>
      <c r="G95" s="84"/>
      <c r="H95" s="84"/>
      <c r="I95" s="84"/>
      <c r="J95" s="355">
        <v>0</v>
      </c>
      <c r="K95" s="355">
        <v>0</v>
      </c>
      <c r="L95" s="355">
        <v>0</v>
      </c>
      <c r="M95" s="355">
        <v>0</v>
      </c>
      <c r="N95" s="355">
        <v>0</v>
      </c>
      <c r="O95" s="355">
        <v>0</v>
      </c>
      <c r="P95" s="355">
        <v>0</v>
      </c>
      <c r="Q95" s="355">
        <v>0</v>
      </c>
      <c r="R95" s="355">
        <v>0</v>
      </c>
      <c r="S95" s="311"/>
    </row>
    <row r="96" spans="2:38" ht="7.5" customHeight="1">
      <c r="B96" s="165"/>
      <c r="C96" s="366"/>
      <c r="D96" s="354"/>
      <c r="E96" s="84"/>
      <c r="F96" s="84"/>
      <c r="G96" s="84"/>
      <c r="H96" s="84"/>
      <c r="I96" s="84"/>
      <c r="J96" s="355"/>
      <c r="K96" s="355"/>
      <c r="L96" s="355"/>
      <c r="M96" s="355"/>
      <c r="N96" s="355"/>
      <c r="O96" s="355"/>
      <c r="P96" s="355"/>
      <c r="Q96" s="355"/>
      <c r="R96" s="355"/>
      <c r="S96" s="311"/>
    </row>
    <row r="97" spans="2:32">
      <c r="B97" s="165"/>
      <c r="C97" s="366">
        <v>28</v>
      </c>
      <c r="D97" s="354" t="s">
        <v>1297</v>
      </c>
      <c r="E97" s="84" t="s">
        <v>1397</v>
      </c>
      <c r="F97" s="84"/>
      <c r="G97" s="84"/>
      <c r="H97" s="84"/>
      <c r="I97" s="84"/>
      <c r="J97" s="355" t="e">
        <f>#REF!</f>
        <v>#REF!</v>
      </c>
      <c r="K97" s="355" t="e">
        <f>#REF!</f>
        <v>#REF!</v>
      </c>
      <c r="L97" s="355" t="e">
        <f>#REF!</f>
        <v>#REF!</v>
      </c>
      <c r="M97" s="355" t="e">
        <f>#REF!</f>
        <v>#REF!</v>
      </c>
      <c r="N97" s="355" t="e">
        <f>#REF!</f>
        <v>#REF!</v>
      </c>
      <c r="O97" s="355" t="e">
        <f>#REF!</f>
        <v>#REF!</v>
      </c>
      <c r="P97" s="355" t="e">
        <f>#REF!</f>
        <v>#REF!</v>
      </c>
      <c r="Q97" s="355" t="e">
        <f>#REF!</f>
        <v>#REF!</v>
      </c>
      <c r="R97" s="355" t="e">
        <f>#REF!</f>
        <v>#REF!</v>
      </c>
      <c r="S97" s="311"/>
      <c r="AF97" s="370" t="e">
        <f>#REF!+#REF!+#REF!+#REF!</f>
        <v>#REF!</v>
      </c>
    </row>
    <row r="98" spans="2:32">
      <c r="B98" s="165"/>
      <c r="C98" s="366"/>
      <c r="D98" s="354"/>
      <c r="E98" s="84" t="s">
        <v>1398</v>
      </c>
      <c r="F98" s="84"/>
      <c r="G98" s="84"/>
      <c r="H98" s="84"/>
      <c r="I98" s="84"/>
      <c r="J98" s="355"/>
      <c r="K98" s="355"/>
      <c r="L98" s="355"/>
      <c r="M98" s="355"/>
      <c r="N98" s="355"/>
      <c r="O98" s="355"/>
      <c r="P98" s="355"/>
      <c r="Q98" s="355"/>
      <c r="R98" s="355"/>
      <c r="S98" s="311"/>
      <c r="AF98" s="370" t="e">
        <f>R91+R95+R116+R118</f>
        <v>#REF!</v>
      </c>
    </row>
    <row r="99" spans="2:32" ht="5.25" customHeight="1">
      <c r="B99" s="165"/>
      <c r="C99" s="366"/>
      <c r="D99" s="354"/>
      <c r="E99" s="84"/>
      <c r="F99" s="84"/>
      <c r="G99" s="84"/>
      <c r="H99" s="84"/>
      <c r="I99" s="84"/>
      <c r="J99" s="355"/>
      <c r="K99" s="355"/>
      <c r="L99" s="355"/>
      <c r="M99" s="355"/>
      <c r="N99" s="355"/>
      <c r="O99" s="355"/>
      <c r="P99" s="355"/>
      <c r="Q99" s="355"/>
      <c r="R99" s="355"/>
      <c r="S99" s="311"/>
    </row>
    <row r="100" spans="2:32">
      <c r="B100" s="165"/>
      <c r="C100" s="366"/>
      <c r="D100" s="354" t="s">
        <v>1302</v>
      </c>
      <c r="E100" s="84" t="s">
        <v>1399</v>
      </c>
      <c r="F100" s="84"/>
      <c r="G100" s="84"/>
      <c r="H100" s="84"/>
      <c r="I100" s="84"/>
      <c r="J100" s="355"/>
      <c r="K100" s="355"/>
      <c r="L100" s="355"/>
      <c r="M100" s="355"/>
      <c r="N100" s="355"/>
      <c r="O100" s="355"/>
      <c r="P100" s="355"/>
      <c r="Q100" s="355"/>
      <c r="R100" s="355"/>
      <c r="S100" s="311"/>
      <c r="AF100" s="370" t="e">
        <f>AF97-AF98</f>
        <v>#REF!</v>
      </c>
    </row>
    <row r="101" spans="2:32">
      <c r="B101" s="165"/>
      <c r="C101" s="366"/>
      <c r="D101" s="354"/>
      <c r="E101" s="84" t="s">
        <v>1400</v>
      </c>
      <c r="F101" s="84"/>
      <c r="G101" s="84"/>
      <c r="H101" s="84"/>
      <c r="I101" s="84"/>
      <c r="J101" s="355"/>
      <c r="K101" s="355"/>
      <c r="L101" s="355"/>
      <c r="M101" s="355"/>
      <c r="N101" s="355"/>
      <c r="O101" s="355"/>
      <c r="P101" s="355"/>
      <c r="Q101" s="355"/>
      <c r="R101" s="355"/>
      <c r="S101" s="311"/>
    </row>
    <row r="102" spans="2:32" ht="6.75" customHeight="1">
      <c r="B102" s="165"/>
      <c r="C102" s="366"/>
      <c r="D102" s="354"/>
      <c r="E102" s="84"/>
      <c r="F102" s="84"/>
      <c r="G102" s="84"/>
      <c r="H102" s="84"/>
      <c r="I102" s="84"/>
      <c r="J102" s="355"/>
      <c r="K102" s="355"/>
      <c r="L102" s="355"/>
      <c r="M102" s="355"/>
      <c r="N102" s="355"/>
      <c r="O102" s="355"/>
      <c r="P102" s="355"/>
      <c r="Q102" s="355"/>
      <c r="R102" s="355"/>
      <c r="S102" s="311"/>
    </row>
    <row r="103" spans="2:32">
      <c r="B103" s="165"/>
      <c r="C103" s="366">
        <v>29</v>
      </c>
      <c r="D103" s="354"/>
      <c r="E103" s="84" t="s">
        <v>1401</v>
      </c>
      <c r="F103" s="84"/>
      <c r="G103" s="84"/>
      <c r="H103" s="84"/>
      <c r="I103" s="84"/>
      <c r="J103" s="355"/>
      <c r="K103" s="355"/>
      <c r="L103" s="355"/>
      <c r="M103" s="355"/>
      <c r="N103" s="355"/>
      <c r="O103" s="355"/>
      <c r="P103" s="355"/>
      <c r="Q103" s="355"/>
      <c r="R103" s="355"/>
      <c r="S103" s="311"/>
    </row>
    <row r="104" spans="2:32">
      <c r="B104" s="165"/>
      <c r="C104" s="366"/>
      <c r="D104" s="354"/>
      <c r="E104" s="84" t="s">
        <v>967</v>
      </c>
      <c r="F104" s="84"/>
      <c r="G104" s="84"/>
      <c r="H104" s="84"/>
      <c r="I104" s="84"/>
      <c r="J104" s="355"/>
      <c r="K104" s="355"/>
      <c r="L104" s="355"/>
      <c r="M104" s="355"/>
      <c r="N104" s="355"/>
      <c r="O104" s="355"/>
      <c r="P104" s="355"/>
      <c r="Q104" s="355"/>
      <c r="R104" s="355"/>
      <c r="S104" s="311"/>
    </row>
    <row r="105" spans="2:32" ht="6" customHeight="1">
      <c r="B105" s="165"/>
      <c r="C105" s="366"/>
      <c r="D105" s="354"/>
      <c r="E105" s="84"/>
      <c r="F105" s="84"/>
      <c r="G105" s="84"/>
      <c r="H105" s="84"/>
      <c r="I105" s="84"/>
      <c r="J105" s="355"/>
      <c r="K105" s="355"/>
      <c r="L105" s="355"/>
      <c r="M105" s="355"/>
      <c r="N105" s="355"/>
      <c r="O105" s="355"/>
      <c r="P105" s="355"/>
      <c r="Q105" s="355"/>
      <c r="R105" s="355"/>
      <c r="S105" s="311"/>
    </row>
    <row r="106" spans="2:32">
      <c r="B106" s="165"/>
      <c r="C106" s="366">
        <v>30</v>
      </c>
      <c r="D106" s="354"/>
      <c r="E106" s="84" t="s">
        <v>176</v>
      </c>
      <c r="F106" s="84"/>
      <c r="G106" s="84"/>
      <c r="H106" s="84"/>
      <c r="I106" s="84"/>
      <c r="J106" s="355"/>
      <c r="K106" s="355"/>
      <c r="L106" s="355"/>
      <c r="M106" s="355"/>
      <c r="N106" s="355"/>
      <c r="O106" s="355"/>
      <c r="P106" s="355"/>
      <c r="Q106" s="355"/>
      <c r="R106" s="355"/>
      <c r="S106" s="311"/>
    </row>
    <row r="107" spans="2:32">
      <c r="B107" s="165"/>
      <c r="C107" s="366"/>
      <c r="D107" s="354" t="s">
        <v>1297</v>
      </c>
      <c r="E107" s="84" t="s">
        <v>1402</v>
      </c>
      <c r="F107" s="84"/>
      <c r="G107" s="84"/>
      <c r="H107" s="84"/>
      <c r="I107" s="84"/>
      <c r="J107" s="355"/>
      <c r="K107" s="355"/>
      <c r="L107" s="355"/>
      <c r="M107" s="355"/>
      <c r="N107" s="355"/>
      <c r="O107" s="355"/>
      <c r="P107" s="355"/>
      <c r="Q107" s="355"/>
      <c r="R107" s="355"/>
      <c r="S107" s="311"/>
    </row>
    <row r="108" spans="2:32">
      <c r="B108" s="165"/>
      <c r="C108" s="366"/>
      <c r="D108" s="354"/>
      <c r="E108" s="84" t="s">
        <v>1403</v>
      </c>
      <c r="F108" s="84"/>
      <c r="G108" s="84"/>
      <c r="H108" s="84"/>
      <c r="I108" s="84"/>
      <c r="J108" s="355"/>
      <c r="K108" s="355"/>
      <c r="L108" s="355"/>
      <c r="M108" s="355"/>
      <c r="N108" s="355"/>
      <c r="O108" s="355"/>
      <c r="P108" s="355"/>
      <c r="Q108" s="355"/>
      <c r="R108" s="355"/>
      <c r="S108" s="311"/>
    </row>
    <row r="109" spans="2:32">
      <c r="B109" s="165"/>
      <c r="C109" s="366"/>
      <c r="D109" s="354"/>
      <c r="E109" s="366" t="s">
        <v>1288</v>
      </c>
      <c r="F109" s="84" t="s">
        <v>1300</v>
      </c>
      <c r="G109" s="84"/>
      <c r="H109" s="84"/>
      <c r="I109" s="84"/>
      <c r="J109" s="355"/>
      <c r="K109" s="355"/>
      <c r="L109" s="355"/>
      <c r="M109" s="355"/>
      <c r="N109" s="355"/>
      <c r="O109" s="355"/>
      <c r="P109" s="355"/>
      <c r="Q109" s="355"/>
      <c r="R109" s="355"/>
      <c r="S109" s="311"/>
    </row>
    <row r="110" spans="2:32">
      <c r="B110" s="165"/>
      <c r="C110" s="366"/>
      <c r="D110" s="354"/>
      <c r="E110" s="366" t="s">
        <v>1290</v>
      </c>
      <c r="F110" s="84" t="s">
        <v>1304</v>
      </c>
      <c r="G110" s="84"/>
      <c r="H110" s="84"/>
      <c r="I110" s="84"/>
      <c r="J110" s="355">
        <v>0</v>
      </c>
      <c r="K110" s="355">
        <v>0</v>
      </c>
      <c r="L110" s="355">
        <v>0</v>
      </c>
      <c r="M110" s="355">
        <v>0</v>
      </c>
      <c r="N110" s="355">
        <v>0</v>
      </c>
      <c r="O110" s="355">
        <v>0</v>
      </c>
      <c r="P110" s="355">
        <v>0</v>
      </c>
      <c r="Q110" s="355">
        <v>0</v>
      </c>
      <c r="R110" s="355">
        <v>0</v>
      </c>
      <c r="S110" s="311"/>
    </row>
    <row r="111" spans="2:32">
      <c r="B111" s="165"/>
      <c r="C111" s="366"/>
      <c r="D111" s="354" t="s">
        <v>1302</v>
      </c>
      <c r="E111" s="84" t="s">
        <v>1404</v>
      </c>
      <c r="F111" s="84"/>
      <c r="G111" s="84"/>
      <c r="H111" s="84"/>
      <c r="I111" s="84"/>
      <c r="J111" s="355">
        <v>0</v>
      </c>
      <c r="K111" s="355">
        <v>0</v>
      </c>
      <c r="L111" s="355">
        <v>0</v>
      </c>
      <c r="M111" s="355">
        <v>0</v>
      </c>
      <c r="N111" s="355">
        <v>0</v>
      </c>
      <c r="O111" s="355">
        <v>0</v>
      </c>
      <c r="P111" s="355">
        <v>0</v>
      </c>
      <c r="Q111" s="355">
        <v>0</v>
      </c>
      <c r="R111" s="355">
        <v>0</v>
      </c>
      <c r="S111" s="311">
        <f>N111*0.75</f>
        <v>0</v>
      </c>
    </row>
    <row r="112" spans="2:32">
      <c r="B112" s="165"/>
      <c r="C112" s="366"/>
      <c r="D112" s="354" t="s">
        <v>1305</v>
      </c>
      <c r="E112" s="84" t="s">
        <v>1119</v>
      </c>
      <c r="F112" s="84"/>
      <c r="G112" s="84"/>
      <c r="H112" s="84"/>
      <c r="I112" s="84"/>
      <c r="J112" s="355">
        <v>0</v>
      </c>
      <c r="K112" s="355">
        <v>0</v>
      </c>
      <c r="L112" s="355">
        <v>0</v>
      </c>
      <c r="M112" s="355">
        <v>0</v>
      </c>
      <c r="N112" s="355">
        <v>0</v>
      </c>
      <c r="O112" s="355">
        <v>0</v>
      </c>
      <c r="P112" s="355">
        <v>0</v>
      </c>
      <c r="Q112" s="355">
        <v>0</v>
      </c>
      <c r="R112" s="355">
        <v>0</v>
      </c>
      <c r="S112" s="311"/>
    </row>
    <row r="113" spans="2:32">
      <c r="B113" s="165"/>
      <c r="C113" s="366"/>
      <c r="D113" s="354" t="s">
        <v>1307</v>
      </c>
      <c r="E113" s="84" t="s">
        <v>1405</v>
      </c>
      <c r="F113" s="84"/>
      <c r="G113" s="84"/>
      <c r="H113" s="84"/>
      <c r="I113" s="84"/>
      <c r="J113" s="355"/>
      <c r="K113" s="355"/>
      <c r="L113" s="355"/>
      <c r="M113" s="355"/>
      <c r="N113" s="355"/>
      <c r="O113" s="355"/>
      <c r="P113" s="355"/>
      <c r="Q113" s="355"/>
      <c r="R113" s="355"/>
      <c r="S113" s="311"/>
    </row>
    <row r="114" spans="2:32">
      <c r="B114" s="165"/>
      <c r="C114" s="366"/>
      <c r="D114" s="354"/>
      <c r="E114" s="366" t="s">
        <v>1288</v>
      </c>
      <c r="F114" s="84" t="s">
        <v>1300</v>
      </c>
      <c r="G114" s="84"/>
      <c r="H114" s="84"/>
      <c r="I114" s="84"/>
      <c r="J114" s="355"/>
      <c r="K114" s="355"/>
      <c r="L114" s="355"/>
      <c r="M114" s="355"/>
      <c r="N114" s="355"/>
      <c r="O114" s="355"/>
      <c r="P114" s="355"/>
      <c r="Q114" s="355"/>
      <c r="R114" s="355"/>
      <c r="S114" s="311"/>
    </row>
    <row r="115" spans="2:32">
      <c r="B115" s="165"/>
      <c r="C115" s="366"/>
      <c r="D115" s="354"/>
      <c r="E115" s="366" t="s">
        <v>1290</v>
      </c>
      <c r="F115" s="84" t="s">
        <v>1304</v>
      </c>
      <c r="G115" s="84"/>
      <c r="H115" s="84"/>
      <c r="I115" s="84"/>
      <c r="J115" s="355" t="e">
        <f>#REF!</f>
        <v>#REF!</v>
      </c>
      <c r="K115" s="355" t="e">
        <f>#REF!</f>
        <v>#REF!</v>
      </c>
      <c r="L115" s="355" t="e">
        <f>#REF!</f>
        <v>#REF!</v>
      </c>
      <c r="M115" s="355" t="e">
        <f>#REF!</f>
        <v>#REF!</v>
      </c>
      <c r="N115" s="355" t="e">
        <f>#REF!</f>
        <v>#REF!</v>
      </c>
      <c r="O115" s="355" t="e">
        <f>#REF!</f>
        <v>#REF!</v>
      </c>
      <c r="P115" s="355" t="e">
        <f>#REF!</f>
        <v>#REF!</v>
      </c>
      <c r="Q115" s="355" t="e">
        <f>#REF!</f>
        <v>#REF!</v>
      </c>
      <c r="R115" s="355" t="e">
        <f>#REF!</f>
        <v>#REF!</v>
      </c>
      <c r="S115" s="311"/>
    </row>
    <row r="116" spans="2:32">
      <c r="B116" s="165"/>
      <c r="C116" s="366"/>
      <c r="D116" s="354" t="s">
        <v>1309</v>
      </c>
      <c r="E116" s="84" t="s">
        <v>612</v>
      </c>
      <c r="F116" s="84"/>
      <c r="G116" s="84"/>
      <c r="H116" s="84"/>
      <c r="I116" s="84"/>
      <c r="J116" s="355">
        <v>0</v>
      </c>
      <c r="K116" s="355">
        <v>0</v>
      </c>
      <c r="L116" s="355">
        <v>0</v>
      </c>
      <c r="M116" s="355">
        <v>0</v>
      </c>
      <c r="N116" s="355">
        <v>0</v>
      </c>
      <c r="O116" s="355">
        <v>0</v>
      </c>
      <c r="P116" s="355">
        <v>0</v>
      </c>
      <c r="Q116" s="355">
        <v>0</v>
      </c>
      <c r="R116" s="355">
        <v>0</v>
      </c>
      <c r="S116" s="311"/>
    </row>
    <row r="117" spans="2:32" ht="4.5" customHeight="1">
      <c r="B117" s="165"/>
      <c r="C117" s="366"/>
      <c r="D117" s="354"/>
      <c r="E117" s="84"/>
      <c r="F117" s="84"/>
      <c r="G117" s="84"/>
      <c r="H117" s="84"/>
      <c r="I117" s="84"/>
      <c r="J117" s="356"/>
      <c r="K117" s="356"/>
      <c r="L117" s="356"/>
      <c r="M117" s="356"/>
      <c r="N117" s="356"/>
      <c r="O117" s="356"/>
      <c r="P117" s="356"/>
      <c r="Q117" s="356"/>
      <c r="R117" s="356"/>
      <c r="S117" s="311"/>
    </row>
    <row r="118" spans="2:32">
      <c r="B118" s="165"/>
      <c r="C118" s="366">
        <v>31</v>
      </c>
      <c r="D118" s="354"/>
      <c r="E118" s="84" t="s">
        <v>1406</v>
      </c>
      <c r="F118" s="84"/>
      <c r="G118" s="84"/>
      <c r="H118" s="84"/>
      <c r="I118" s="84"/>
      <c r="J118" s="355">
        <v>0</v>
      </c>
      <c r="K118" s="355">
        <v>0</v>
      </c>
      <c r="L118" s="355">
        <v>0</v>
      </c>
      <c r="M118" s="355">
        <v>0</v>
      </c>
      <c r="N118" s="355">
        <v>0</v>
      </c>
      <c r="O118" s="355">
        <v>0</v>
      </c>
      <c r="P118" s="355">
        <v>0</v>
      </c>
      <c r="Q118" s="355">
        <v>0</v>
      </c>
      <c r="R118" s="355">
        <v>0</v>
      </c>
      <c r="S118" s="311"/>
    </row>
    <row r="119" spans="2:32">
      <c r="B119" s="165"/>
      <c r="C119" s="366"/>
      <c r="D119" s="354"/>
      <c r="E119" s="84" t="s">
        <v>1407</v>
      </c>
      <c r="F119" s="84"/>
      <c r="G119" s="84"/>
      <c r="H119" s="84"/>
      <c r="I119" s="84"/>
      <c r="J119" s="355"/>
      <c r="K119" s="355"/>
      <c r="L119" s="355"/>
      <c r="M119" s="355"/>
      <c r="N119" s="355"/>
      <c r="O119" s="355"/>
      <c r="P119" s="355"/>
      <c r="Q119" s="355"/>
      <c r="R119" s="355"/>
      <c r="S119" s="311"/>
    </row>
    <row r="120" spans="2:32">
      <c r="B120" s="165"/>
      <c r="C120" s="366">
        <v>32</v>
      </c>
      <c r="D120" s="354"/>
      <c r="E120" s="84" t="s">
        <v>1408</v>
      </c>
      <c r="F120" s="84"/>
      <c r="G120" s="84"/>
      <c r="H120" s="84"/>
      <c r="I120" s="84"/>
      <c r="J120" s="355" t="e">
        <f>#REF!</f>
        <v>#REF!</v>
      </c>
      <c r="K120" s="355" t="e">
        <f>#REF!</f>
        <v>#REF!</v>
      </c>
      <c r="L120" s="355" t="e">
        <f>#REF!</f>
        <v>#REF!</v>
      </c>
      <c r="M120" s="355" t="e">
        <f>#REF!</f>
        <v>#REF!</v>
      </c>
      <c r="N120" s="355" t="e">
        <f>#REF!</f>
        <v>#REF!</v>
      </c>
      <c r="O120" s="355" t="e">
        <f>#REF!</f>
        <v>#REF!</v>
      </c>
      <c r="P120" s="355" t="e">
        <f>#REF!</f>
        <v>#REF!</v>
      </c>
      <c r="Q120" s="355" t="e">
        <f>#REF!</f>
        <v>#REF!</v>
      </c>
      <c r="R120" s="355" t="e">
        <f>#REF!</f>
        <v>#REF!</v>
      </c>
      <c r="S120" s="311">
        <f>44.78+3.66+1.12+10</f>
        <v>59.559999999999995</v>
      </c>
    </row>
    <row r="121" spans="2:32" ht="3" customHeight="1">
      <c r="B121" s="165"/>
      <c r="C121" s="366"/>
      <c r="D121" s="354"/>
      <c r="E121" s="84"/>
      <c r="F121" s="84"/>
      <c r="G121" s="84"/>
      <c r="H121" s="84"/>
      <c r="I121" s="84"/>
      <c r="J121" s="355"/>
      <c r="K121" s="355"/>
      <c r="L121" s="355"/>
      <c r="M121" s="355"/>
      <c r="N121" s="355"/>
      <c r="O121" s="355"/>
      <c r="P121" s="355"/>
      <c r="Q121" s="355"/>
      <c r="R121" s="355"/>
      <c r="S121" s="311"/>
    </row>
    <row r="122" spans="2:32">
      <c r="B122" s="165"/>
      <c r="C122" s="366">
        <v>33</v>
      </c>
      <c r="D122" s="354"/>
      <c r="E122" s="84" t="s">
        <v>1409</v>
      </c>
      <c r="F122" s="84"/>
      <c r="G122" s="84"/>
      <c r="H122" s="84"/>
      <c r="I122" s="84"/>
      <c r="J122" s="355" t="e">
        <f>#REF!</f>
        <v>#REF!</v>
      </c>
      <c r="K122" s="355" t="e">
        <f>#REF!</f>
        <v>#REF!</v>
      </c>
      <c r="L122" s="355" t="e">
        <f>#REF!</f>
        <v>#REF!</v>
      </c>
      <c r="M122" s="355" t="e">
        <f>#REF!</f>
        <v>#REF!</v>
      </c>
      <c r="N122" s="355" t="e">
        <f>#REF!</f>
        <v>#REF!</v>
      </c>
      <c r="O122" s="355" t="e">
        <f>#REF!</f>
        <v>#REF!</v>
      </c>
      <c r="P122" s="355" t="e">
        <f>#REF!</f>
        <v>#REF!</v>
      </c>
      <c r="Q122" s="355" t="e">
        <f>#REF!</f>
        <v>#REF!</v>
      </c>
      <c r="R122" s="355" t="e">
        <f>#REF!</f>
        <v>#REF!</v>
      </c>
      <c r="S122" s="311"/>
    </row>
    <row r="123" spans="2:32" ht="6" customHeight="1">
      <c r="B123" s="165"/>
      <c r="C123" s="366"/>
      <c r="D123" s="354"/>
      <c r="E123" s="84"/>
      <c r="F123" s="84"/>
      <c r="G123" s="84"/>
      <c r="H123" s="84"/>
      <c r="I123" s="84"/>
      <c r="J123" s="355"/>
      <c r="K123" s="355"/>
      <c r="L123" s="355"/>
      <c r="M123" s="355"/>
      <c r="N123" s="355"/>
      <c r="O123" s="355"/>
      <c r="P123" s="355"/>
      <c r="Q123" s="355"/>
      <c r="R123" s="355"/>
      <c r="S123" s="311"/>
    </row>
    <row r="124" spans="2:32">
      <c r="B124" s="165"/>
      <c r="C124" s="366">
        <v>34</v>
      </c>
      <c r="D124" s="354"/>
      <c r="E124" s="78" t="s">
        <v>359</v>
      </c>
      <c r="F124" s="84"/>
      <c r="G124" s="84"/>
      <c r="H124" s="84"/>
      <c r="I124" s="84"/>
      <c r="J124" s="356" t="e">
        <f t="shared" ref="J124:Q124" si="9">SUM(J91:J123)-J117</f>
        <v>#REF!</v>
      </c>
      <c r="K124" s="356" t="e">
        <f t="shared" si="9"/>
        <v>#REF!</v>
      </c>
      <c r="L124" s="356" t="e">
        <f t="shared" si="9"/>
        <v>#REF!</v>
      </c>
      <c r="M124" s="356" t="e">
        <f t="shared" si="9"/>
        <v>#REF!</v>
      </c>
      <c r="N124" s="356" t="e">
        <f t="shared" si="9"/>
        <v>#REF!</v>
      </c>
      <c r="O124" s="356" t="e">
        <f t="shared" si="9"/>
        <v>#REF!</v>
      </c>
      <c r="P124" s="356" t="e">
        <f t="shared" si="9"/>
        <v>#REF!</v>
      </c>
      <c r="Q124" s="356" t="e">
        <f t="shared" si="9"/>
        <v>#REF!</v>
      </c>
      <c r="R124" s="356" t="e">
        <f>SUM(R91:R123)-R117</f>
        <v>#REF!</v>
      </c>
      <c r="S124" s="311"/>
      <c r="T124" s="51">
        <f>[17]CMA!F167</f>
        <v>1090.1200000000001</v>
      </c>
      <c r="U124" s="51">
        <f>[17]CMA!G167</f>
        <v>1370.2331876000001</v>
      </c>
      <c r="V124" s="51">
        <f>[17]CMA!H167</f>
        <v>1532.7905314999998</v>
      </c>
      <c r="W124" s="67">
        <f>[17]CMA!I167</f>
        <v>1483.669723</v>
      </c>
      <c r="X124" s="67">
        <f>[17]CMA!J167</f>
        <v>2297.0923081999999</v>
      </c>
      <c r="AF124" s="370" t="e">
        <f>#REF!-R124</f>
        <v>#REF!</v>
      </c>
    </row>
    <row r="125" spans="2:32" hidden="1">
      <c r="B125" s="165"/>
      <c r="C125" s="354"/>
      <c r="D125" s="354"/>
      <c r="E125" s="84"/>
      <c r="F125" s="84"/>
      <c r="G125" s="84"/>
      <c r="H125" s="84"/>
      <c r="I125" s="84"/>
      <c r="J125" s="355"/>
      <c r="K125" s="355"/>
      <c r="L125" s="355"/>
      <c r="M125" s="355"/>
      <c r="N125" s="355"/>
      <c r="O125" s="355"/>
      <c r="P125" s="355"/>
      <c r="Q125" s="355"/>
      <c r="R125" s="355"/>
      <c r="S125" s="311"/>
      <c r="W125" s="67"/>
    </row>
    <row r="126" spans="2:32" ht="6" customHeight="1" thickBot="1">
      <c r="B126" s="358"/>
      <c r="C126" s="359"/>
      <c r="D126" s="359"/>
      <c r="E126" s="169"/>
      <c r="F126" s="169"/>
      <c r="G126" s="169"/>
      <c r="H126" s="169"/>
      <c r="I126" s="169"/>
      <c r="J126" s="360"/>
      <c r="K126" s="360"/>
      <c r="L126" s="360"/>
      <c r="M126" s="360"/>
      <c r="N126" s="360"/>
      <c r="O126" s="360"/>
      <c r="P126" s="360"/>
      <c r="Q126" s="360"/>
      <c r="R126" s="360"/>
      <c r="S126" s="311"/>
      <c r="W126" s="67"/>
    </row>
    <row r="127" spans="2:32" ht="6" customHeight="1">
      <c r="B127" s="344"/>
      <c r="C127" s="361"/>
      <c r="D127" s="361"/>
      <c r="E127" s="317"/>
      <c r="F127" s="317"/>
      <c r="G127" s="317"/>
      <c r="H127" s="317"/>
      <c r="I127" s="317"/>
      <c r="J127" s="363"/>
      <c r="K127" s="363"/>
      <c r="L127" s="363"/>
      <c r="M127" s="363"/>
      <c r="N127" s="363"/>
      <c r="O127" s="363"/>
      <c r="P127" s="363"/>
      <c r="Q127" s="363"/>
      <c r="R127" s="363"/>
      <c r="S127" s="311"/>
      <c r="T127" s="357" t="e">
        <f>K124-T124</f>
        <v>#REF!</v>
      </c>
      <c r="U127" s="357" t="e">
        <f>L124-U124</f>
        <v>#REF!</v>
      </c>
      <c r="V127" s="357" t="e">
        <f>M124-V124</f>
        <v>#REF!</v>
      </c>
      <c r="W127" s="67" t="e">
        <f>N124-W124</f>
        <v>#REF!</v>
      </c>
      <c r="X127" s="67" t="e">
        <f>O124-X124</f>
        <v>#REF!</v>
      </c>
    </row>
    <row r="128" spans="2:32">
      <c r="B128" s="165"/>
      <c r="C128" s="84"/>
      <c r="D128" s="78"/>
      <c r="E128" s="78" t="s">
        <v>1410</v>
      </c>
      <c r="F128" s="84"/>
      <c r="G128" s="84"/>
      <c r="H128" s="84"/>
      <c r="I128" s="84"/>
      <c r="J128" s="355"/>
      <c r="K128" s="355"/>
      <c r="L128" s="355"/>
      <c r="M128" s="355"/>
      <c r="N128" s="355"/>
      <c r="O128" s="355"/>
      <c r="P128" s="355"/>
      <c r="Q128" s="355"/>
      <c r="R128" s="355"/>
      <c r="S128" s="311"/>
    </row>
    <row r="129" spans="2:19" ht="5.25" customHeight="1">
      <c r="B129" s="165"/>
      <c r="C129" s="84"/>
      <c r="D129" s="84"/>
      <c r="E129" s="84"/>
      <c r="F129" s="84"/>
      <c r="G129" s="84"/>
      <c r="H129" s="84"/>
      <c r="I129" s="84"/>
      <c r="J129" s="355"/>
      <c r="K129" s="355"/>
      <c r="L129" s="355"/>
      <c r="M129" s="355"/>
      <c r="N129" s="355"/>
      <c r="O129" s="355"/>
      <c r="P129" s="355"/>
      <c r="Q129" s="355"/>
      <c r="R129" s="355"/>
      <c r="S129" s="311"/>
    </row>
    <row r="130" spans="2:19">
      <c r="B130" s="165"/>
      <c r="C130" s="366">
        <v>35</v>
      </c>
      <c r="D130" s="354"/>
      <c r="E130" s="84" t="s">
        <v>1411</v>
      </c>
      <c r="F130" s="84"/>
      <c r="G130" s="84"/>
      <c r="H130" s="84"/>
      <c r="I130" s="84"/>
      <c r="J130" s="355" t="e">
        <f>#REF!</f>
        <v>#REF!</v>
      </c>
      <c r="K130" s="355" t="e">
        <f>#REF!</f>
        <v>#REF!</v>
      </c>
      <c r="L130" s="355" t="e">
        <f>#REF!</f>
        <v>#REF!</v>
      </c>
      <c r="M130" s="355" t="e">
        <f>#REF!</f>
        <v>#REF!</v>
      </c>
      <c r="N130" s="355" t="e">
        <f>#REF!</f>
        <v>#REF!</v>
      </c>
      <c r="O130" s="355" t="e">
        <f>#REF!</f>
        <v>#REF!</v>
      </c>
      <c r="P130" s="355" t="e">
        <f>#REF!</f>
        <v>#REF!</v>
      </c>
      <c r="Q130" s="355" t="e">
        <f>#REF!</f>
        <v>#REF!</v>
      </c>
      <c r="R130" s="355" t="e">
        <f>#REF!</f>
        <v>#REF!</v>
      </c>
      <c r="S130" s="311"/>
    </row>
    <row r="131" spans="2:19">
      <c r="B131" s="165"/>
      <c r="C131" s="366"/>
      <c r="D131" s="354"/>
      <c r="E131" s="84" t="s">
        <v>1412</v>
      </c>
      <c r="F131" s="84"/>
      <c r="G131" s="84"/>
      <c r="H131" s="84"/>
      <c r="I131" s="84"/>
      <c r="J131" s="355"/>
      <c r="K131" s="355"/>
      <c r="L131" s="355"/>
      <c r="M131" s="355"/>
      <c r="N131" s="355"/>
      <c r="O131" s="355"/>
      <c r="P131" s="355"/>
      <c r="Q131" s="355"/>
      <c r="R131" s="355"/>
      <c r="S131" s="311"/>
    </row>
    <row r="132" spans="2:19" ht="6.75" customHeight="1">
      <c r="B132" s="165"/>
      <c r="C132" s="366"/>
      <c r="D132" s="354"/>
      <c r="E132" s="84"/>
      <c r="F132" s="84"/>
      <c r="G132" s="84"/>
      <c r="H132" s="84"/>
      <c r="I132" s="84"/>
      <c r="J132" s="355"/>
      <c r="K132" s="355"/>
      <c r="L132" s="355"/>
      <c r="M132" s="355"/>
      <c r="N132" s="355"/>
      <c r="O132" s="355"/>
      <c r="P132" s="355"/>
      <c r="Q132" s="355"/>
      <c r="R132" s="355"/>
      <c r="S132" s="311"/>
    </row>
    <row r="133" spans="2:19">
      <c r="B133" s="165"/>
      <c r="C133" s="366">
        <v>36</v>
      </c>
      <c r="D133" s="354"/>
      <c r="E133" s="84" t="s">
        <v>1059</v>
      </c>
      <c r="F133" s="84"/>
      <c r="G133" s="84"/>
      <c r="H133" s="84"/>
      <c r="I133" s="84"/>
      <c r="J133" s="355" t="e">
        <f>#REF!</f>
        <v>#REF!</v>
      </c>
      <c r="K133" s="355" t="e">
        <f>#REF!</f>
        <v>#REF!</v>
      </c>
      <c r="L133" s="355" t="e">
        <f>#REF!</f>
        <v>#REF!</v>
      </c>
      <c r="M133" s="355" t="e">
        <f>#REF!</f>
        <v>#REF!</v>
      </c>
      <c r="N133" s="355" t="e">
        <f>#REF!</f>
        <v>#REF!</v>
      </c>
      <c r="O133" s="355" t="e">
        <f>#REF!</f>
        <v>#REF!</v>
      </c>
      <c r="P133" s="355" t="e">
        <f>#REF!</f>
        <v>#REF!</v>
      </c>
      <c r="Q133" s="355" t="e">
        <f>#REF!</f>
        <v>#REF!</v>
      </c>
      <c r="R133" s="355" t="e">
        <f>#REF!</f>
        <v>#REF!</v>
      </c>
      <c r="S133" s="311"/>
    </row>
    <row r="134" spans="2:19" ht="5.25" customHeight="1">
      <c r="B134" s="165"/>
      <c r="C134" s="366"/>
      <c r="D134" s="354"/>
      <c r="E134" s="84"/>
      <c r="F134" s="84"/>
      <c r="G134" s="84"/>
      <c r="H134" s="84"/>
      <c r="I134" s="84"/>
      <c r="J134" s="355"/>
      <c r="K134" s="355"/>
      <c r="L134" s="355"/>
      <c r="M134" s="355"/>
      <c r="N134" s="355"/>
      <c r="O134" s="355"/>
      <c r="P134" s="355"/>
      <c r="Q134" s="355"/>
      <c r="R134" s="355"/>
      <c r="S134" s="311"/>
    </row>
    <row r="135" spans="2:19">
      <c r="B135" s="165"/>
      <c r="C135" s="366">
        <v>37</v>
      </c>
      <c r="D135" s="354"/>
      <c r="E135" s="78" t="s">
        <v>1413</v>
      </c>
      <c r="F135" s="84"/>
      <c r="G135" s="84"/>
      <c r="H135" s="84"/>
      <c r="I135" s="84"/>
      <c r="J135" s="356" t="e">
        <f t="shared" ref="J135:O135" si="10">SUM(J130-J133)</f>
        <v>#REF!</v>
      </c>
      <c r="K135" s="356" t="e">
        <f t="shared" si="10"/>
        <v>#REF!</v>
      </c>
      <c r="L135" s="356" t="e">
        <f t="shared" si="10"/>
        <v>#REF!</v>
      </c>
      <c r="M135" s="356" t="e">
        <f t="shared" si="10"/>
        <v>#REF!</v>
      </c>
      <c r="N135" s="356" t="e">
        <f t="shared" si="10"/>
        <v>#REF!</v>
      </c>
      <c r="O135" s="356" t="e">
        <f t="shared" si="10"/>
        <v>#REF!</v>
      </c>
      <c r="P135" s="356" t="e">
        <f>SUM(P130-P133)</f>
        <v>#REF!</v>
      </c>
      <c r="Q135" s="356" t="e">
        <f>SUM(Q130-Q133)</f>
        <v>#REF!</v>
      </c>
      <c r="R135" s="356" t="e">
        <f>SUM(R130-R133)</f>
        <v>#REF!</v>
      </c>
      <c r="S135" s="311"/>
    </row>
    <row r="136" spans="2:19" ht="5.25" customHeight="1">
      <c r="B136" s="165"/>
      <c r="C136" s="366"/>
      <c r="D136" s="354"/>
      <c r="E136" s="84"/>
      <c r="F136" s="84"/>
      <c r="G136" s="84"/>
      <c r="H136" s="84"/>
      <c r="I136" s="84"/>
      <c r="J136" s="355"/>
      <c r="K136" s="355"/>
      <c r="L136" s="355"/>
      <c r="M136" s="355"/>
      <c r="N136" s="355"/>
      <c r="O136" s="355"/>
      <c r="P136" s="355"/>
      <c r="Q136" s="355"/>
      <c r="R136" s="355"/>
      <c r="S136" s="311"/>
    </row>
    <row r="137" spans="2:19">
      <c r="B137" s="165"/>
      <c r="C137" s="366"/>
      <c r="D137" s="1002"/>
      <c r="E137" s="1002" t="s">
        <v>1414</v>
      </c>
      <c r="F137" s="84"/>
      <c r="G137" s="84"/>
      <c r="H137" s="84"/>
      <c r="I137" s="84"/>
      <c r="J137" s="355"/>
      <c r="K137" s="355"/>
      <c r="L137" s="355"/>
      <c r="M137" s="355"/>
      <c r="N137" s="355"/>
      <c r="O137" s="355"/>
      <c r="P137" s="355"/>
      <c r="Q137" s="355"/>
      <c r="R137" s="355"/>
      <c r="S137" s="311"/>
    </row>
    <row r="138" spans="2:19" ht="1.5" customHeight="1">
      <c r="B138" s="165"/>
      <c r="C138" s="366"/>
      <c r="D138" s="354"/>
      <c r="E138" s="84"/>
      <c r="F138" s="84"/>
      <c r="G138" s="84"/>
      <c r="H138" s="84"/>
      <c r="I138" s="84"/>
      <c r="J138" s="355"/>
      <c r="K138" s="355"/>
      <c r="L138" s="355"/>
      <c r="M138" s="355"/>
      <c r="N138" s="355"/>
      <c r="O138" s="355"/>
      <c r="P138" s="355"/>
      <c r="Q138" s="355"/>
      <c r="R138" s="355"/>
      <c r="S138" s="311"/>
    </row>
    <row r="139" spans="2:19">
      <c r="B139" s="165"/>
      <c r="C139" s="366">
        <v>38</v>
      </c>
      <c r="D139" s="354"/>
      <c r="E139" s="84" t="s">
        <v>1415</v>
      </c>
      <c r="F139" s="84"/>
      <c r="G139" s="84"/>
      <c r="H139" s="84"/>
      <c r="I139" s="84"/>
      <c r="J139" s="355"/>
      <c r="K139" s="355"/>
      <c r="L139" s="355"/>
      <c r="M139" s="355"/>
      <c r="N139" s="355"/>
      <c r="O139" s="355"/>
      <c r="P139" s="355"/>
      <c r="Q139" s="355"/>
      <c r="R139" s="355"/>
      <c r="S139" s="311"/>
    </row>
    <row r="140" spans="2:19">
      <c r="B140" s="165"/>
      <c r="C140" s="366"/>
      <c r="D140" s="354"/>
      <c r="E140" s="84" t="s">
        <v>1416</v>
      </c>
      <c r="F140" s="84"/>
      <c r="G140" s="84"/>
      <c r="H140" s="84"/>
      <c r="I140" s="84"/>
      <c r="J140" s="355"/>
      <c r="K140" s="355"/>
      <c r="L140" s="355"/>
      <c r="M140" s="355"/>
      <c r="N140" s="355"/>
      <c r="O140" s="355"/>
      <c r="P140" s="355"/>
      <c r="Q140" s="355"/>
      <c r="R140" s="355"/>
      <c r="S140" s="311"/>
    </row>
    <row r="141" spans="2:19">
      <c r="B141" s="165"/>
      <c r="C141" s="366"/>
      <c r="D141" s="354" t="s">
        <v>1297</v>
      </c>
      <c r="E141" s="84" t="s">
        <v>1417</v>
      </c>
      <c r="F141" s="84"/>
      <c r="G141" s="84"/>
      <c r="H141" s="84"/>
      <c r="I141" s="84"/>
      <c r="J141" s="355"/>
      <c r="K141" s="355"/>
      <c r="L141" s="355"/>
      <c r="M141" s="355"/>
      <c r="N141" s="355"/>
      <c r="O141" s="355"/>
      <c r="P141" s="355"/>
      <c r="Q141" s="355"/>
      <c r="R141" s="355"/>
      <c r="S141" s="311"/>
    </row>
    <row r="142" spans="2:19">
      <c r="B142" s="165"/>
      <c r="C142" s="366"/>
      <c r="D142" s="354"/>
      <c r="E142" s="84"/>
      <c r="F142" s="84" t="s">
        <v>1418</v>
      </c>
      <c r="G142" s="84"/>
      <c r="H142" s="84"/>
      <c r="I142" s="84"/>
      <c r="J142" s="355"/>
      <c r="K142" s="355"/>
      <c r="L142" s="355"/>
      <c r="M142" s="355"/>
      <c r="N142" s="355"/>
      <c r="O142" s="355"/>
      <c r="P142" s="355"/>
      <c r="Q142" s="355"/>
      <c r="R142" s="355"/>
      <c r="S142" s="311"/>
    </row>
    <row r="143" spans="2:19">
      <c r="B143" s="165"/>
      <c r="C143" s="366"/>
      <c r="D143" s="354"/>
      <c r="E143" s="84" t="s">
        <v>1419</v>
      </c>
      <c r="F143" s="84"/>
      <c r="G143" s="84"/>
      <c r="H143" s="84"/>
      <c r="I143" s="84"/>
      <c r="J143" s="355">
        <v>0</v>
      </c>
      <c r="K143" s="355">
        <v>0</v>
      </c>
      <c r="L143" s="355">
        <v>0</v>
      </c>
      <c r="M143" s="355">
        <v>0</v>
      </c>
      <c r="N143" s="355">
        <v>0</v>
      </c>
      <c r="O143" s="355">
        <v>0</v>
      </c>
      <c r="P143" s="355">
        <v>0</v>
      </c>
      <c r="Q143" s="355">
        <v>0</v>
      </c>
      <c r="R143" s="355">
        <v>0</v>
      </c>
      <c r="S143" s="311"/>
    </row>
    <row r="144" spans="2:19" ht="3" customHeight="1">
      <c r="B144" s="165"/>
      <c r="C144" s="366"/>
      <c r="D144" s="354"/>
      <c r="E144" s="84"/>
      <c r="F144" s="84"/>
      <c r="G144" s="84"/>
      <c r="H144" s="84"/>
      <c r="I144" s="84"/>
      <c r="J144" s="355"/>
      <c r="K144" s="355"/>
      <c r="L144" s="355"/>
      <c r="M144" s="355"/>
      <c r="N144" s="355"/>
      <c r="O144" s="355"/>
      <c r="P144" s="355"/>
      <c r="Q144" s="355"/>
      <c r="R144" s="355"/>
      <c r="S144" s="311"/>
    </row>
    <row r="145" spans="2:31">
      <c r="B145" s="165"/>
      <c r="C145" s="366"/>
      <c r="D145" s="354" t="s">
        <v>1302</v>
      </c>
      <c r="E145" s="84" t="s">
        <v>1420</v>
      </c>
      <c r="F145" s="84"/>
      <c r="G145" s="84"/>
      <c r="H145" s="84"/>
      <c r="I145" s="84"/>
      <c r="J145" s="355"/>
      <c r="K145" s="355"/>
      <c r="L145" s="355"/>
      <c r="M145" s="355"/>
      <c r="N145" s="355"/>
      <c r="O145" s="355"/>
      <c r="P145" s="355"/>
      <c r="Q145" s="355"/>
      <c r="R145" s="355"/>
      <c r="S145" s="311"/>
    </row>
    <row r="146" spans="2:31">
      <c r="B146" s="165"/>
      <c r="C146" s="366"/>
      <c r="D146" s="354"/>
      <c r="E146" s="84" t="s">
        <v>1421</v>
      </c>
      <c r="F146" s="84"/>
      <c r="G146" s="84"/>
      <c r="H146" s="84"/>
      <c r="I146" s="84"/>
      <c r="J146" s="355"/>
      <c r="K146" s="355"/>
      <c r="L146" s="355"/>
      <c r="M146" s="355"/>
      <c r="N146" s="355"/>
      <c r="O146" s="355"/>
      <c r="P146" s="355"/>
      <c r="Q146" s="355"/>
      <c r="R146" s="355"/>
      <c r="S146" s="311"/>
    </row>
    <row r="147" spans="2:31" ht="3" customHeight="1">
      <c r="B147" s="165"/>
      <c r="C147" s="366"/>
      <c r="D147" s="354"/>
      <c r="E147" s="84"/>
      <c r="F147" s="84"/>
      <c r="G147" s="84"/>
      <c r="H147" s="84"/>
      <c r="I147" s="84"/>
      <c r="J147" s="355"/>
      <c r="K147" s="355"/>
      <c r="L147" s="355"/>
      <c r="M147" s="355"/>
      <c r="N147" s="355"/>
      <c r="O147" s="355"/>
      <c r="P147" s="355"/>
      <c r="Q147" s="355"/>
      <c r="R147" s="355"/>
      <c r="S147" s="311"/>
    </row>
    <row r="148" spans="2:31">
      <c r="B148" s="165"/>
      <c r="C148" s="366"/>
      <c r="D148" s="354" t="s">
        <v>1305</v>
      </c>
      <c r="E148" s="84" t="s">
        <v>1422</v>
      </c>
      <c r="F148" s="84"/>
      <c r="G148" s="84"/>
      <c r="H148" s="84"/>
      <c r="I148" s="84"/>
      <c r="J148" s="355"/>
      <c r="K148" s="355"/>
      <c r="L148" s="355"/>
      <c r="M148" s="355"/>
      <c r="N148" s="355"/>
      <c r="O148" s="355"/>
      <c r="P148" s="355"/>
      <c r="Q148" s="355"/>
      <c r="R148" s="355"/>
      <c r="S148" s="311"/>
    </row>
    <row r="149" spans="2:31">
      <c r="B149" s="165"/>
      <c r="C149" s="366"/>
      <c r="D149" s="354"/>
      <c r="E149" s="84" t="s">
        <v>1423</v>
      </c>
      <c r="F149" s="84"/>
      <c r="G149" s="84"/>
      <c r="H149" s="84"/>
      <c r="I149" s="84"/>
      <c r="J149" s="355"/>
      <c r="K149" s="355"/>
      <c r="L149" s="355"/>
      <c r="M149" s="355"/>
      <c r="N149" s="355"/>
      <c r="O149" s="355"/>
      <c r="P149" s="355"/>
      <c r="Q149" s="355"/>
      <c r="R149" s="355"/>
      <c r="S149" s="311"/>
    </row>
    <row r="150" spans="2:31">
      <c r="B150" s="165"/>
      <c r="C150" s="366"/>
      <c r="D150" s="354" t="s">
        <v>1307</v>
      </c>
      <c r="E150" s="84" t="s">
        <v>1424</v>
      </c>
      <c r="F150" s="84"/>
      <c r="G150" s="84"/>
      <c r="H150" s="84"/>
      <c r="I150" s="84"/>
      <c r="J150" s="355">
        <v>0</v>
      </c>
      <c r="K150" s="355">
        <v>0</v>
      </c>
      <c r="L150" s="355">
        <v>0</v>
      </c>
      <c r="M150" s="355">
        <v>0</v>
      </c>
      <c r="N150" s="355">
        <v>0</v>
      </c>
      <c r="O150" s="355">
        <v>0</v>
      </c>
      <c r="P150" s="355">
        <v>0</v>
      </c>
      <c r="Q150" s="355">
        <v>0</v>
      </c>
      <c r="R150" s="355">
        <v>0</v>
      </c>
      <c r="S150" s="311"/>
    </row>
    <row r="151" spans="2:31" ht="6" customHeight="1">
      <c r="B151" s="165"/>
      <c r="C151" s="366"/>
      <c r="D151" s="354"/>
      <c r="E151" s="84"/>
      <c r="F151" s="84"/>
      <c r="G151" s="84"/>
      <c r="H151" s="84"/>
      <c r="I151" s="84"/>
      <c r="J151" s="355"/>
      <c r="K151" s="355"/>
      <c r="L151" s="355"/>
      <c r="M151" s="355"/>
      <c r="N151" s="355"/>
      <c r="O151" s="355"/>
      <c r="P151" s="355"/>
      <c r="Q151" s="355"/>
      <c r="R151" s="355"/>
      <c r="S151" s="311"/>
    </row>
    <row r="152" spans="2:31">
      <c r="B152" s="165"/>
      <c r="C152" s="366"/>
      <c r="D152" s="354" t="s">
        <v>1309</v>
      </c>
      <c r="E152" s="84" t="s">
        <v>1425</v>
      </c>
      <c r="F152" s="84"/>
      <c r="G152" s="84"/>
      <c r="H152" s="84"/>
      <c r="I152" s="84"/>
      <c r="J152" s="355" t="e">
        <f>#REF!</f>
        <v>#REF!</v>
      </c>
      <c r="K152" s="355" t="e">
        <f>#REF!</f>
        <v>#REF!</v>
      </c>
      <c r="L152" s="355" t="e">
        <f>#REF!</f>
        <v>#REF!</v>
      </c>
      <c r="M152" s="355" t="e">
        <f>#REF!</f>
        <v>#REF!</v>
      </c>
      <c r="N152" s="355" t="e">
        <f>#REF!</f>
        <v>#REF!</v>
      </c>
      <c r="O152" s="355" t="e">
        <f>#REF!</f>
        <v>#REF!</v>
      </c>
      <c r="P152" s="355" t="e">
        <f>#REF!</f>
        <v>#REF!</v>
      </c>
      <c r="Q152" s="355" t="e">
        <f>#REF!</f>
        <v>#REF!</v>
      </c>
      <c r="R152" s="355" t="e">
        <f>#REF!</f>
        <v>#REF!</v>
      </c>
      <c r="S152" s="311"/>
    </row>
    <row r="153" spans="2:31" ht="4.5" customHeight="1">
      <c r="B153" s="165"/>
      <c r="C153" s="366"/>
      <c r="D153" s="366"/>
      <c r="E153" s="84"/>
      <c r="F153" s="84"/>
      <c r="G153" s="84"/>
      <c r="H153" s="84"/>
      <c r="I153" s="84"/>
      <c r="J153" s="355"/>
      <c r="K153" s="355"/>
      <c r="L153" s="355"/>
      <c r="M153" s="355"/>
      <c r="N153" s="355"/>
      <c r="O153" s="355"/>
      <c r="P153" s="355"/>
      <c r="Q153" s="355"/>
      <c r="R153" s="355"/>
      <c r="S153" s="311"/>
    </row>
    <row r="154" spans="2:31">
      <c r="B154" s="165"/>
      <c r="C154" s="366">
        <v>39</v>
      </c>
      <c r="D154" s="354"/>
      <c r="E154" s="84" t="s">
        <v>1426</v>
      </c>
      <c r="F154" s="84"/>
      <c r="G154" s="84"/>
      <c r="H154" s="84"/>
      <c r="I154" s="84"/>
      <c r="J154" s="355"/>
      <c r="K154" s="355"/>
      <c r="L154" s="355"/>
      <c r="M154" s="355"/>
      <c r="N154" s="355"/>
      <c r="O154" s="355"/>
      <c r="P154" s="355"/>
      <c r="Q154" s="355"/>
      <c r="R154" s="355"/>
      <c r="S154" s="311"/>
    </row>
    <row r="155" spans="2:31" ht="3.75" customHeight="1">
      <c r="B155" s="165"/>
      <c r="C155" s="366"/>
      <c r="D155" s="354"/>
      <c r="E155" s="84"/>
      <c r="F155" s="84"/>
      <c r="G155" s="84"/>
      <c r="H155" s="84"/>
      <c r="I155" s="84"/>
      <c r="J155" s="355"/>
      <c r="K155" s="355"/>
      <c r="L155" s="355"/>
      <c r="M155" s="355"/>
      <c r="N155" s="355"/>
      <c r="O155" s="355"/>
      <c r="P155" s="355"/>
      <c r="Q155" s="355"/>
      <c r="R155" s="355"/>
      <c r="S155" s="311"/>
    </row>
    <row r="156" spans="2:31">
      <c r="B156" s="165"/>
      <c r="C156" s="366">
        <v>40</v>
      </c>
      <c r="D156" s="354"/>
      <c r="E156" s="84" t="s">
        <v>1427</v>
      </c>
      <c r="F156" s="84"/>
      <c r="G156" s="84"/>
      <c r="H156" s="84"/>
      <c r="I156" s="84"/>
      <c r="J156" s="355">
        <v>0</v>
      </c>
      <c r="K156" s="355">
        <v>0</v>
      </c>
      <c r="L156" s="355">
        <v>0</v>
      </c>
      <c r="M156" s="355">
        <v>0</v>
      </c>
      <c r="N156" s="355">
        <v>0</v>
      </c>
      <c r="O156" s="355">
        <v>0</v>
      </c>
      <c r="P156" s="355">
        <v>0</v>
      </c>
      <c r="Q156" s="355">
        <v>0</v>
      </c>
      <c r="R156" s="355">
        <v>0</v>
      </c>
      <c r="S156" s="311"/>
    </row>
    <row r="157" spans="2:31">
      <c r="B157" s="165"/>
      <c r="C157" s="366"/>
      <c r="D157" s="354"/>
      <c r="E157" s="84" t="s">
        <v>1428</v>
      </c>
      <c r="F157" s="84"/>
      <c r="G157" s="84"/>
      <c r="H157" s="84"/>
      <c r="I157" s="84"/>
      <c r="J157" s="355"/>
      <c r="K157" s="355"/>
      <c r="L157" s="355"/>
      <c r="M157" s="355"/>
      <c r="N157" s="355"/>
      <c r="O157" s="355"/>
      <c r="P157" s="355"/>
      <c r="Q157" s="355"/>
      <c r="R157" s="355"/>
      <c r="S157" s="311"/>
    </row>
    <row r="158" spans="2:31" ht="3" customHeight="1">
      <c r="B158" s="165"/>
      <c r="C158" s="366"/>
      <c r="D158" s="354"/>
      <c r="E158" s="84"/>
      <c r="F158" s="84"/>
      <c r="G158" s="84"/>
      <c r="H158" s="84"/>
      <c r="I158" s="84"/>
      <c r="J158" s="355"/>
      <c r="K158" s="355"/>
      <c r="L158" s="355"/>
      <c r="M158" s="355"/>
      <c r="N158" s="355"/>
      <c r="O158" s="355"/>
      <c r="P158" s="355"/>
      <c r="Q158" s="355"/>
      <c r="R158" s="355"/>
      <c r="S158" s="311"/>
    </row>
    <row r="159" spans="2:31">
      <c r="B159" s="165"/>
      <c r="C159" s="366">
        <v>41</v>
      </c>
      <c r="D159" s="354"/>
      <c r="E159" s="78" t="s">
        <v>1429</v>
      </c>
      <c r="F159" s="84"/>
      <c r="G159" s="84"/>
      <c r="H159" s="84"/>
      <c r="I159" s="84"/>
      <c r="J159" s="356" t="e">
        <f t="shared" ref="J159:O159" si="11">SUM(J139:J157)</f>
        <v>#REF!</v>
      </c>
      <c r="K159" s="356" t="e">
        <f t="shared" si="11"/>
        <v>#REF!</v>
      </c>
      <c r="L159" s="356" t="e">
        <f t="shared" si="11"/>
        <v>#REF!</v>
      </c>
      <c r="M159" s="356" t="e">
        <f t="shared" si="11"/>
        <v>#REF!</v>
      </c>
      <c r="N159" s="356" t="e">
        <f t="shared" si="11"/>
        <v>#REF!</v>
      </c>
      <c r="O159" s="356" t="e">
        <f t="shared" si="11"/>
        <v>#REF!</v>
      </c>
      <c r="P159" s="356" t="e">
        <f>SUM(P139:P157)</f>
        <v>#REF!</v>
      </c>
      <c r="Q159" s="356" t="e">
        <f>SUM(Q139:Q157)</f>
        <v>#REF!</v>
      </c>
      <c r="R159" s="356" t="e">
        <f>SUM(R139:R157)</f>
        <v>#REF!</v>
      </c>
      <c r="S159" s="311"/>
      <c r="AE159" s="370" t="e">
        <f>#REF!-R159</f>
        <v>#REF!</v>
      </c>
    </row>
    <row r="160" spans="2:31" ht="4.5" customHeight="1">
      <c r="B160" s="165"/>
      <c r="C160" s="366"/>
      <c r="D160" s="354"/>
      <c r="E160" s="84"/>
      <c r="F160" s="84"/>
      <c r="G160" s="84"/>
      <c r="H160" s="84"/>
      <c r="I160" s="84"/>
      <c r="J160" s="355"/>
      <c r="K160" s="355"/>
      <c r="L160" s="355"/>
      <c r="M160" s="355"/>
      <c r="N160" s="355"/>
      <c r="O160" s="355"/>
      <c r="P160" s="355"/>
      <c r="Q160" s="355"/>
      <c r="R160" s="355"/>
      <c r="S160" s="311"/>
    </row>
    <row r="161" spans="2:39">
      <c r="B161" s="165"/>
      <c r="C161" s="366">
        <v>42</v>
      </c>
      <c r="D161" s="354"/>
      <c r="E161" s="84" t="s">
        <v>1430</v>
      </c>
      <c r="F161" s="84"/>
      <c r="G161" s="84"/>
      <c r="H161" s="84"/>
      <c r="I161" s="84"/>
      <c r="J161" s="355"/>
      <c r="K161" s="355"/>
      <c r="L161" s="355"/>
      <c r="M161" s="355"/>
      <c r="N161" s="355"/>
      <c r="O161" s="355"/>
      <c r="P161" s="355"/>
      <c r="Q161" s="355"/>
      <c r="R161" s="355"/>
      <c r="S161" s="311"/>
    </row>
    <row r="162" spans="2:39">
      <c r="B162" s="165"/>
      <c r="C162" s="366"/>
      <c r="D162" s="354"/>
      <c r="E162" s="84" t="s">
        <v>1431</v>
      </c>
      <c r="F162" s="84"/>
      <c r="G162" s="84"/>
      <c r="H162" s="84"/>
      <c r="I162" s="84"/>
      <c r="J162" s="355">
        <v>0</v>
      </c>
      <c r="K162" s="355">
        <v>0</v>
      </c>
      <c r="L162" s="355">
        <v>0</v>
      </c>
      <c r="M162" s="355">
        <v>0</v>
      </c>
      <c r="N162" s="355">
        <v>0</v>
      </c>
      <c r="O162" s="355">
        <v>0</v>
      </c>
      <c r="P162" s="355">
        <v>0</v>
      </c>
      <c r="Q162" s="355">
        <v>0</v>
      </c>
      <c r="R162" s="355">
        <v>0</v>
      </c>
      <c r="S162" s="311"/>
    </row>
    <row r="163" spans="2:39">
      <c r="B163" s="165"/>
      <c r="C163" s="366"/>
      <c r="D163" s="354"/>
      <c r="E163" s="84" t="s">
        <v>1432</v>
      </c>
      <c r="F163" s="84"/>
      <c r="G163" s="84"/>
      <c r="H163" s="84"/>
      <c r="I163" s="84"/>
      <c r="J163" s="355"/>
      <c r="K163" s="355"/>
      <c r="L163" s="355"/>
      <c r="M163" s="355"/>
      <c r="N163" s="355"/>
      <c r="O163" s="355"/>
      <c r="P163" s="355"/>
      <c r="Q163" s="355"/>
      <c r="R163" s="355"/>
      <c r="S163" s="311"/>
    </row>
    <row r="164" spans="2:39">
      <c r="B164" s="165"/>
      <c r="C164" s="366">
        <v>43</v>
      </c>
      <c r="D164" s="354"/>
      <c r="E164" s="78" t="s">
        <v>421</v>
      </c>
      <c r="F164" s="84"/>
      <c r="G164" s="84"/>
      <c r="H164" s="84"/>
      <c r="I164" s="84"/>
      <c r="J164" s="356" t="e">
        <f t="shared" ref="J164:O164" si="12">J124+J135+J159+J162</f>
        <v>#REF!</v>
      </c>
      <c r="K164" s="356" t="e">
        <f t="shared" si="12"/>
        <v>#REF!</v>
      </c>
      <c r="L164" s="356" t="e">
        <f t="shared" si="12"/>
        <v>#REF!</v>
      </c>
      <c r="M164" s="356" t="e">
        <f t="shared" si="12"/>
        <v>#REF!</v>
      </c>
      <c r="N164" s="356" t="e">
        <f t="shared" si="12"/>
        <v>#REF!</v>
      </c>
      <c r="O164" s="356" t="e">
        <f t="shared" si="12"/>
        <v>#REF!</v>
      </c>
      <c r="P164" s="356" t="e">
        <f>P124+P135+P159+P162</f>
        <v>#REF!</v>
      </c>
      <c r="Q164" s="356" t="e">
        <f>Q124+Q135+Q159+Q162</f>
        <v>#REF!</v>
      </c>
      <c r="R164" s="356" t="e">
        <f>R124+R135+R159+R162</f>
        <v>#REF!</v>
      </c>
      <c r="S164" s="311"/>
      <c r="T164" s="357" t="e">
        <f>K164</f>
        <v>#REF!</v>
      </c>
      <c r="U164" s="357" t="e">
        <f>L164</f>
        <v>#REF!</v>
      </c>
      <c r="V164" s="357" t="e">
        <f>M164</f>
        <v>#REF!</v>
      </c>
      <c r="W164" s="357" t="e">
        <f>N164</f>
        <v>#REF!</v>
      </c>
      <c r="X164" s="357" t="e">
        <f>O164</f>
        <v>#REF!</v>
      </c>
      <c r="AE164" s="370" t="e">
        <f t="shared" ref="AE164:AM164" si="13">J82-J164</f>
        <v>#REF!</v>
      </c>
      <c r="AF164" s="370" t="e">
        <f t="shared" si="13"/>
        <v>#REF!</v>
      </c>
      <c r="AG164" s="370" t="e">
        <f t="shared" si="13"/>
        <v>#REF!</v>
      </c>
      <c r="AH164" s="370" t="e">
        <f t="shared" si="13"/>
        <v>#REF!</v>
      </c>
      <c r="AI164" s="370" t="e">
        <f t="shared" si="13"/>
        <v>#REF!</v>
      </c>
      <c r="AJ164" s="370" t="e">
        <f t="shared" si="13"/>
        <v>#REF!</v>
      </c>
      <c r="AK164" s="370" t="e">
        <f t="shared" si="13"/>
        <v>#REF!</v>
      </c>
      <c r="AL164" s="370" t="e">
        <f t="shared" si="13"/>
        <v>#REF!</v>
      </c>
      <c r="AM164" s="370" t="e">
        <f t="shared" si="13"/>
        <v>#REF!</v>
      </c>
    </row>
    <row r="165" spans="2:39" ht="1.5" customHeight="1">
      <c r="B165" s="165"/>
      <c r="C165" s="366"/>
      <c r="D165" s="354"/>
      <c r="E165" s="84"/>
      <c r="F165" s="84"/>
      <c r="G165" s="84"/>
      <c r="H165" s="84"/>
      <c r="I165" s="84"/>
      <c r="J165" s="355"/>
      <c r="K165" s="355"/>
      <c r="L165" s="355"/>
      <c r="M165" s="355"/>
      <c r="N165" s="355"/>
      <c r="O165" s="355"/>
      <c r="P165" s="355"/>
      <c r="Q165" s="355"/>
      <c r="R165" s="355"/>
      <c r="S165" s="311"/>
    </row>
    <row r="166" spans="2:39">
      <c r="B166" s="165"/>
      <c r="C166" s="366">
        <v>44</v>
      </c>
      <c r="D166" s="354"/>
      <c r="E166" s="78" t="s">
        <v>1095</v>
      </c>
      <c r="F166" s="84"/>
      <c r="G166" s="84"/>
      <c r="H166" s="84"/>
      <c r="I166" s="84"/>
      <c r="J166" s="356" t="e">
        <f t="shared" ref="J166:O166" si="14">SUM(J80-J162)</f>
        <v>#REF!</v>
      </c>
      <c r="K166" s="356" t="e">
        <f t="shared" si="14"/>
        <v>#REF!</v>
      </c>
      <c r="L166" s="356" t="e">
        <f t="shared" si="14"/>
        <v>#REF!</v>
      </c>
      <c r="M166" s="356" t="e">
        <f t="shared" si="14"/>
        <v>#REF!</v>
      </c>
      <c r="N166" s="356" t="e">
        <f t="shared" si="14"/>
        <v>#REF!</v>
      </c>
      <c r="O166" s="356" t="e">
        <f t="shared" si="14"/>
        <v>#REF!</v>
      </c>
      <c r="P166" s="356" t="e">
        <f>SUM(P80-P162)</f>
        <v>#REF!</v>
      </c>
      <c r="Q166" s="356" t="e">
        <f>SUM(Q80-Q162)</f>
        <v>#REF!</v>
      </c>
      <c r="R166" s="356" t="e">
        <f>SUM(R80-R162)</f>
        <v>#REF!</v>
      </c>
      <c r="S166" s="311"/>
      <c r="T166" s="67" t="e">
        <f>T82-T164</f>
        <v>#REF!</v>
      </c>
      <c r="U166" s="357" t="e">
        <f>L164-U164</f>
        <v>#REF!</v>
      </c>
      <c r="V166" s="357" t="e">
        <f>M164-V164</f>
        <v>#REF!</v>
      </c>
      <c r="W166" s="357" t="e">
        <f>N164-W164</f>
        <v>#REF!</v>
      </c>
      <c r="X166" s="357" t="e">
        <f>O164-X164</f>
        <v>#REF!</v>
      </c>
      <c r="AE166" s="431" t="e">
        <f>J164-#REF!</f>
        <v>#REF!</v>
      </c>
      <c r="AF166" s="431" t="e">
        <f>K164-#REF!</f>
        <v>#REF!</v>
      </c>
      <c r="AG166" s="431" t="e">
        <f>L164-#REF!</f>
        <v>#REF!</v>
      </c>
      <c r="AH166" s="431" t="e">
        <f>M164-#REF!</f>
        <v>#REF!</v>
      </c>
      <c r="AI166" s="431" t="e">
        <f>N164-#REF!</f>
        <v>#REF!</v>
      </c>
      <c r="AJ166" s="431" t="e">
        <f>O164-#REF!</f>
        <v>#REF!</v>
      </c>
      <c r="AK166" s="431" t="e">
        <f>P164-#REF!</f>
        <v>#REF!</v>
      </c>
      <c r="AL166" s="431" t="e">
        <f>Q164-#REF!</f>
        <v>#REF!</v>
      </c>
      <c r="AM166" s="431" t="e">
        <f>R164-#REF!</f>
        <v>#REF!</v>
      </c>
    </row>
    <row r="167" spans="2:39" ht="3" customHeight="1">
      <c r="B167" s="165"/>
      <c r="C167" s="366"/>
      <c r="D167" s="354"/>
      <c r="E167" s="84"/>
      <c r="F167" s="84"/>
      <c r="G167" s="84"/>
      <c r="H167" s="84"/>
      <c r="I167" s="84"/>
      <c r="J167" s="355"/>
      <c r="K167" s="355"/>
      <c r="L167" s="355"/>
      <c r="M167" s="355"/>
      <c r="N167" s="355"/>
      <c r="O167" s="355"/>
      <c r="P167" s="355"/>
      <c r="Q167" s="355"/>
      <c r="R167" s="355"/>
      <c r="S167" s="311"/>
    </row>
    <row r="168" spans="2:39">
      <c r="B168" s="165"/>
      <c r="C168" s="366">
        <v>45</v>
      </c>
      <c r="D168" s="354"/>
      <c r="E168" s="78" t="s">
        <v>363</v>
      </c>
      <c r="F168" s="84"/>
      <c r="G168" s="84"/>
      <c r="H168" s="84"/>
      <c r="I168" s="84"/>
      <c r="J168" s="356" t="e">
        <f t="shared" ref="J168:O168" si="15">SUM(J61+J80-J135-J159-J162)</f>
        <v>#REF!</v>
      </c>
      <c r="K168" s="356" t="e">
        <f t="shared" si="15"/>
        <v>#REF!</v>
      </c>
      <c r="L168" s="356" t="e">
        <f t="shared" si="15"/>
        <v>#REF!</v>
      </c>
      <c r="M168" s="356" t="e">
        <f t="shared" si="15"/>
        <v>#REF!</v>
      </c>
      <c r="N168" s="356" t="e">
        <f t="shared" si="15"/>
        <v>#REF!</v>
      </c>
      <c r="O168" s="356" t="e">
        <f t="shared" si="15"/>
        <v>#REF!</v>
      </c>
      <c r="P168" s="356" t="e">
        <f>SUM(P61+P80-P135-P159-P162)</f>
        <v>#REF!</v>
      </c>
      <c r="Q168" s="356" t="e">
        <f>SUM(Q61+Q80-Q135-Q159-Q162)</f>
        <v>#REF!</v>
      </c>
      <c r="R168" s="356" t="e">
        <f>SUM(R61+R80-R135-R159-R162)</f>
        <v>#REF!</v>
      </c>
      <c r="S168" s="311"/>
      <c r="T168" s="373"/>
      <c r="U168" s="373"/>
      <c r="V168" s="373"/>
      <c r="W168" s="373"/>
      <c r="X168" s="373"/>
      <c r="Y168" s="373"/>
    </row>
    <row r="169" spans="2:39" ht="5.25" customHeight="1" thickBot="1">
      <c r="B169" s="358"/>
      <c r="C169" s="374"/>
      <c r="D169" s="359"/>
      <c r="E169" s="58"/>
      <c r="F169" s="169"/>
      <c r="G169" s="169"/>
      <c r="H169" s="169"/>
      <c r="I169" s="169"/>
      <c r="J169" s="365"/>
      <c r="K169" s="365"/>
      <c r="L169" s="365"/>
      <c r="M169" s="365"/>
      <c r="N169" s="365"/>
      <c r="O169" s="365"/>
      <c r="P169" s="365"/>
      <c r="Q169" s="365"/>
      <c r="R169" s="365"/>
      <c r="S169" s="311"/>
      <c r="T169" s="373"/>
      <c r="U169" s="373"/>
      <c r="V169" s="373"/>
      <c r="W169" s="373"/>
      <c r="X169" s="373"/>
      <c r="Y169" s="373"/>
    </row>
    <row r="170" spans="2:39" ht="3.75" customHeight="1">
      <c r="B170" s="344"/>
      <c r="C170" s="375"/>
      <c r="D170" s="361"/>
      <c r="E170" s="317"/>
      <c r="F170" s="317"/>
      <c r="G170" s="317"/>
      <c r="H170" s="317"/>
      <c r="I170" s="317"/>
      <c r="J170" s="363"/>
      <c r="K170" s="363"/>
      <c r="L170" s="363"/>
      <c r="M170" s="363"/>
      <c r="N170" s="363"/>
      <c r="O170" s="363"/>
      <c r="P170" s="363"/>
      <c r="Q170" s="363"/>
      <c r="R170" s="363"/>
      <c r="S170" s="311"/>
      <c r="T170" s="373"/>
      <c r="U170" s="373"/>
      <c r="V170" s="373"/>
      <c r="W170" s="373"/>
      <c r="X170" s="373"/>
      <c r="Y170" s="373"/>
    </row>
    <row r="171" spans="2:39" ht="3.75" customHeight="1">
      <c r="B171" s="165"/>
      <c r="C171" s="366"/>
      <c r="D171" s="354"/>
      <c r="E171" s="84"/>
      <c r="F171" s="84"/>
      <c r="G171" s="84"/>
      <c r="H171" s="84"/>
      <c r="I171" s="84"/>
      <c r="J171" s="355"/>
      <c r="K171" s="355"/>
      <c r="L171" s="355"/>
      <c r="M171" s="355"/>
      <c r="N171" s="355"/>
      <c r="O171" s="355"/>
      <c r="P171" s="355"/>
      <c r="Q171" s="355"/>
      <c r="R171" s="355"/>
      <c r="S171" s="311"/>
      <c r="T171" s="373"/>
      <c r="U171" s="373"/>
      <c r="V171" s="373"/>
      <c r="W171" s="373"/>
      <c r="X171" s="373"/>
      <c r="Y171" s="373"/>
    </row>
    <row r="172" spans="2:39">
      <c r="B172" s="165"/>
      <c r="C172" s="366">
        <v>46</v>
      </c>
      <c r="D172" s="354"/>
      <c r="E172" s="78" t="s">
        <v>448</v>
      </c>
      <c r="F172" s="84"/>
      <c r="G172" s="84"/>
      <c r="H172" s="84"/>
      <c r="I172" s="84"/>
      <c r="J172" s="356" t="e">
        <f t="shared" ref="J172:O172" si="16">IF(J44=0,0,J124/J44)</f>
        <v>#REF!</v>
      </c>
      <c r="K172" s="356" t="e">
        <f t="shared" si="16"/>
        <v>#REF!</v>
      </c>
      <c r="L172" s="356" t="e">
        <f t="shared" si="16"/>
        <v>#REF!</v>
      </c>
      <c r="M172" s="356" t="e">
        <f t="shared" si="16"/>
        <v>#REF!</v>
      </c>
      <c r="N172" s="356" t="e">
        <f t="shared" si="16"/>
        <v>#REF!</v>
      </c>
      <c r="O172" s="356" t="e">
        <f t="shared" si="16"/>
        <v>#REF!</v>
      </c>
      <c r="P172" s="356" t="e">
        <f>IF(P44=0,0,P124/P44)</f>
        <v>#REF!</v>
      </c>
      <c r="Q172" s="356" t="e">
        <f>IF(Q44=0,0,Q124/Q44)</f>
        <v>#REF!</v>
      </c>
      <c r="R172" s="356" t="e">
        <f>IF(R44=0,0,R124/R44)</f>
        <v>#REF!</v>
      </c>
      <c r="S172" s="311"/>
      <c r="T172" s="370"/>
      <c r="U172" s="370"/>
      <c r="V172" s="370"/>
      <c r="W172" s="370">
        <f>[17]CMA!H204</f>
        <v>1.6148177748789549</v>
      </c>
      <c r="X172" s="370">
        <f>[17]CMA!I204</f>
        <v>1.1975487086489613</v>
      </c>
      <c r="Y172" s="370">
        <f>[17]CMA!J204</f>
        <v>1.110471371922078</v>
      </c>
      <c r="Z172" s="370">
        <f>[17]CMA!K204</f>
        <v>1.1963993126514068</v>
      </c>
      <c r="AA172" s="370">
        <f>[17]CMA!L204</f>
        <v>1.1987729803490432</v>
      </c>
      <c r="AB172" s="370">
        <f>[17]CMA!M204</f>
        <v>1.2512697788168365</v>
      </c>
      <c r="AC172" s="370">
        <f>[17]CMA!N204</f>
        <v>1.470686351094592</v>
      </c>
    </row>
    <row r="173" spans="2:39" ht="3.75" customHeight="1">
      <c r="B173" s="165"/>
      <c r="C173" s="366"/>
      <c r="D173" s="354"/>
      <c r="E173" s="84"/>
      <c r="F173" s="84"/>
      <c r="G173" s="84"/>
      <c r="H173" s="84"/>
      <c r="I173" s="84"/>
      <c r="J173" s="355"/>
      <c r="K173" s="355"/>
      <c r="L173" s="355"/>
      <c r="M173" s="355"/>
      <c r="N173" s="355"/>
      <c r="O173" s="355"/>
      <c r="P173" s="355"/>
      <c r="Q173" s="355"/>
      <c r="R173" s="355"/>
      <c r="S173" s="311"/>
      <c r="T173" s="370"/>
      <c r="U173" s="370"/>
      <c r="V173" s="370"/>
      <c r="W173" s="370" t="e">
        <f t="shared" ref="W173:AB173" si="17">+W172-M172</f>
        <v>#REF!</v>
      </c>
      <c r="X173" s="370" t="e">
        <f t="shared" si="17"/>
        <v>#REF!</v>
      </c>
      <c r="Y173" s="370" t="e">
        <f t="shared" si="17"/>
        <v>#REF!</v>
      </c>
      <c r="Z173" s="370" t="e">
        <f t="shared" si="17"/>
        <v>#REF!</v>
      </c>
      <c r="AA173" s="370" t="e">
        <f t="shared" si="17"/>
        <v>#REF!</v>
      </c>
      <c r="AB173" s="370" t="e">
        <f t="shared" si="17"/>
        <v>#REF!</v>
      </c>
      <c r="AC173" s="370" t="e">
        <f>+AC172-#REF!</f>
        <v>#REF!</v>
      </c>
    </row>
    <row r="174" spans="2:39">
      <c r="B174" s="165"/>
      <c r="C174" s="366">
        <v>47</v>
      </c>
      <c r="D174" s="354"/>
      <c r="E174" s="78" t="s">
        <v>449</v>
      </c>
      <c r="F174" s="84"/>
      <c r="G174" s="84"/>
      <c r="H174" s="84"/>
      <c r="I174" s="78"/>
      <c r="J174" s="356" t="e">
        <f t="shared" ref="J174:O174" si="18">IF(J166=0,0,J63/J166)</f>
        <v>#REF!</v>
      </c>
      <c r="K174" s="356" t="e">
        <f t="shared" si="18"/>
        <v>#REF!</v>
      </c>
      <c r="L174" s="356" t="e">
        <f t="shared" si="18"/>
        <v>#REF!</v>
      </c>
      <c r="M174" s="356" t="e">
        <f t="shared" si="18"/>
        <v>#REF!</v>
      </c>
      <c r="N174" s="356" t="e">
        <f t="shared" si="18"/>
        <v>#REF!</v>
      </c>
      <c r="O174" s="356" t="e">
        <f t="shared" si="18"/>
        <v>#REF!</v>
      </c>
      <c r="P174" s="356" t="e">
        <f>IF(P166=0,0,P63/P166)</f>
        <v>#REF!</v>
      </c>
      <c r="Q174" s="356" t="e">
        <f>IF(Q166=0,0,Q63/Q166)</f>
        <v>#REF!</v>
      </c>
      <c r="R174" s="356" t="e">
        <f>IF(R166=0,0,R63/R166)</f>
        <v>#REF!</v>
      </c>
      <c r="S174" s="311"/>
      <c r="T174" s="370"/>
      <c r="U174" s="370"/>
      <c r="V174" s="370"/>
      <c r="W174" s="370">
        <f>[17]CMA!H205</f>
        <v>2.2285328333660068</v>
      </c>
      <c r="X174" s="370">
        <f>[17]CMA!I205</f>
        <v>2.2093605528336329</v>
      </c>
      <c r="Y174" s="370">
        <f>[17]CMA!J205</f>
        <v>2.1688336660349901</v>
      </c>
      <c r="Z174" s="370">
        <f>[17]CMA!K205</f>
        <v>2.1608009828580768</v>
      </c>
      <c r="AA174" s="370">
        <f>[17]CMA!L205</f>
        <v>1.8633055595434778</v>
      </c>
      <c r="AB174" s="370">
        <f>[17]CMA!M205</f>
        <v>1.4977215329481757</v>
      </c>
      <c r="AC174" s="370">
        <f>[17]CMA!N205</f>
        <v>1.1524147825446747</v>
      </c>
    </row>
    <row r="175" spans="2:39" ht="1.5" customHeight="1">
      <c r="B175" s="165"/>
      <c r="C175" s="366"/>
      <c r="D175" s="354"/>
      <c r="E175" s="78"/>
      <c r="F175" s="84"/>
      <c r="G175" s="84"/>
      <c r="H175" s="84"/>
      <c r="I175" s="78"/>
      <c r="J175" s="356"/>
      <c r="K175" s="356"/>
      <c r="L175" s="356"/>
      <c r="M175" s="356"/>
      <c r="N175" s="356"/>
      <c r="O175" s="356"/>
      <c r="P175" s="356"/>
      <c r="Q175" s="356"/>
      <c r="R175" s="356"/>
      <c r="S175" s="311"/>
      <c r="T175" s="370"/>
      <c r="U175" s="370"/>
      <c r="V175" s="370"/>
      <c r="W175" s="370" t="e">
        <f t="shared" ref="W175:AB175" si="19">W174-M174</f>
        <v>#REF!</v>
      </c>
      <c r="X175" s="370" t="e">
        <f t="shared" si="19"/>
        <v>#REF!</v>
      </c>
      <c r="Y175" s="370" t="e">
        <f t="shared" si="19"/>
        <v>#REF!</v>
      </c>
      <c r="Z175" s="370" t="e">
        <f t="shared" si="19"/>
        <v>#REF!</v>
      </c>
      <c r="AA175" s="370" t="e">
        <f t="shared" si="19"/>
        <v>#REF!</v>
      </c>
      <c r="AB175" s="370" t="e">
        <f t="shared" si="19"/>
        <v>#REF!</v>
      </c>
      <c r="AC175" s="370" t="e">
        <f>AC174-#REF!</f>
        <v>#REF!</v>
      </c>
    </row>
    <row r="176" spans="2:39">
      <c r="B176" s="165"/>
      <c r="C176" s="1002" t="s">
        <v>1433</v>
      </c>
      <c r="D176" s="1002"/>
      <c r="E176" s="84"/>
      <c r="F176" s="84"/>
      <c r="G176" s="84"/>
      <c r="H176" s="84"/>
      <c r="I176" s="84"/>
      <c r="J176" s="355"/>
      <c r="K176" s="355"/>
      <c r="L176" s="355"/>
      <c r="M176" s="355"/>
      <c r="N176" s="355"/>
      <c r="O176" s="355"/>
      <c r="P176" s="355"/>
      <c r="Q176" s="355"/>
      <c r="R176" s="355"/>
      <c r="S176" s="311"/>
      <c r="T176" s="373"/>
      <c r="U176" s="373"/>
      <c r="V176" s="373"/>
      <c r="W176" s="373"/>
      <c r="X176" s="373"/>
      <c r="Y176" s="373"/>
    </row>
    <row r="177" spans="2:25" ht="3" customHeight="1">
      <c r="B177" s="165"/>
      <c r="C177" s="354"/>
      <c r="D177" s="354"/>
      <c r="E177" s="84"/>
      <c r="F177" s="84"/>
      <c r="G177" s="84"/>
      <c r="H177" s="84"/>
      <c r="I177" s="84"/>
      <c r="J177" s="355"/>
      <c r="K177" s="355"/>
      <c r="L177" s="355"/>
      <c r="M177" s="355"/>
      <c r="N177" s="355"/>
      <c r="O177" s="355"/>
      <c r="P177" s="355"/>
      <c r="Q177" s="355"/>
      <c r="R177" s="355"/>
      <c r="S177" s="311"/>
      <c r="T177" s="373"/>
      <c r="U177" s="373"/>
      <c r="V177" s="373"/>
      <c r="W177" s="373"/>
      <c r="X177" s="373"/>
      <c r="Y177" s="373"/>
    </row>
    <row r="178" spans="2:25">
      <c r="B178" s="165"/>
      <c r="C178" s="354" t="s">
        <v>1434</v>
      </c>
      <c r="D178" s="84" t="s">
        <v>1435</v>
      </c>
      <c r="E178" s="84"/>
      <c r="F178" s="84"/>
      <c r="G178" s="84"/>
      <c r="H178" s="84"/>
      <c r="I178" s="84"/>
      <c r="J178" s="355">
        <v>0</v>
      </c>
      <c r="K178" s="355">
        <v>0</v>
      </c>
      <c r="L178" s="355">
        <v>0</v>
      </c>
      <c r="M178" s="355">
        <v>0</v>
      </c>
      <c r="N178" s="355">
        <v>0</v>
      </c>
      <c r="O178" s="355">
        <v>0</v>
      </c>
      <c r="P178" s="355">
        <v>0</v>
      </c>
      <c r="Q178" s="355">
        <v>0</v>
      </c>
      <c r="R178" s="355">
        <v>0</v>
      </c>
      <c r="S178" s="311"/>
      <c r="T178" s="373"/>
      <c r="U178" s="373"/>
      <c r="V178" s="373"/>
      <c r="W178" s="373"/>
      <c r="X178" s="373"/>
      <c r="Y178" s="373"/>
    </row>
    <row r="179" spans="2:25" ht="2.25" customHeight="1">
      <c r="B179" s="165"/>
      <c r="C179" s="354"/>
      <c r="D179" s="354"/>
      <c r="E179" s="84"/>
      <c r="F179" s="84"/>
      <c r="G179" s="84"/>
      <c r="H179" s="84"/>
      <c r="I179" s="84"/>
      <c r="J179" s="355"/>
      <c r="K179" s="355"/>
      <c r="L179" s="355"/>
      <c r="M179" s="355"/>
      <c r="N179" s="355"/>
      <c r="O179" s="355"/>
      <c r="P179" s="355"/>
      <c r="Q179" s="355"/>
      <c r="R179" s="355"/>
      <c r="S179" s="311"/>
      <c r="T179" s="373"/>
      <c r="U179" s="373"/>
      <c r="V179" s="373"/>
      <c r="W179" s="373"/>
      <c r="X179" s="373"/>
      <c r="Y179" s="373"/>
    </row>
    <row r="180" spans="2:25">
      <c r="B180" s="165"/>
      <c r="C180" s="354" t="s">
        <v>498</v>
      </c>
      <c r="D180" s="84" t="s">
        <v>1436</v>
      </c>
      <c r="E180" s="84"/>
      <c r="F180" s="84"/>
      <c r="G180" s="84"/>
      <c r="H180" s="84"/>
      <c r="I180" s="84"/>
      <c r="J180" s="355"/>
      <c r="K180" s="355"/>
      <c r="L180" s="355"/>
      <c r="M180" s="355"/>
      <c r="N180" s="355"/>
      <c r="O180" s="355"/>
      <c r="P180" s="355"/>
      <c r="Q180" s="355"/>
      <c r="R180" s="355"/>
      <c r="S180" s="311"/>
      <c r="T180" s="373"/>
      <c r="U180" s="373"/>
      <c r="V180" s="373"/>
      <c r="W180" s="373"/>
      <c r="X180" s="373"/>
      <c r="Y180" s="373"/>
    </row>
    <row r="181" spans="2:25">
      <c r="B181" s="165"/>
      <c r="C181" s="354"/>
      <c r="D181" s="354" t="s">
        <v>1288</v>
      </c>
      <c r="E181" s="84" t="s">
        <v>1437</v>
      </c>
      <c r="F181" s="84"/>
      <c r="G181" s="84"/>
      <c r="H181" s="84"/>
      <c r="I181" s="84"/>
      <c r="J181" s="355">
        <v>0</v>
      </c>
      <c r="K181" s="355">
        <v>0</v>
      </c>
      <c r="L181" s="355">
        <v>0</v>
      </c>
      <c r="M181" s="355">
        <v>0</v>
      </c>
      <c r="N181" s="355">
        <v>0</v>
      </c>
      <c r="O181" s="355">
        <v>0</v>
      </c>
      <c r="P181" s="355">
        <v>0</v>
      </c>
      <c r="Q181" s="355">
        <v>0</v>
      </c>
      <c r="R181" s="355">
        <v>0</v>
      </c>
      <c r="S181" s="311"/>
      <c r="T181" s="373"/>
      <c r="U181" s="373"/>
      <c r="V181" s="373"/>
      <c r="W181" s="373"/>
      <c r="X181" s="373"/>
      <c r="Y181" s="373"/>
    </row>
    <row r="182" spans="2:25">
      <c r="B182" s="165"/>
      <c r="C182" s="354"/>
      <c r="D182" s="354" t="s">
        <v>1290</v>
      </c>
      <c r="E182" s="84" t="s">
        <v>1438</v>
      </c>
      <c r="F182" s="84"/>
      <c r="G182" s="84"/>
      <c r="H182" s="84"/>
      <c r="I182" s="84"/>
      <c r="J182" s="355">
        <v>0</v>
      </c>
      <c r="K182" s="355">
        <v>0</v>
      </c>
      <c r="L182" s="355">
        <v>0</v>
      </c>
      <c r="M182" s="355">
        <v>0</v>
      </c>
      <c r="N182" s="355">
        <v>0</v>
      </c>
      <c r="O182" s="355">
        <v>0</v>
      </c>
      <c r="P182" s="355">
        <v>0</v>
      </c>
      <c r="Q182" s="355">
        <v>0</v>
      </c>
      <c r="R182" s="355">
        <v>0</v>
      </c>
      <c r="S182" s="311"/>
      <c r="T182" s="373"/>
      <c r="U182" s="373"/>
      <c r="V182" s="373"/>
      <c r="W182" s="373"/>
      <c r="X182" s="373"/>
      <c r="Y182" s="373"/>
    </row>
    <row r="183" spans="2:25">
      <c r="B183" s="165"/>
      <c r="C183" s="354"/>
      <c r="D183" s="354" t="s">
        <v>1439</v>
      </c>
      <c r="E183" s="84" t="s">
        <v>1440</v>
      </c>
      <c r="F183" s="84"/>
      <c r="G183" s="84"/>
      <c r="H183" s="84"/>
      <c r="I183" s="84"/>
      <c r="J183" s="355">
        <v>0</v>
      </c>
      <c r="K183" s="355">
        <v>0</v>
      </c>
      <c r="L183" s="355">
        <v>0</v>
      </c>
      <c r="M183" s="355">
        <v>0</v>
      </c>
      <c r="N183" s="355">
        <v>0</v>
      </c>
      <c r="O183" s="355">
        <v>0</v>
      </c>
      <c r="P183" s="355">
        <v>0</v>
      </c>
      <c r="Q183" s="355">
        <v>0</v>
      </c>
      <c r="R183" s="355">
        <v>0</v>
      </c>
      <c r="S183" s="311"/>
      <c r="T183" s="373"/>
      <c r="U183" s="373"/>
      <c r="V183" s="373"/>
      <c r="W183" s="373"/>
      <c r="X183" s="373"/>
      <c r="Y183" s="373"/>
    </row>
    <row r="184" spans="2:25">
      <c r="B184" s="165"/>
      <c r="C184" s="354"/>
      <c r="D184" s="354" t="s">
        <v>1441</v>
      </c>
      <c r="E184" s="84" t="s">
        <v>1442</v>
      </c>
      <c r="F184" s="84"/>
      <c r="G184" s="84"/>
      <c r="H184" s="84"/>
      <c r="I184" s="84"/>
      <c r="J184" s="355">
        <v>0</v>
      </c>
      <c r="K184" s="355">
        <v>0</v>
      </c>
      <c r="L184" s="355">
        <v>0</v>
      </c>
      <c r="M184" s="355">
        <v>0</v>
      </c>
      <c r="N184" s="355">
        <v>0</v>
      </c>
      <c r="O184" s="355">
        <v>0</v>
      </c>
      <c r="P184" s="355">
        <v>0</v>
      </c>
      <c r="Q184" s="355">
        <v>0</v>
      </c>
      <c r="R184" s="355">
        <v>0</v>
      </c>
      <c r="S184" s="311"/>
      <c r="T184" s="373"/>
      <c r="U184" s="373"/>
      <c r="V184" s="373"/>
      <c r="W184" s="373"/>
      <c r="X184" s="373"/>
      <c r="Y184" s="373"/>
    </row>
    <row r="185" spans="2:25">
      <c r="B185" s="165"/>
      <c r="C185" s="354"/>
      <c r="D185" s="354"/>
      <c r="E185" s="84" t="s">
        <v>1443</v>
      </c>
      <c r="F185" s="84"/>
      <c r="G185" s="84"/>
      <c r="H185" s="84"/>
      <c r="I185" s="84"/>
      <c r="J185" s="355"/>
      <c r="K185" s="355"/>
      <c r="L185" s="355"/>
      <c r="M185" s="355"/>
      <c r="N185" s="355"/>
      <c r="O185" s="355"/>
      <c r="P185" s="355"/>
      <c r="Q185" s="355"/>
      <c r="R185" s="355"/>
      <c r="S185" s="311"/>
      <c r="T185" s="373"/>
      <c r="U185" s="373"/>
      <c r="V185" s="373"/>
      <c r="W185" s="373"/>
      <c r="X185" s="373"/>
      <c r="Y185" s="373"/>
    </row>
    <row r="186" spans="2:25">
      <c r="B186" s="165"/>
      <c r="C186" s="354"/>
      <c r="D186" s="354"/>
      <c r="E186" s="84" t="s">
        <v>1444</v>
      </c>
      <c r="F186" s="84"/>
      <c r="G186" s="84"/>
      <c r="H186" s="84"/>
      <c r="I186" s="84"/>
      <c r="J186" s="355"/>
      <c r="K186" s="355"/>
      <c r="L186" s="355"/>
      <c r="M186" s="355"/>
      <c r="N186" s="355"/>
      <c r="O186" s="355"/>
      <c r="P186" s="355"/>
      <c r="Q186" s="355"/>
      <c r="R186" s="355"/>
      <c r="S186" s="311"/>
      <c r="T186" s="373"/>
      <c r="U186" s="373"/>
      <c r="V186" s="373"/>
      <c r="W186" s="373"/>
      <c r="X186" s="373"/>
      <c r="Y186" s="373"/>
    </row>
    <row r="187" spans="2:25">
      <c r="B187" s="165"/>
      <c r="C187" s="354"/>
      <c r="D187" s="354" t="s">
        <v>1445</v>
      </c>
      <c r="E187" s="84" t="s">
        <v>1446</v>
      </c>
      <c r="F187" s="84"/>
      <c r="G187" s="84"/>
      <c r="H187" s="84"/>
      <c r="I187" s="84"/>
      <c r="J187" s="355">
        <v>0</v>
      </c>
      <c r="K187" s="355">
        <v>0</v>
      </c>
      <c r="L187" s="355">
        <v>0</v>
      </c>
      <c r="M187" s="355">
        <v>0</v>
      </c>
      <c r="N187" s="355">
        <v>0</v>
      </c>
      <c r="O187" s="355">
        <v>0</v>
      </c>
      <c r="P187" s="355">
        <v>0</v>
      </c>
      <c r="Q187" s="355">
        <v>0</v>
      </c>
      <c r="R187" s="355">
        <v>0</v>
      </c>
      <c r="S187" s="311"/>
      <c r="T187" s="373"/>
      <c r="U187" s="373"/>
      <c r="V187" s="373"/>
      <c r="W187" s="373"/>
      <c r="X187" s="373"/>
      <c r="Y187" s="373"/>
    </row>
    <row r="188" spans="2:25" ht="3" customHeight="1" thickBot="1">
      <c r="B188" s="358"/>
      <c r="C188" s="359"/>
      <c r="D188" s="359"/>
      <c r="E188" s="169"/>
      <c r="F188" s="169"/>
      <c r="G188" s="169"/>
      <c r="H188" s="169"/>
      <c r="I188" s="169"/>
      <c r="J188" s="360"/>
      <c r="K188" s="360"/>
      <c r="L188" s="360"/>
      <c r="M188" s="360"/>
      <c r="N188" s="360"/>
      <c r="O188" s="360"/>
      <c r="P188" s="360"/>
      <c r="Q188" s="360"/>
      <c r="R188" s="360"/>
      <c r="S188" s="376"/>
      <c r="T188" s="373"/>
      <c r="U188" s="373"/>
      <c r="V188" s="373"/>
      <c r="W188" s="373"/>
      <c r="X188" s="373"/>
      <c r="Y188" s="373"/>
    </row>
    <row r="189" spans="2:25">
      <c r="J189" s="51"/>
      <c r="K189" s="51"/>
      <c r="L189" s="51"/>
      <c r="Q189" s="84"/>
      <c r="T189" s="373"/>
      <c r="U189" s="373"/>
      <c r="V189" s="373"/>
      <c r="W189" s="373"/>
      <c r="X189" s="373"/>
      <c r="Y189" s="373"/>
    </row>
    <row r="190" spans="2:25">
      <c r="J190" s="51"/>
      <c r="K190" s="51"/>
      <c r="L190" s="51"/>
      <c r="T190" s="373"/>
      <c r="U190" s="373"/>
      <c r="V190" s="373"/>
      <c r="W190" s="373"/>
      <c r="X190" s="373"/>
      <c r="Y190" s="373"/>
    </row>
    <row r="191" spans="2:25">
      <c r="J191" s="51"/>
      <c r="K191" s="51"/>
      <c r="L191" s="51"/>
      <c r="T191" s="373"/>
      <c r="U191" s="373"/>
      <c r="V191" s="373"/>
      <c r="W191" s="373"/>
      <c r="X191" s="373"/>
      <c r="Y191" s="373"/>
    </row>
    <row r="192" spans="2:25">
      <c r="J192" s="51"/>
      <c r="K192" s="51"/>
      <c r="L192" s="51"/>
      <c r="T192" s="373"/>
      <c r="U192" s="373"/>
      <c r="V192" s="373"/>
      <c r="W192" s="373"/>
      <c r="X192" s="373"/>
      <c r="Y192" s="373"/>
    </row>
    <row r="193" spans="2:25">
      <c r="J193" s="51"/>
      <c r="K193" s="51"/>
      <c r="L193" s="51"/>
      <c r="T193" s="373"/>
      <c r="U193" s="373"/>
      <c r="V193" s="373"/>
      <c r="W193" s="373"/>
      <c r="X193" s="373"/>
      <c r="Y193" s="373"/>
    </row>
    <row r="194" spans="2:25">
      <c r="J194" s="51"/>
      <c r="K194" s="51"/>
      <c r="L194" s="51"/>
      <c r="M194" s="370" t="e">
        <f t="shared" ref="M194:R194" si="20">M82-M164</f>
        <v>#REF!</v>
      </c>
      <c r="N194" s="370" t="e">
        <f t="shared" si="20"/>
        <v>#REF!</v>
      </c>
      <c r="O194" s="370" t="e">
        <f t="shared" si="20"/>
        <v>#REF!</v>
      </c>
      <c r="P194" s="370" t="e">
        <f t="shared" si="20"/>
        <v>#REF!</v>
      </c>
      <c r="Q194" s="370" t="e">
        <f t="shared" si="20"/>
        <v>#REF!</v>
      </c>
      <c r="R194" s="370" t="e">
        <f t="shared" si="20"/>
        <v>#REF!</v>
      </c>
      <c r="T194" s="373"/>
      <c r="U194" s="373"/>
      <c r="V194" s="373"/>
      <c r="W194" s="373"/>
      <c r="X194" s="373"/>
      <c r="Y194" s="373"/>
    </row>
    <row r="195" spans="2:25">
      <c r="J195" s="51"/>
      <c r="K195" s="51"/>
      <c r="L195" s="51"/>
      <c r="T195" s="373"/>
      <c r="U195" s="373"/>
      <c r="V195" s="373"/>
      <c r="W195" s="373"/>
      <c r="X195" s="373"/>
      <c r="Y195" s="373"/>
    </row>
    <row r="196" spans="2:25">
      <c r="J196" s="51"/>
      <c r="K196" s="51"/>
      <c r="L196" s="51"/>
      <c r="T196" s="373"/>
      <c r="U196" s="373"/>
      <c r="V196" s="373"/>
      <c r="W196" s="373"/>
      <c r="X196" s="373"/>
      <c r="Y196" s="373"/>
    </row>
    <row r="197" spans="2:25">
      <c r="J197" s="51"/>
      <c r="K197" s="51"/>
      <c r="L197" s="51"/>
      <c r="T197" s="373"/>
      <c r="U197" s="373"/>
      <c r="V197" s="373"/>
      <c r="W197" s="373"/>
      <c r="X197" s="373"/>
      <c r="Y197" s="373"/>
    </row>
    <row r="198" spans="2:25">
      <c r="J198" s="51"/>
      <c r="K198" s="51"/>
      <c r="L198" s="51"/>
      <c r="T198" s="373"/>
      <c r="U198" s="373"/>
      <c r="V198" s="373"/>
      <c r="W198" s="373"/>
      <c r="X198" s="373"/>
      <c r="Y198" s="373"/>
    </row>
    <row r="199" spans="2:25">
      <c r="J199" s="51"/>
      <c r="K199" s="51"/>
      <c r="L199" s="51"/>
      <c r="T199" s="373"/>
      <c r="U199" s="373"/>
      <c r="V199" s="373"/>
      <c r="W199" s="373"/>
      <c r="X199" s="373"/>
      <c r="Y199" s="373"/>
    </row>
    <row r="200" spans="2:25">
      <c r="J200" s="51"/>
      <c r="K200" s="51"/>
      <c r="L200" s="51"/>
      <c r="T200" s="373"/>
      <c r="U200" s="373"/>
      <c r="V200" s="373"/>
      <c r="W200" s="373"/>
      <c r="X200" s="373"/>
      <c r="Y200" s="373"/>
    </row>
    <row r="201" spans="2:25">
      <c r="J201" s="370" t="e">
        <f t="shared" ref="J201:Q201" si="21">J82-J164</f>
        <v>#REF!</v>
      </c>
      <c r="K201" s="370" t="e">
        <f t="shared" si="21"/>
        <v>#REF!</v>
      </c>
      <c r="L201" s="370" t="e">
        <f t="shared" si="21"/>
        <v>#REF!</v>
      </c>
      <c r="M201" s="377" t="e">
        <f t="shared" si="21"/>
        <v>#REF!</v>
      </c>
      <c r="N201" s="377" t="e">
        <f t="shared" si="21"/>
        <v>#REF!</v>
      </c>
      <c r="O201" s="377" t="e">
        <f t="shared" si="21"/>
        <v>#REF!</v>
      </c>
      <c r="P201" s="377" t="e">
        <f t="shared" si="21"/>
        <v>#REF!</v>
      </c>
      <c r="Q201" s="377" t="e">
        <f t="shared" si="21"/>
        <v>#REF!</v>
      </c>
      <c r="T201" s="373"/>
      <c r="U201" s="373"/>
      <c r="V201" s="373"/>
      <c r="W201" s="373"/>
      <c r="X201" s="373"/>
      <c r="Y201" s="373"/>
    </row>
    <row r="202" spans="2:25">
      <c r="B202" s="84"/>
      <c r="C202" s="354"/>
      <c r="D202" s="354"/>
      <c r="E202" s="84"/>
      <c r="F202" s="84"/>
      <c r="G202" s="84"/>
      <c r="H202" s="84"/>
      <c r="I202" s="84"/>
      <c r="J202" s="355"/>
      <c r="K202" s="355"/>
      <c r="L202" s="355"/>
      <c r="M202" s="355"/>
      <c r="N202" s="355"/>
      <c r="O202" s="355"/>
      <c r="P202" s="355"/>
      <c r="Q202" s="355"/>
      <c r="R202" s="355"/>
      <c r="T202" s="373"/>
      <c r="U202" s="373"/>
      <c r="V202" s="373"/>
      <c r="W202" s="373"/>
      <c r="X202" s="373"/>
      <c r="Y202" s="373"/>
    </row>
    <row r="203" spans="2:25">
      <c r="C203" s="354"/>
      <c r="D203" s="354"/>
      <c r="E203" s="84"/>
      <c r="F203" s="84"/>
      <c r="G203" s="84"/>
      <c r="H203" s="84"/>
      <c r="I203" s="84"/>
      <c r="J203" s="355"/>
      <c r="K203" s="355"/>
      <c r="L203" s="355"/>
      <c r="M203" s="355"/>
      <c r="N203" s="355"/>
      <c r="O203" s="355"/>
      <c r="P203" s="355"/>
      <c r="Q203" s="355"/>
      <c r="R203" s="355"/>
      <c r="T203" s="373"/>
      <c r="U203" s="373"/>
      <c r="V203" s="373"/>
      <c r="W203" s="373"/>
      <c r="X203" s="373"/>
      <c r="Y203" s="373"/>
    </row>
    <row r="204" spans="2:25">
      <c r="C204" s="1014"/>
      <c r="D204" s="1014"/>
      <c r="R204" s="377" t="e">
        <f>R82-R164</f>
        <v>#REF!</v>
      </c>
      <c r="T204" s="373" t="e">
        <f>M201*100000</f>
        <v>#REF!</v>
      </c>
      <c r="U204" s="373"/>
      <c r="V204" s="373"/>
      <c r="W204" s="373"/>
      <c r="X204" s="373"/>
      <c r="Y204" s="373"/>
    </row>
    <row r="205" spans="2:25">
      <c r="C205" s="1014"/>
      <c r="D205" s="1014"/>
      <c r="E205" s="51" t="s">
        <v>448</v>
      </c>
      <c r="J205" s="370" t="e">
        <f t="shared" ref="J205:O205" si="22">IF(J44=0,0,J124/J44)</f>
        <v>#REF!</v>
      </c>
      <c r="K205" s="370" t="e">
        <f t="shared" si="22"/>
        <v>#REF!</v>
      </c>
      <c r="L205" s="370" t="e">
        <f t="shared" si="22"/>
        <v>#REF!</v>
      </c>
      <c r="M205" s="370" t="e">
        <f t="shared" si="22"/>
        <v>#REF!</v>
      </c>
      <c r="N205" s="370" t="e">
        <f t="shared" si="22"/>
        <v>#REF!</v>
      </c>
      <c r="O205" s="370" t="e">
        <f t="shared" si="22"/>
        <v>#REF!</v>
      </c>
      <c r="P205" s="370" t="e">
        <f>IF(P44=0,0,P124/P44)</f>
        <v>#REF!</v>
      </c>
      <c r="Q205" s="370" t="e">
        <f>IF(Q44=0,0,Q124/Q44)</f>
        <v>#REF!</v>
      </c>
      <c r="R205" s="370" t="e">
        <f>IF(R44=0,0,R124/R44)</f>
        <v>#REF!</v>
      </c>
      <c r="T205" s="373"/>
      <c r="U205" s="373"/>
      <c r="V205" s="373"/>
      <c r="W205" s="373"/>
      <c r="X205" s="373"/>
      <c r="Y205" s="373"/>
    </row>
    <row r="206" spans="2:25">
      <c r="C206" s="1014"/>
      <c r="D206" s="1014"/>
      <c r="E206" s="51" t="s">
        <v>363</v>
      </c>
      <c r="J206" s="370" t="e">
        <f t="shared" ref="J206:O206" si="23">J124-J44</f>
        <v>#REF!</v>
      </c>
      <c r="K206" s="370" t="e">
        <f t="shared" si="23"/>
        <v>#REF!</v>
      </c>
      <c r="L206" s="370" t="e">
        <f t="shared" si="23"/>
        <v>#REF!</v>
      </c>
      <c r="M206" s="370" t="e">
        <f t="shared" si="23"/>
        <v>#REF!</v>
      </c>
      <c r="N206" s="370" t="e">
        <f t="shared" si="23"/>
        <v>#REF!</v>
      </c>
      <c r="O206" s="370" t="e">
        <f t="shared" si="23"/>
        <v>#REF!</v>
      </c>
      <c r="P206" s="370" t="e">
        <f>P124-P44</f>
        <v>#REF!</v>
      </c>
      <c r="Q206" s="370" t="e">
        <f>Q124-Q44</f>
        <v>#REF!</v>
      </c>
      <c r="R206" s="370" t="e">
        <f>R124-R44</f>
        <v>#REF!</v>
      </c>
      <c r="T206" s="373"/>
      <c r="U206" s="373"/>
      <c r="V206" s="373"/>
      <c r="W206" s="373"/>
      <c r="X206" s="373"/>
      <c r="Y206" s="373"/>
    </row>
    <row r="207" spans="2:25">
      <c r="C207" s="1014"/>
      <c r="D207" s="1014"/>
      <c r="J207" s="370"/>
      <c r="K207" s="370"/>
      <c r="L207" s="370"/>
      <c r="M207" s="370"/>
      <c r="N207" s="370"/>
      <c r="O207" s="370"/>
      <c r="P207" s="370"/>
      <c r="Q207" s="370"/>
      <c r="R207" s="370"/>
      <c r="T207" s="373"/>
      <c r="U207" s="373"/>
      <c r="V207" s="373"/>
      <c r="W207" s="373"/>
      <c r="X207" s="373"/>
      <c r="Y207" s="373"/>
    </row>
    <row r="208" spans="2:25">
      <c r="C208" s="1014"/>
      <c r="D208" s="1014"/>
      <c r="E208" s="78" t="s">
        <v>429</v>
      </c>
      <c r="J208" s="370" t="e">
        <f t="shared" ref="J208:O208" si="24">J82</f>
        <v>#REF!</v>
      </c>
      <c r="K208" s="370" t="e">
        <f t="shared" si="24"/>
        <v>#REF!</v>
      </c>
      <c r="L208" s="370" t="e">
        <f t="shared" si="24"/>
        <v>#REF!</v>
      </c>
      <c r="M208" s="370" t="e">
        <f t="shared" si="24"/>
        <v>#REF!</v>
      </c>
      <c r="N208" s="370" t="e">
        <f t="shared" si="24"/>
        <v>#REF!</v>
      </c>
      <c r="O208" s="370" t="e">
        <f t="shared" si="24"/>
        <v>#REF!</v>
      </c>
      <c r="P208" s="370" t="e">
        <f>P82</f>
        <v>#REF!</v>
      </c>
      <c r="Q208" s="370" t="e">
        <f>Q82</f>
        <v>#REF!</v>
      </c>
      <c r="R208" s="370" t="e">
        <f>R82</f>
        <v>#REF!</v>
      </c>
      <c r="T208" s="373"/>
      <c r="U208" s="373"/>
      <c r="V208" s="373"/>
      <c r="W208" s="373"/>
      <c r="X208" s="373"/>
      <c r="Y208" s="373"/>
    </row>
    <row r="209" spans="3:25">
      <c r="C209" s="1014"/>
      <c r="D209" s="1014"/>
      <c r="E209" s="78" t="s">
        <v>421</v>
      </c>
      <c r="J209" s="370" t="e">
        <f t="shared" ref="J209:O209" si="25">J164</f>
        <v>#REF!</v>
      </c>
      <c r="K209" s="370" t="e">
        <f t="shared" si="25"/>
        <v>#REF!</v>
      </c>
      <c r="L209" s="370" t="e">
        <f t="shared" si="25"/>
        <v>#REF!</v>
      </c>
      <c r="M209" s="370" t="e">
        <f t="shared" si="25"/>
        <v>#REF!</v>
      </c>
      <c r="N209" s="370" t="e">
        <f t="shared" si="25"/>
        <v>#REF!</v>
      </c>
      <c r="O209" s="370" t="e">
        <f t="shared" si="25"/>
        <v>#REF!</v>
      </c>
      <c r="P209" s="370" t="e">
        <f>P164</f>
        <v>#REF!</v>
      </c>
      <c r="Q209" s="370" t="e">
        <f>Q164</f>
        <v>#REF!</v>
      </c>
      <c r="R209" s="370" t="e">
        <f>R164</f>
        <v>#REF!</v>
      </c>
      <c r="T209" s="373"/>
      <c r="U209" s="373"/>
      <c r="V209" s="373"/>
      <c r="W209" s="373"/>
      <c r="X209" s="373"/>
      <c r="Y209" s="373"/>
    </row>
    <row r="210" spans="3:25">
      <c r="C210" s="1014"/>
      <c r="D210" s="1014"/>
      <c r="E210" s="78" t="s">
        <v>1447</v>
      </c>
      <c r="J210" s="370" t="e">
        <f t="shared" ref="J210:Q210" si="26">J208-J209</f>
        <v>#REF!</v>
      </c>
      <c r="K210" s="370" t="e">
        <f t="shared" si="26"/>
        <v>#REF!</v>
      </c>
      <c r="L210" s="370" t="e">
        <f t="shared" si="26"/>
        <v>#REF!</v>
      </c>
      <c r="M210" s="377" t="e">
        <f t="shared" si="26"/>
        <v>#REF!</v>
      </c>
      <c r="N210" s="377" t="e">
        <f t="shared" si="26"/>
        <v>#REF!</v>
      </c>
      <c r="O210" s="377" t="e">
        <f t="shared" si="26"/>
        <v>#REF!</v>
      </c>
      <c r="P210" s="377" t="e">
        <f t="shared" si="26"/>
        <v>#REF!</v>
      </c>
      <c r="Q210" s="377" t="e">
        <f t="shared" si="26"/>
        <v>#REF!</v>
      </c>
      <c r="R210" s="377" t="e">
        <f>R208-R209</f>
        <v>#REF!</v>
      </c>
      <c r="T210" s="373"/>
      <c r="U210" s="373"/>
      <c r="V210" s="373"/>
      <c r="W210" s="373"/>
      <c r="X210" s="373"/>
      <c r="Y210" s="373"/>
    </row>
    <row r="211" spans="3:25">
      <c r="C211" s="1014"/>
      <c r="D211" s="1014"/>
      <c r="J211" s="370"/>
      <c r="K211" s="370"/>
      <c r="L211" s="370"/>
      <c r="M211" s="370"/>
      <c r="N211" s="370"/>
      <c r="O211" s="370"/>
      <c r="P211" s="370"/>
      <c r="Q211" s="370"/>
      <c r="R211" s="370"/>
      <c r="T211" s="373"/>
      <c r="U211" s="373"/>
      <c r="V211" s="373"/>
      <c r="W211" s="373"/>
      <c r="X211" s="373"/>
      <c r="Y211" s="373"/>
    </row>
    <row r="212" spans="3:25">
      <c r="C212" s="1014"/>
      <c r="D212" s="1014"/>
      <c r="T212" s="373"/>
      <c r="U212" s="373"/>
      <c r="V212" s="373"/>
      <c r="W212" s="373"/>
      <c r="X212" s="373"/>
      <c r="Y212" s="373"/>
    </row>
    <row r="213" spans="3:25">
      <c r="T213" s="373"/>
      <c r="U213" s="373"/>
      <c r="V213" s="373"/>
      <c r="W213" s="373"/>
      <c r="X213" s="373"/>
      <c r="Y213" s="373"/>
    </row>
    <row r="214" spans="3:25">
      <c r="T214" s="373"/>
      <c r="U214" s="373"/>
      <c r="V214" s="373"/>
      <c r="W214" s="373"/>
      <c r="X214" s="373"/>
      <c r="Y214" s="373"/>
    </row>
    <row r="215" spans="3:25">
      <c r="T215" s="373"/>
      <c r="U215" s="373"/>
      <c r="V215" s="373"/>
      <c r="W215" s="373"/>
      <c r="X215" s="373"/>
      <c r="Y215" s="373"/>
    </row>
    <row r="216" spans="3:25">
      <c r="T216" s="373"/>
      <c r="U216" s="373"/>
      <c r="V216" s="373"/>
      <c r="W216" s="373"/>
      <c r="X216" s="373"/>
      <c r="Y216" s="373"/>
    </row>
    <row r="217" spans="3:25">
      <c r="T217" s="373"/>
      <c r="U217" s="373"/>
      <c r="V217" s="373"/>
      <c r="W217" s="373"/>
      <c r="X217" s="373"/>
      <c r="Y217" s="373"/>
    </row>
    <row r="218" spans="3:25">
      <c r="T218" s="373"/>
      <c r="U218" s="373"/>
      <c r="V218" s="373"/>
      <c r="W218" s="373"/>
      <c r="X218" s="373"/>
      <c r="Y218" s="373"/>
    </row>
    <row r="219" spans="3:25">
      <c r="T219" s="373"/>
      <c r="U219" s="373"/>
      <c r="V219" s="373"/>
      <c r="W219" s="373"/>
      <c r="X219" s="373"/>
      <c r="Y219" s="373"/>
    </row>
    <row r="220" spans="3:25">
      <c r="T220" s="373"/>
      <c r="U220" s="373"/>
      <c r="V220" s="373"/>
      <c r="W220" s="373"/>
      <c r="X220" s="373"/>
      <c r="Y220" s="373"/>
    </row>
    <row r="221" spans="3:25">
      <c r="T221" s="373"/>
      <c r="U221" s="373"/>
      <c r="V221" s="373"/>
      <c r="W221" s="373"/>
      <c r="X221" s="373"/>
      <c r="Y221" s="373"/>
    </row>
    <row r="222" spans="3:25">
      <c r="T222" s="373"/>
      <c r="U222" s="373"/>
      <c r="V222" s="373"/>
      <c r="W222" s="373"/>
      <c r="X222" s="373"/>
      <c r="Y222" s="373"/>
    </row>
    <row r="223" spans="3:25">
      <c r="T223" s="373"/>
      <c r="U223" s="373"/>
      <c r="V223" s="373"/>
      <c r="W223" s="373"/>
      <c r="X223" s="373"/>
      <c r="Y223" s="373"/>
    </row>
    <row r="224" spans="3:25">
      <c r="T224" s="373"/>
      <c r="U224" s="373"/>
      <c r="V224" s="373"/>
      <c r="W224" s="373"/>
      <c r="X224" s="373"/>
      <c r="Y224" s="373"/>
    </row>
  </sheetData>
  <pageMargins left="0.47244094488188981" right="0.11811023622047245" top="0.59055118110236227" bottom="0.15748031496062992" header="0.23622047244094491" footer="0.19685039370078741"/>
  <pageSetup paperSize="9" fitToHeight="3" orientation="landscape" verticalDpi="144" r:id="rId1"/>
  <headerFooter alignWithMargins="0">
    <oddHeader>&amp;RHOTEL CITY WALK INTERNATIONAL
GUWAHATI</oddHeader>
  </headerFooter>
  <rowBreaks count="3" manualBreakCount="3">
    <brk id="45" max="18" man="1"/>
    <brk id="83" max="18" man="1"/>
    <brk id="136" max="18" man="1"/>
  </rowBreaks>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5DA3F-0B03-44DC-9BEE-8057312238E6}">
  <dimension ref="B1:AA127"/>
  <sheetViews>
    <sheetView view="pageBreakPreview" zoomScaleNormal="100" zoomScaleSheetLayoutView="100" zoomScalePageLayoutView="40" workbookViewId="0">
      <selection activeCell="G48" sqref="G48"/>
    </sheetView>
  </sheetViews>
  <sheetFormatPr defaultRowHeight="12.75"/>
  <cols>
    <col min="1" max="1" width="1.5703125" style="378" customWidth="1"/>
    <col min="2" max="2" width="1.7109375" style="378" customWidth="1"/>
    <col min="3" max="3" width="3.7109375" style="378" customWidth="1"/>
    <col min="4" max="4" width="11" style="378" customWidth="1"/>
    <col min="5" max="5" width="12.28515625" style="378" customWidth="1"/>
    <col min="6" max="6" width="7.140625" style="378" customWidth="1"/>
    <col min="7" max="14" width="10.42578125" style="378" customWidth="1"/>
    <col min="15" max="15" width="10.42578125" style="378" hidden="1" customWidth="1"/>
    <col min="16" max="16" width="1.7109375" style="378" customWidth="1"/>
    <col min="17" max="17" width="0.5703125" style="378" customWidth="1"/>
    <col min="18" max="16384" width="9.140625" style="378"/>
  </cols>
  <sheetData>
    <row r="1" spans="2:16">
      <c r="I1" s="378">
        <v>48</v>
      </c>
    </row>
    <row r="2" spans="2:16" ht="3.75" customHeight="1" thickBot="1">
      <c r="N2" s="384"/>
    </row>
    <row r="3" spans="2:16" ht="3.75" customHeight="1">
      <c r="B3" s="379"/>
      <c r="C3" s="380"/>
      <c r="D3" s="380"/>
      <c r="E3" s="380"/>
      <c r="F3" s="380"/>
      <c r="G3" s="380"/>
      <c r="H3" s="380"/>
      <c r="I3" s="380"/>
      <c r="J3" s="380"/>
      <c r="K3" s="380"/>
      <c r="L3" s="380"/>
      <c r="M3" s="380"/>
      <c r="N3" s="380"/>
      <c r="O3" s="380"/>
      <c r="P3" s="381"/>
    </row>
    <row r="4" spans="2:16">
      <c r="B4" s="382"/>
      <c r="C4" s="383" t="s">
        <v>1448</v>
      </c>
      <c r="D4" s="78"/>
      <c r="E4" s="78"/>
      <c r="F4" s="78"/>
      <c r="G4" s="78"/>
      <c r="H4" s="78"/>
      <c r="I4" s="78"/>
      <c r="J4" s="384"/>
      <c r="K4" s="384"/>
      <c r="L4" s="384"/>
      <c r="M4" s="384"/>
      <c r="N4" s="384"/>
      <c r="O4" s="384"/>
      <c r="P4" s="385"/>
    </row>
    <row r="5" spans="2:16" ht="2.25" customHeight="1">
      <c r="B5" s="382"/>
      <c r="C5" s="384"/>
      <c r="D5" s="384"/>
      <c r="E5" s="384"/>
      <c r="F5" s="384"/>
      <c r="G5" s="384"/>
      <c r="H5" s="384"/>
      <c r="I5" s="384"/>
      <c r="N5" s="384"/>
      <c r="P5" s="385"/>
    </row>
    <row r="6" spans="2:16" ht="12" customHeight="1">
      <c r="B6" s="382"/>
      <c r="C6" s="384"/>
      <c r="D6" s="384"/>
      <c r="E6" s="384"/>
      <c r="F6" s="384"/>
      <c r="G6" s="384"/>
      <c r="H6" s="384"/>
      <c r="I6" s="386"/>
      <c r="K6" s="387"/>
      <c r="L6" s="387"/>
      <c r="M6" s="388"/>
      <c r="N6" s="388" t="s">
        <v>1284</v>
      </c>
      <c r="P6" s="385"/>
    </row>
    <row r="7" spans="2:16" ht="5.25" customHeight="1">
      <c r="B7" s="382"/>
      <c r="C7" s="384"/>
      <c r="D7" s="384"/>
      <c r="E7" s="384"/>
      <c r="F7" s="384"/>
      <c r="G7" s="384"/>
      <c r="H7" s="384"/>
      <c r="I7" s="384"/>
      <c r="J7" s="384"/>
      <c r="K7" s="384"/>
      <c r="L7" s="384"/>
      <c r="M7" s="384"/>
      <c r="N7" s="384"/>
      <c r="O7" s="384"/>
      <c r="P7" s="385"/>
    </row>
    <row r="8" spans="2:16" ht="14.25" customHeight="1">
      <c r="B8" s="382"/>
      <c r="C8" s="384"/>
      <c r="D8" s="384"/>
      <c r="E8" s="384"/>
      <c r="F8" s="384"/>
      <c r="G8" s="389" t="str">
        <f>BS_ANLYSIS!J6</f>
        <v>Year 1</v>
      </c>
      <c r="H8" s="389" t="str">
        <f>BS_ANLYSIS!K6</f>
        <v>Year 2</v>
      </c>
      <c r="I8" s="389" t="str">
        <f>BS_ANLYSIS!L6</f>
        <v>Year 3</v>
      </c>
      <c r="J8" s="389" t="str">
        <f>BS_ANLYSIS!M6</f>
        <v>Year 4</v>
      </c>
      <c r="K8" s="389" t="str">
        <f>BS_ANLYSIS!N6</f>
        <v>Year 5</v>
      </c>
      <c r="L8" s="389" t="str">
        <f>BS_ANLYSIS!O6</f>
        <v>Year 6</v>
      </c>
      <c r="M8" s="389" t="str">
        <f>BS_ANLYSIS!P6</f>
        <v>Year 7</v>
      </c>
      <c r="N8" s="389" t="str">
        <f>BS_ANLYSIS!Q6</f>
        <v>Year 8</v>
      </c>
      <c r="O8" s="389" t="str">
        <f>BS_ANLYSIS!R6</f>
        <v>Year 9</v>
      </c>
      <c r="P8" s="385"/>
    </row>
    <row r="9" spans="2:16">
      <c r="B9" s="382"/>
      <c r="C9" s="384"/>
      <c r="D9" s="384"/>
      <c r="E9" s="384"/>
      <c r="F9" s="384"/>
      <c r="G9" s="389" t="str">
        <f>BS_ANLYSIS!J7</f>
        <v>Projected</v>
      </c>
      <c r="H9" s="389" t="str">
        <f>BS_ANLYSIS!K7</f>
        <v>Projected</v>
      </c>
      <c r="I9" s="389" t="str">
        <f>BS_ANLYSIS!L7</f>
        <v>Projected</v>
      </c>
      <c r="J9" s="389" t="str">
        <f>BS_ANLYSIS!M7</f>
        <v>Projected</v>
      </c>
      <c r="K9" s="389" t="str">
        <f>BS_ANLYSIS!N7</f>
        <v>Projected</v>
      </c>
      <c r="L9" s="389" t="str">
        <f>BS_ANLYSIS!O7</f>
        <v>Projected</v>
      </c>
      <c r="M9" s="389" t="str">
        <f>BS_ANLYSIS!P7</f>
        <v>Projected</v>
      </c>
      <c r="N9" s="389" t="str">
        <f>BS_ANLYSIS!Q7</f>
        <v>Projected</v>
      </c>
      <c r="O9" s="389" t="str">
        <f>BS_ANLYSIS!R7</f>
        <v>Projected</v>
      </c>
      <c r="P9" s="385"/>
    </row>
    <row r="10" spans="2:16" ht="7.5" customHeight="1">
      <c r="B10" s="382"/>
      <c r="C10" s="384"/>
      <c r="D10" s="384"/>
      <c r="E10" s="384"/>
      <c r="F10" s="384"/>
      <c r="G10" s="390"/>
      <c r="H10" s="390"/>
      <c r="I10" s="390"/>
      <c r="J10" s="390"/>
      <c r="K10" s="390"/>
      <c r="L10" s="390"/>
      <c r="M10" s="390"/>
      <c r="N10" s="390"/>
      <c r="O10" s="390"/>
      <c r="P10" s="385"/>
    </row>
    <row r="11" spans="2:16">
      <c r="B11" s="382"/>
      <c r="C11" s="387" t="s">
        <v>629</v>
      </c>
      <c r="D11" s="78" t="s">
        <v>354</v>
      </c>
      <c r="E11" s="78"/>
      <c r="F11" s="384"/>
      <c r="G11" s="384"/>
      <c r="H11" s="384"/>
      <c r="I11" s="384"/>
      <c r="J11" s="384"/>
      <c r="K11" s="384"/>
      <c r="L11" s="384"/>
      <c r="M11" s="384"/>
      <c r="N11" s="384"/>
      <c r="O11" s="384"/>
      <c r="P11" s="385"/>
    </row>
    <row r="12" spans="2:16" ht="5.25" customHeight="1">
      <c r="B12" s="382"/>
      <c r="C12" s="386"/>
      <c r="D12" s="384"/>
      <c r="E12" s="384"/>
      <c r="F12" s="384"/>
      <c r="G12" s="391"/>
      <c r="H12" s="391"/>
      <c r="I12" s="391"/>
      <c r="J12" s="391"/>
      <c r="K12" s="391"/>
      <c r="L12" s="391"/>
      <c r="M12" s="391"/>
      <c r="N12" s="391"/>
      <c r="O12" s="391"/>
      <c r="P12" s="385"/>
    </row>
    <row r="13" spans="2:16">
      <c r="B13" s="382"/>
      <c r="C13" s="386" t="s">
        <v>249</v>
      </c>
      <c r="D13" s="384" t="s">
        <v>1449</v>
      </c>
      <c r="E13" s="384"/>
      <c r="F13" s="384"/>
      <c r="G13" s="391"/>
      <c r="H13" s="391"/>
      <c r="I13" s="391"/>
      <c r="J13" s="391"/>
      <c r="K13" s="391"/>
      <c r="L13" s="391"/>
      <c r="M13" s="391"/>
      <c r="N13" s="391"/>
      <c r="O13" s="391"/>
      <c r="P13" s="385"/>
    </row>
    <row r="14" spans="2:16">
      <c r="B14" s="382"/>
      <c r="C14" s="386"/>
      <c r="D14" s="384" t="s">
        <v>1450</v>
      </c>
      <c r="E14" s="384"/>
      <c r="F14" s="384"/>
      <c r="G14" s="391"/>
      <c r="H14" s="391"/>
      <c r="I14" s="391"/>
      <c r="J14" s="391"/>
      <c r="K14" s="391"/>
      <c r="L14" s="391"/>
      <c r="M14" s="391"/>
      <c r="N14" s="391"/>
      <c r="O14" s="391"/>
      <c r="P14" s="385"/>
    </row>
    <row r="15" spans="2:16">
      <c r="B15" s="382"/>
      <c r="C15" s="386"/>
      <c r="D15" s="384" t="s">
        <v>1451</v>
      </c>
      <c r="E15" s="384"/>
      <c r="F15" s="384"/>
      <c r="G15" s="391"/>
      <c r="H15" s="391"/>
      <c r="I15" s="391"/>
      <c r="J15" s="391"/>
      <c r="K15" s="391"/>
      <c r="L15" s="391"/>
      <c r="M15" s="391"/>
      <c r="N15" s="391"/>
      <c r="O15" s="391"/>
      <c r="P15" s="385"/>
    </row>
    <row r="16" spans="2:16">
      <c r="B16" s="382"/>
      <c r="C16" s="386"/>
      <c r="D16" s="386" t="s">
        <v>1288</v>
      </c>
      <c r="E16" s="384" t="s">
        <v>1300</v>
      </c>
      <c r="F16" s="384"/>
      <c r="G16" s="391">
        <v>0</v>
      </c>
      <c r="H16" s="391">
        <v>0</v>
      </c>
      <c r="I16" s="391">
        <v>0</v>
      </c>
      <c r="J16" s="391">
        <v>0</v>
      </c>
      <c r="K16" s="391">
        <v>0</v>
      </c>
      <c r="L16" s="391">
        <v>0</v>
      </c>
      <c r="M16" s="391">
        <v>0</v>
      </c>
      <c r="N16" s="391">
        <v>0</v>
      </c>
      <c r="O16" s="391">
        <v>0</v>
      </c>
      <c r="P16" s="385"/>
    </row>
    <row r="17" spans="2:16">
      <c r="B17" s="382"/>
      <c r="C17" s="386"/>
      <c r="D17" s="386" t="s">
        <v>1290</v>
      </c>
      <c r="E17" s="384" t="s">
        <v>1304</v>
      </c>
      <c r="F17" s="384"/>
      <c r="G17" s="391">
        <f>[17]CMA!E322</f>
        <v>0</v>
      </c>
      <c r="H17" s="391">
        <f>[17]CMA!F322</f>
        <v>0</v>
      </c>
      <c r="I17" s="391">
        <f>[17]CMA!G322</f>
        <v>0</v>
      </c>
      <c r="J17" s="391">
        <f>[17]CMA!H322</f>
        <v>0</v>
      </c>
      <c r="K17" s="391">
        <f>[17]CMA!I322</f>
        <v>0</v>
      </c>
      <c r="L17" s="391">
        <f>[17]CMA!J322</f>
        <v>0</v>
      </c>
      <c r="M17" s="391">
        <f>[17]CMA!K322</f>
        <v>0</v>
      </c>
      <c r="N17" s="391">
        <f>[17]CMA!L322</f>
        <v>0</v>
      </c>
      <c r="O17" s="391">
        <f>[17]CMA!M322</f>
        <v>0</v>
      </c>
      <c r="P17" s="385"/>
    </row>
    <row r="18" spans="2:16">
      <c r="B18" s="382"/>
      <c r="C18" s="386"/>
      <c r="D18" s="384" t="s">
        <v>1452</v>
      </c>
      <c r="E18" s="384"/>
      <c r="F18" s="384"/>
      <c r="G18" s="391"/>
      <c r="H18" s="391"/>
      <c r="I18" s="391"/>
      <c r="J18" s="391"/>
      <c r="K18" s="391"/>
      <c r="L18" s="391"/>
      <c r="M18" s="391"/>
      <c r="N18" s="391"/>
      <c r="O18" s="391"/>
      <c r="P18" s="385"/>
    </row>
    <row r="19" spans="2:16">
      <c r="B19" s="382"/>
      <c r="C19" s="386"/>
      <c r="D19" s="386" t="s">
        <v>1288</v>
      </c>
      <c r="E19" s="384" t="s">
        <v>1300</v>
      </c>
      <c r="F19" s="384"/>
      <c r="G19" s="391">
        <v>0</v>
      </c>
      <c r="H19" s="391">
        <v>0</v>
      </c>
      <c r="I19" s="391">
        <v>0</v>
      </c>
      <c r="J19" s="391">
        <v>0</v>
      </c>
      <c r="K19" s="391">
        <v>0</v>
      </c>
      <c r="L19" s="391">
        <v>0</v>
      </c>
      <c r="M19" s="391">
        <v>0</v>
      </c>
      <c r="N19" s="391">
        <v>0</v>
      </c>
      <c r="O19" s="391">
        <v>0</v>
      </c>
      <c r="P19" s="385"/>
    </row>
    <row r="20" spans="2:16">
      <c r="B20" s="382"/>
      <c r="C20" s="386"/>
      <c r="D20" s="386" t="s">
        <v>1290</v>
      </c>
      <c r="E20" s="384" t="s">
        <v>1304</v>
      </c>
      <c r="F20" s="384"/>
      <c r="G20" s="391">
        <v>0</v>
      </c>
      <c r="H20" s="391">
        <v>0</v>
      </c>
      <c r="I20" s="391">
        <v>0</v>
      </c>
      <c r="J20" s="391">
        <v>0</v>
      </c>
      <c r="K20" s="391">
        <v>0</v>
      </c>
      <c r="L20" s="391">
        <v>0</v>
      </c>
      <c r="M20" s="391">
        <v>0</v>
      </c>
      <c r="N20" s="391">
        <v>0</v>
      </c>
      <c r="O20" s="391">
        <v>0</v>
      </c>
      <c r="P20" s="385"/>
    </row>
    <row r="21" spans="2:16" ht="6.75" customHeight="1">
      <c r="B21" s="382"/>
      <c r="C21" s="386"/>
      <c r="D21" s="384"/>
      <c r="E21" s="384"/>
      <c r="F21" s="384"/>
      <c r="G21" s="391"/>
      <c r="H21" s="391"/>
      <c r="I21" s="391"/>
      <c r="J21" s="391"/>
      <c r="K21" s="391"/>
      <c r="L21" s="391"/>
      <c r="M21" s="391"/>
      <c r="N21" s="391"/>
      <c r="O21" s="391"/>
      <c r="P21" s="385"/>
    </row>
    <row r="22" spans="2:16">
      <c r="B22" s="382"/>
      <c r="C22" s="386" t="s">
        <v>253</v>
      </c>
      <c r="D22" s="384" t="s">
        <v>1453</v>
      </c>
      <c r="E22" s="384"/>
      <c r="F22" s="384"/>
      <c r="G22" s="391"/>
      <c r="H22" s="391"/>
      <c r="I22" s="391"/>
      <c r="J22" s="391"/>
      <c r="K22" s="391"/>
      <c r="L22" s="391"/>
      <c r="M22" s="391"/>
      <c r="N22" s="391"/>
      <c r="O22" s="391"/>
      <c r="P22" s="385"/>
    </row>
    <row r="23" spans="2:16">
      <c r="B23" s="382"/>
      <c r="C23" s="386"/>
      <c r="D23" s="384" t="s">
        <v>1454</v>
      </c>
      <c r="E23" s="384"/>
      <c r="F23" s="384"/>
      <c r="G23" s="391"/>
      <c r="H23" s="391"/>
      <c r="I23" s="391"/>
      <c r="J23" s="391"/>
      <c r="K23" s="391"/>
      <c r="L23" s="391"/>
      <c r="M23" s="391"/>
      <c r="N23" s="391"/>
      <c r="O23" s="391"/>
      <c r="P23" s="385"/>
    </row>
    <row r="24" spans="2:16">
      <c r="B24" s="382"/>
      <c r="C24" s="386"/>
      <c r="D24" s="384" t="s">
        <v>1455</v>
      </c>
      <c r="E24" s="384"/>
      <c r="F24" s="384"/>
      <c r="G24" s="391"/>
      <c r="H24" s="391"/>
      <c r="I24" s="391"/>
      <c r="J24" s="391"/>
      <c r="K24" s="391"/>
      <c r="L24" s="391"/>
      <c r="M24" s="391"/>
      <c r="N24" s="391"/>
      <c r="O24" s="391"/>
      <c r="P24" s="385"/>
    </row>
    <row r="25" spans="2:16">
      <c r="B25" s="382"/>
      <c r="C25" s="386"/>
      <c r="D25" s="386" t="s">
        <v>1288</v>
      </c>
      <c r="E25" s="384" t="s">
        <v>1300</v>
      </c>
      <c r="F25" s="384"/>
      <c r="G25" s="391">
        <v>0</v>
      </c>
      <c r="H25" s="391">
        <v>0</v>
      </c>
      <c r="I25" s="391">
        <v>0</v>
      </c>
      <c r="J25" s="391">
        <v>0</v>
      </c>
      <c r="K25" s="391">
        <v>0</v>
      </c>
      <c r="L25" s="391">
        <v>0</v>
      </c>
      <c r="M25" s="391">
        <v>0</v>
      </c>
      <c r="N25" s="391">
        <v>0</v>
      </c>
      <c r="O25" s="391">
        <v>0</v>
      </c>
      <c r="P25" s="385"/>
    </row>
    <row r="26" spans="2:16">
      <c r="B26" s="382"/>
      <c r="C26" s="386"/>
      <c r="D26" s="386" t="s">
        <v>1290</v>
      </c>
      <c r="E26" s="384" t="s">
        <v>1304</v>
      </c>
      <c r="F26" s="384"/>
      <c r="G26" s="391" t="e">
        <f>BS_ANLYSIS!J115</f>
        <v>#REF!</v>
      </c>
      <c r="H26" s="391" t="e">
        <f>BS_ANLYSIS!K115</f>
        <v>#REF!</v>
      </c>
      <c r="I26" s="391" t="e">
        <f>BS_ANLYSIS!L115</f>
        <v>#REF!</v>
      </c>
      <c r="J26" s="391" t="e">
        <f>BS_ANLYSIS!M115</f>
        <v>#REF!</v>
      </c>
      <c r="K26" s="391" t="e">
        <f>BS_ANLYSIS!N115</f>
        <v>#REF!</v>
      </c>
      <c r="L26" s="391" t="e">
        <f>BS_ANLYSIS!O115</f>
        <v>#REF!</v>
      </c>
      <c r="M26" s="391" t="e">
        <f>BS_ANLYSIS!P115</f>
        <v>#REF!</v>
      </c>
      <c r="N26" s="391" t="e">
        <f>BS_ANLYSIS!Q115</f>
        <v>#REF!</v>
      </c>
      <c r="O26" s="391" t="e">
        <f>BS_ANLYSIS!R115</f>
        <v>#REF!</v>
      </c>
      <c r="P26" s="385"/>
    </row>
    <row r="27" spans="2:16">
      <c r="B27" s="382"/>
      <c r="C27" s="386"/>
      <c r="D27" s="384" t="s">
        <v>1452</v>
      </c>
      <c r="E27" s="384"/>
      <c r="F27" s="384"/>
      <c r="G27" s="391"/>
      <c r="H27" s="391"/>
      <c r="I27" s="391"/>
      <c r="J27" s="391"/>
      <c r="K27" s="391"/>
      <c r="L27" s="391"/>
      <c r="M27" s="391"/>
      <c r="N27" s="391"/>
      <c r="O27" s="391"/>
      <c r="P27" s="385"/>
    </row>
    <row r="28" spans="2:16">
      <c r="B28" s="382"/>
      <c r="C28" s="386"/>
      <c r="D28" s="386" t="s">
        <v>1288</v>
      </c>
      <c r="E28" s="384" t="s">
        <v>1300</v>
      </c>
      <c r="F28" s="384"/>
      <c r="G28" s="391">
        <v>0</v>
      </c>
      <c r="H28" s="391">
        <v>0</v>
      </c>
      <c r="I28" s="391">
        <v>0</v>
      </c>
      <c r="J28" s="391">
        <v>0</v>
      </c>
      <c r="K28" s="391">
        <v>0</v>
      </c>
      <c r="L28" s="391">
        <v>0</v>
      </c>
      <c r="M28" s="391">
        <v>0</v>
      </c>
      <c r="N28" s="391">
        <v>0</v>
      </c>
      <c r="O28" s="391">
        <v>0</v>
      </c>
      <c r="P28" s="385"/>
    </row>
    <row r="29" spans="2:16">
      <c r="B29" s="382"/>
      <c r="C29" s="386"/>
      <c r="D29" s="386" t="s">
        <v>1290</v>
      </c>
      <c r="E29" s="384" t="s">
        <v>1304</v>
      </c>
      <c r="F29" s="384"/>
      <c r="G29" s="391">
        <v>0</v>
      </c>
      <c r="H29" s="391">
        <v>0</v>
      </c>
      <c r="I29" s="391">
        <v>0</v>
      </c>
      <c r="J29" s="391">
        <v>0</v>
      </c>
      <c r="K29" s="391">
        <v>0</v>
      </c>
      <c r="L29" s="391">
        <v>0</v>
      </c>
      <c r="M29" s="391">
        <v>0</v>
      </c>
      <c r="N29" s="391">
        <v>0</v>
      </c>
      <c r="O29" s="391">
        <v>0</v>
      </c>
      <c r="P29" s="385"/>
    </row>
    <row r="30" spans="2:16" ht="5.25" customHeight="1">
      <c r="B30" s="382"/>
      <c r="C30" s="386"/>
      <c r="D30" s="384"/>
      <c r="E30" s="384"/>
      <c r="F30" s="384"/>
      <c r="G30" s="391"/>
      <c r="H30" s="391"/>
      <c r="I30" s="391"/>
      <c r="J30" s="391"/>
      <c r="K30" s="391"/>
      <c r="L30" s="391"/>
      <c r="M30" s="391"/>
      <c r="N30" s="391"/>
      <c r="O30" s="391"/>
      <c r="P30" s="385"/>
    </row>
    <row r="31" spans="2:16">
      <c r="B31" s="382"/>
      <c r="C31" s="386" t="s">
        <v>256</v>
      </c>
      <c r="D31" s="384" t="s">
        <v>1456</v>
      </c>
      <c r="E31" s="384"/>
      <c r="F31" s="384"/>
      <c r="G31" s="391">
        <f>BS_ANLYSIS!J111</f>
        <v>0</v>
      </c>
      <c r="H31" s="391">
        <f>BS_ANLYSIS!K111</f>
        <v>0</v>
      </c>
      <c r="I31" s="391">
        <f>BS_ANLYSIS!L111</f>
        <v>0</v>
      </c>
      <c r="J31" s="391">
        <f>BS_ANLYSIS!M111</f>
        <v>0</v>
      </c>
      <c r="K31" s="391">
        <f>BS_ANLYSIS!N111</f>
        <v>0</v>
      </c>
      <c r="L31" s="391">
        <f>BS_ANLYSIS!O111</f>
        <v>0</v>
      </c>
      <c r="M31" s="391">
        <f>BS_ANLYSIS!P111</f>
        <v>0</v>
      </c>
      <c r="N31" s="391">
        <f>BS_ANLYSIS!Q111</f>
        <v>0</v>
      </c>
      <c r="O31" s="391">
        <f>BS_ANLYSIS!R111</f>
        <v>0</v>
      </c>
      <c r="P31" s="385"/>
    </row>
    <row r="32" spans="2:16">
      <c r="B32" s="382"/>
      <c r="C32" s="386"/>
      <c r="D32" s="384" t="s">
        <v>1457</v>
      </c>
      <c r="E32" s="384"/>
      <c r="F32" s="384"/>
      <c r="G32" s="391" t="e">
        <f>G31*12/OP_STATEMENT!G39</f>
        <v>#REF!</v>
      </c>
      <c r="H32" s="391" t="e">
        <f>H31*12/OP_STATEMENT!H39</f>
        <v>#REF!</v>
      </c>
      <c r="I32" s="391" t="e">
        <f>I31*12/OP_STATEMENT!I39</f>
        <v>#REF!</v>
      </c>
      <c r="J32" s="391" t="e">
        <f>J31*12/OP_STATEMENT!J39</f>
        <v>#REF!</v>
      </c>
      <c r="K32" s="391" t="e">
        <f>K31*12/OP_STATEMENT!K39</f>
        <v>#REF!</v>
      </c>
      <c r="L32" s="391" t="e">
        <f>L31*12/OP_STATEMENT!L39</f>
        <v>#REF!</v>
      </c>
      <c r="M32" s="391" t="e">
        <f>M31*12/OP_STATEMENT!M39</f>
        <v>#REF!</v>
      </c>
      <c r="N32" s="391" t="e">
        <f>N31*12/OP_STATEMENT!N39</f>
        <v>#REF!</v>
      </c>
      <c r="O32" s="391" t="e">
        <f>O31*12/OP_STATEMENT!O39</f>
        <v>#REF!</v>
      </c>
      <c r="P32" s="385"/>
    </row>
    <row r="33" spans="2:16" ht="3" customHeight="1">
      <c r="B33" s="382"/>
      <c r="C33" s="386"/>
      <c r="D33" s="384"/>
      <c r="E33" s="384"/>
      <c r="F33" s="384"/>
      <c r="G33" s="391"/>
      <c r="H33" s="391"/>
      <c r="I33" s="391"/>
      <c r="J33" s="391"/>
      <c r="K33" s="391"/>
      <c r="L33" s="391"/>
      <c r="M33" s="391"/>
      <c r="N33" s="391"/>
      <c r="O33" s="391"/>
      <c r="P33" s="385"/>
    </row>
    <row r="34" spans="2:16">
      <c r="B34" s="382"/>
      <c r="C34" s="386" t="s">
        <v>263</v>
      </c>
      <c r="D34" s="384" t="s">
        <v>1119</v>
      </c>
      <c r="E34" s="384"/>
      <c r="F34" s="384"/>
      <c r="G34" s="391">
        <v>0</v>
      </c>
      <c r="H34" s="391">
        <v>0</v>
      </c>
      <c r="I34" s="391">
        <v>0</v>
      </c>
      <c r="J34" s="391">
        <v>0</v>
      </c>
      <c r="K34" s="391">
        <v>0</v>
      </c>
      <c r="L34" s="391">
        <v>0</v>
      </c>
      <c r="M34" s="391">
        <v>0</v>
      </c>
      <c r="N34" s="391">
        <v>0</v>
      </c>
      <c r="O34" s="391">
        <v>0</v>
      </c>
      <c r="P34" s="385"/>
    </row>
    <row r="35" spans="2:16">
      <c r="B35" s="382"/>
      <c r="C35" s="386"/>
      <c r="D35" s="384" t="s">
        <v>1458</v>
      </c>
      <c r="E35" s="384"/>
      <c r="F35" s="384"/>
      <c r="G35" s="391">
        <v>0</v>
      </c>
      <c r="H35" s="391">
        <v>0</v>
      </c>
      <c r="I35" s="391">
        <v>0</v>
      </c>
      <c r="J35" s="391">
        <v>0</v>
      </c>
      <c r="K35" s="391">
        <v>0</v>
      </c>
      <c r="L35" s="391">
        <v>0</v>
      </c>
      <c r="M35" s="391">
        <v>0</v>
      </c>
      <c r="N35" s="391">
        <v>0</v>
      </c>
      <c r="O35" s="391">
        <v>0</v>
      </c>
      <c r="P35" s="385"/>
    </row>
    <row r="36" spans="2:16" ht="4.5" customHeight="1">
      <c r="B36" s="382"/>
      <c r="C36" s="386"/>
      <c r="D36" s="384"/>
      <c r="E36" s="384"/>
      <c r="F36" s="384"/>
      <c r="G36" s="391"/>
      <c r="H36" s="391"/>
      <c r="I36" s="391"/>
      <c r="J36" s="391"/>
      <c r="K36" s="391"/>
      <c r="L36" s="391"/>
      <c r="M36" s="391"/>
      <c r="N36" s="391"/>
      <c r="O36" s="391"/>
      <c r="P36" s="385"/>
    </row>
    <row r="37" spans="2:16">
      <c r="B37" s="382"/>
      <c r="C37" s="386"/>
      <c r="D37" s="384" t="s">
        <v>1459</v>
      </c>
      <c r="E37" s="384"/>
      <c r="F37" s="384"/>
      <c r="G37" s="391">
        <v>0</v>
      </c>
      <c r="H37" s="391">
        <v>0</v>
      </c>
      <c r="I37" s="391">
        <v>0</v>
      </c>
      <c r="J37" s="391">
        <v>0</v>
      </c>
      <c r="K37" s="391">
        <v>0</v>
      </c>
      <c r="L37" s="391">
        <v>0</v>
      </c>
      <c r="M37" s="391">
        <v>0</v>
      </c>
      <c r="N37" s="391">
        <v>0</v>
      </c>
      <c r="O37" s="391">
        <v>0</v>
      </c>
      <c r="P37" s="385"/>
    </row>
    <row r="38" spans="2:16">
      <c r="B38" s="382"/>
      <c r="C38" s="386"/>
      <c r="D38" s="384" t="s">
        <v>1458</v>
      </c>
      <c r="E38" s="384"/>
      <c r="F38" s="384"/>
      <c r="G38" s="391">
        <v>0</v>
      </c>
      <c r="H38" s="391">
        <v>0</v>
      </c>
      <c r="I38" s="391">
        <v>0</v>
      </c>
      <c r="J38" s="391">
        <v>0</v>
      </c>
      <c r="K38" s="391">
        <v>0</v>
      </c>
      <c r="L38" s="391">
        <v>0</v>
      </c>
      <c r="M38" s="391">
        <v>0</v>
      </c>
      <c r="N38" s="391">
        <v>0</v>
      </c>
      <c r="O38" s="391">
        <v>0</v>
      </c>
      <c r="P38" s="385"/>
    </row>
    <row r="39" spans="2:16" ht="3" customHeight="1">
      <c r="B39" s="382"/>
      <c r="C39" s="386"/>
      <c r="D39" s="384"/>
      <c r="E39" s="384"/>
      <c r="F39" s="384"/>
      <c r="G39" s="391"/>
      <c r="H39" s="391"/>
      <c r="I39" s="391"/>
      <c r="J39" s="391"/>
      <c r="K39" s="391"/>
      <c r="L39" s="391"/>
      <c r="M39" s="391"/>
      <c r="N39" s="391"/>
      <c r="O39" s="391"/>
      <c r="P39" s="385"/>
    </row>
    <row r="40" spans="2:16">
      <c r="B40" s="382"/>
      <c r="C40" s="386" t="s">
        <v>272</v>
      </c>
      <c r="D40" s="384" t="s">
        <v>1460</v>
      </c>
      <c r="E40" s="384"/>
      <c r="F40" s="384"/>
      <c r="G40" s="391" t="e">
        <f>BS_ANLYSIS!J97</f>
        <v>#REF!</v>
      </c>
      <c r="H40" s="391" t="e">
        <f>BS_ANLYSIS!K97</f>
        <v>#REF!</v>
      </c>
      <c r="I40" s="391" t="e">
        <f>BS_ANLYSIS!L97</f>
        <v>#REF!</v>
      </c>
      <c r="J40" s="391" t="e">
        <f>BS_ANLYSIS!M97</f>
        <v>#REF!</v>
      </c>
      <c r="K40" s="391" t="e">
        <f>BS_ANLYSIS!N97</f>
        <v>#REF!</v>
      </c>
      <c r="L40" s="391" t="e">
        <f>BS_ANLYSIS!O97</f>
        <v>#REF!</v>
      </c>
      <c r="M40" s="391" t="e">
        <f>BS_ANLYSIS!P97</f>
        <v>#REF!</v>
      </c>
      <c r="N40" s="391" t="e">
        <f>BS_ANLYSIS!Q97</f>
        <v>#REF!</v>
      </c>
      <c r="O40" s="391" t="e">
        <f>BS_ANLYSIS!R97</f>
        <v>#REF!</v>
      </c>
      <c r="P40" s="385"/>
    </row>
    <row r="41" spans="2:16">
      <c r="B41" s="382"/>
      <c r="C41" s="386"/>
      <c r="D41" s="384" t="s">
        <v>1461</v>
      </c>
      <c r="E41" s="384"/>
      <c r="F41" s="384"/>
      <c r="G41" s="391"/>
      <c r="H41" s="391"/>
      <c r="I41" s="391"/>
      <c r="J41" s="391"/>
      <c r="K41" s="391"/>
      <c r="L41" s="391"/>
      <c r="M41" s="391"/>
      <c r="N41" s="391"/>
      <c r="O41" s="391"/>
      <c r="P41" s="385"/>
    </row>
    <row r="42" spans="2:16">
      <c r="B42" s="382"/>
      <c r="C42" s="386"/>
      <c r="D42" s="384" t="s">
        <v>1462</v>
      </c>
      <c r="E42" s="384"/>
      <c r="F42" s="384"/>
      <c r="G42" s="391"/>
      <c r="H42" s="391"/>
      <c r="I42" s="391"/>
      <c r="J42" s="391"/>
      <c r="K42" s="391"/>
      <c r="L42" s="391"/>
      <c r="M42" s="391"/>
      <c r="N42" s="391"/>
      <c r="O42" s="391"/>
      <c r="P42" s="385"/>
    </row>
    <row r="43" spans="2:16">
      <c r="B43" s="382"/>
      <c r="C43" s="386"/>
      <c r="D43" s="384" t="s">
        <v>1463</v>
      </c>
      <c r="E43" s="384"/>
      <c r="F43" s="384"/>
      <c r="G43" s="391"/>
      <c r="H43" s="391"/>
      <c r="I43" s="391"/>
      <c r="J43" s="391"/>
      <c r="K43" s="391"/>
      <c r="L43" s="391"/>
      <c r="M43" s="391"/>
      <c r="N43" s="391"/>
      <c r="O43" s="391"/>
      <c r="P43" s="385"/>
    </row>
    <row r="44" spans="2:16">
      <c r="B44" s="382"/>
      <c r="C44" s="386"/>
      <c r="D44" s="384" t="s">
        <v>1464</v>
      </c>
      <c r="E44" s="384"/>
      <c r="F44" s="384"/>
      <c r="G44" s="391" t="e">
        <f>G40*12/OP_STATEMENT!G15</f>
        <v>#REF!</v>
      </c>
      <c r="H44" s="391" t="e">
        <f>H40*12/OP_STATEMENT!H15</f>
        <v>#REF!</v>
      </c>
      <c r="I44" s="391" t="e">
        <f>I40*12/OP_STATEMENT!I15</f>
        <v>#REF!</v>
      </c>
      <c r="J44" s="391" t="e">
        <f>J40*12/OP_STATEMENT!J15</f>
        <v>#REF!</v>
      </c>
      <c r="K44" s="391" t="e">
        <f>K40*12/OP_STATEMENT!K15</f>
        <v>#REF!</v>
      </c>
      <c r="L44" s="391" t="e">
        <f>L40*12/OP_STATEMENT!L15</f>
        <v>#REF!</v>
      </c>
      <c r="M44" s="391" t="e">
        <f>M40*12/OP_STATEMENT!M15</f>
        <v>#REF!</v>
      </c>
      <c r="N44" s="391" t="e">
        <f>N40*12/OP_STATEMENT!N15</f>
        <v>#REF!</v>
      </c>
      <c r="O44" s="391" t="e">
        <f>O40*12/OP_STATEMENT!O15</f>
        <v>#REF!</v>
      </c>
      <c r="P44" s="385"/>
    </row>
    <row r="45" spans="2:16">
      <c r="B45" s="382"/>
      <c r="C45" s="386"/>
      <c r="D45" s="384" t="s">
        <v>1465</v>
      </c>
      <c r="E45" s="384"/>
      <c r="F45" s="384"/>
      <c r="G45" s="391"/>
      <c r="H45" s="391"/>
      <c r="I45" s="391"/>
      <c r="J45" s="391"/>
      <c r="K45" s="391"/>
      <c r="L45" s="391"/>
      <c r="M45" s="391"/>
      <c r="N45" s="391"/>
      <c r="O45" s="391"/>
      <c r="P45" s="385"/>
    </row>
    <row r="46" spans="2:16">
      <c r="B46" s="382"/>
      <c r="C46" s="386"/>
      <c r="D46" s="384" t="s">
        <v>1466</v>
      </c>
      <c r="E46" s="384"/>
      <c r="F46" s="384"/>
      <c r="G46" s="391"/>
      <c r="H46" s="391"/>
      <c r="I46" s="391"/>
      <c r="J46" s="391"/>
      <c r="K46" s="391"/>
      <c r="L46" s="391"/>
      <c r="M46" s="391"/>
      <c r="N46" s="391"/>
      <c r="O46" s="391"/>
      <c r="P46" s="385"/>
    </row>
    <row r="47" spans="2:16" ht="3.75" customHeight="1">
      <c r="B47" s="382"/>
      <c r="C47" s="386"/>
      <c r="D47" s="384"/>
      <c r="E47" s="384"/>
      <c r="F47" s="384"/>
      <c r="G47" s="391"/>
      <c r="H47" s="391"/>
      <c r="I47" s="391"/>
      <c r="J47" s="391"/>
      <c r="K47" s="391"/>
      <c r="L47" s="391"/>
      <c r="M47" s="391"/>
      <c r="N47" s="391"/>
      <c r="O47" s="391"/>
      <c r="P47" s="385"/>
    </row>
    <row r="48" spans="2:16">
      <c r="B48" s="382"/>
      <c r="C48" s="386" t="s">
        <v>274</v>
      </c>
      <c r="D48" s="384" t="s">
        <v>1467</v>
      </c>
      <c r="E48" s="384"/>
      <c r="F48" s="384"/>
      <c r="G48" s="391">
        <v>0</v>
      </c>
      <c r="H48" s="391">
        <v>0</v>
      </c>
      <c r="I48" s="391">
        <v>0</v>
      </c>
      <c r="J48" s="391">
        <v>0</v>
      </c>
      <c r="K48" s="391">
        <v>0</v>
      </c>
      <c r="L48" s="391">
        <v>0</v>
      </c>
      <c r="M48" s="391">
        <v>0</v>
      </c>
      <c r="N48" s="391">
        <v>0</v>
      </c>
      <c r="O48" s="391">
        <v>0</v>
      </c>
      <c r="P48" s="385"/>
    </row>
    <row r="49" spans="2:26">
      <c r="B49" s="382"/>
      <c r="C49" s="386"/>
      <c r="D49" s="384" t="s">
        <v>1462</v>
      </c>
      <c r="E49" s="384"/>
      <c r="F49" s="384"/>
      <c r="G49" s="391"/>
      <c r="H49" s="391"/>
      <c r="I49" s="391"/>
      <c r="J49" s="391"/>
      <c r="K49" s="391"/>
      <c r="L49" s="391"/>
      <c r="M49" s="391"/>
      <c r="N49" s="391"/>
      <c r="O49" s="391"/>
      <c r="P49" s="385"/>
    </row>
    <row r="50" spans="2:26">
      <c r="B50" s="382"/>
      <c r="C50" s="386"/>
      <c r="D50" s="384" t="s">
        <v>1463</v>
      </c>
      <c r="E50" s="384"/>
      <c r="F50" s="384"/>
      <c r="G50" s="391"/>
      <c r="H50" s="391"/>
      <c r="I50" s="391"/>
      <c r="J50" s="391"/>
      <c r="K50" s="391"/>
      <c r="L50" s="391"/>
      <c r="M50" s="391"/>
      <c r="N50" s="391"/>
      <c r="O50" s="391"/>
      <c r="P50" s="385"/>
    </row>
    <row r="51" spans="2:26">
      <c r="B51" s="382"/>
      <c r="C51" s="386"/>
      <c r="D51" s="384" t="s">
        <v>1468</v>
      </c>
      <c r="E51" s="384"/>
      <c r="F51" s="384"/>
      <c r="G51" s="391">
        <v>0</v>
      </c>
      <c r="H51" s="391">
        <v>0</v>
      </c>
      <c r="I51" s="391">
        <v>0</v>
      </c>
      <c r="J51" s="391">
        <v>0</v>
      </c>
      <c r="K51" s="391">
        <v>0</v>
      </c>
      <c r="L51" s="391">
        <v>0</v>
      </c>
      <c r="M51" s="391">
        <v>0</v>
      </c>
      <c r="N51" s="391">
        <v>0</v>
      </c>
      <c r="O51" s="391">
        <v>0</v>
      </c>
      <c r="P51" s="385"/>
    </row>
    <row r="52" spans="2:26" ht="4.5" customHeight="1">
      <c r="B52" s="382"/>
      <c r="C52" s="386"/>
      <c r="D52" s="384"/>
      <c r="E52" s="384"/>
      <c r="F52" s="384"/>
      <c r="G52" s="391"/>
      <c r="H52" s="391"/>
      <c r="I52" s="391"/>
      <c r="J52" s="391"/>
      <c r="K52" s="391"/>
      <c r="L52" s="391"/>
      <c r="M52" s="391"/>
      <c r="N52" s="391"/>
      <c r="O52" s="391"/>
      <c r="P52" s="385"/>
    </row>
    <row r="53" spans="2:26">
      <c r="B53" s="382"/>
      <c r="C53" s="386" t="s">
        <v>1469</v>
      </c>
      <c r="D53" s="384" t="s">
        <v>1470</v>
      </c>
      <c r="E53" s="384"/>
      <c r="F53" s="384"/>
      <c r="G53" s="391">
        <f>BS_ANLYSIS!J118</f>
        <v>0</v>
      </c>
      <c r="H53" s="391">
        <f>BS_ANLYSIS!K118</f>
        <v>0</v>
      </c>
      <c r="I53" s="391">
        <f>BS_ANLYSIS!L118</f>
        <v>0</v>
      </c>
      <c r="J53" s="391">
        <f>BS_ANLYSIS!M118</f>
        <v>0</v>
      </c>
      <c r="K53" s="391">
        <f>BS_ANLYSIS!N118</f>
        <v>0</v>
      </c>
      <c r="L53" s="391">
        <f>BS_ANLYSIS!O118</f>
        <v>0</v>
      </c>
      <c r="M53" s="391">
        <f>BS_ANLYSIS!P118</f>
        <v>0</v>
      </c>
      <c r="N53" s="391">
        <f>BS_ANLYSIS!Q118</f>
        <v>0</v>
      </c>
      <c r="O53" s="391">
        <f>BS_ANLYSIS!R118</f>
        <v>0</v>
      </c>
      <c r="P53" s="385"/>
    </row>
    <row r="54" spans="2:26">
      <c r="B54" s="382"/>
      <c r="C54" s="386"/>
      <c r="D54" s="384" t="s">
        <v>1471</v>
      </c>
      <c r="E54" s="384"/>
      <c r="F54" s="384"/>
      <c r="G54" s="391"/>
      <c r="H54" s="391"/>
      <c r="I54" s="391"/>
      <c r="J54" s="391"/>
      <c r="K54" s="391"/>
      <c r="L54" s="391"/>
      <c r="M54" s="391"/>
      <c r="N54" s="391"/>
      <c r="O54" s="391"/>
      <c r="P54" s="385"/>
    </row>
    <row r="55" spans="2:26">
      <c r="B55" s="382"/>
      <c r="C55" s="386"/>
      <c r="D55" s="384" t="s">
        <v>1472</v>
      </c>
      <c r="E55" s="384"/>
      <c r="F55" s="384"/>
      <c r="G55" s="391"/>
      <c r="H55" s="391"/>
      <c r="I55" s="391"/>
      <c r="J55" s="391"/>
      <c r="K55" s="391"/>
      <c r="L55" s="391"/>
      <c r="M55" s="391"/>
      <c r="N55" s="391"/>
      <c r="O55" s="391"/>
      <c r="P55" s="385"/>
    </row>
    <row r="56" spans="2:26" ht="3.75" customHeight="1">
      <c r="B56" s="382"/>
      <c r="C56" s="386"/>
      <c r="D56" s="384"/>
      <c r="E56" s="384"/>
      <c r="F56" s="384"/>
      <c r="G56" s="391"/>
      <c r="H56" s="391"/>
      <c r="I56" s="391"/>
      <c r="J56" s="391"/>
      <c r="K56" s="391"/>
      <c r="L56" s="391"/>
      <c r="M56" s="391"/>
      <c r="N56" s="391"/>
      <c r="O56" s="391"/>
      <c r="P56" s="385"/>
    </row>
    <row r="57" spans="2:26">
      <c r="B57" s="382"/>
      <c r="C57" s="386" t="s">
        <v>1473</v>
      </c>
      <c r="D57" s="384" t="s">
        <v>1474</v>
      </c>
      <c r="E57" s="384"/>
      <c r="F57" s="384"/>
      <c r="G57" s="391" t="e">
        <f>BS_ANLYSIS!J91+BS_ANLYSIS!J120+BS_ANLYSIS!J122</f>
        <v>#REF!</v>
      </c>
      <c r="H57" s="391" t="e">
        <f>BS_ANLYSIS!K91+BS_ANLYSIS!K120+BS_ANLYSIS!K122</f>
        <v>#REF!</v>
      </c>
      <c r="I57" s="391" t="e">
        <f>BS_ANLYSIS!L91+BS_ANLYSIS!L120+BS_ANLYSIS!L122</f>
        <v>#REF!</v>
      </c>
      <c r="J57" s="391" t="e">
        <f>BS_ANLYSIS!M91+BS_ANLYSIS!M120+BS_ANLYSIS!M122</f>
        <v>#REF!</v>
      </c>
      <c r="K57" s="391" t="e">
        <f>BS_ANLYSIS!N91+BS_ANLYSIS!N120+BS_ANLYSIS!N122</f>
        <v>#REF!</v>
      </c>
      <c r="L57" s="391" t="e">
        <f>BS_ANLYSIS!O91+BS_ANLYSIS!O120+BS_ANLYSIS!O122</f>
        <v>#REF!</v>
      </c>
      <c r="M57" s="391" t="e">
        <f>BS_ANLYSIS!P91+BS_ANLYSIS!P120+BS_ANLYSIS!P122</f>
        <v>#REF!</v>
      </c>
      <c r="N57" s="391" t="e">
        <f>BS_ANLYSIS!Q91+BS_ANLYSIS!Q120+BS_ANLYSIS!Q122</f>
        <v>#REF!</v>
      </c>
      <c r="O57" s="391" t="e">
        <f>BS_ANLYSIS!R91+BS_ANLYSIS!R120+BS_ANLYSIS!R122</f>
        <v>#REF!</v>
      </c>
      <c r="P57" s="385"/>
    </row>
    <row r="58" spans="2:26">
      <c r="B58" s="382"/>
      <c r="C58" s="386"/>
      <c r="D58" s="384" t="s">
        <v>1475</v>
      </c>
      <c r="E58" s="384"/>
      <c r="F58" s="384"/>
      <c r="G58" s="391"/>
      <c r="H58" s="391"/>
      <c r="I58" s="391"/>
      <c r="J58" s="391"/>
      <c r="K58" s="391"/>
      <c r="L58" s="391"/>
      <c r="M58" s="391"/>
      <c r="N58" s="391"/>
      <c r="O58" s="391"/>
      <c r="P58" s="385"/>
    </row>
    <row r="59" spans="2:26">
      <c r="B59" s="382"/>
      <c r="C59" s="386"/>
      <c r="D59" s="384" t="s">
        <v>1476</v>
      </c>
      <c r="E59" s="384"/>
      <c r="F59" s="384"/>
      <c r="G59" s="391"/>
      <c r="H59" s="391"/>
      <c r="I59" s="391"/>
      <c r="J59" s="391"/>
      <c r="K59" s="391"/>
      <c r="L59" s="391"/>
      <c r="M59" s="391"/>
      <c r="N59" s="391"/>
      <c r="O59" s="391"/>
      <c r="P59" s="385"/>
    </row>
    <row r="60" spans="2:26">
      <c r="B60" s="382"/>
      <c r="C60" s="386"/>
      <c r="D60" s="384" t="s">
        <v>1153</v>
      </c>
      <c r="E60" s="384"/>
      <c r="F60" s="384"/>
      <c r="G60" s="391"/>
      <c r="H60" s="391"/>
      <c r="I60" s="391"/>
      <c r="J60" s="391"/>
      <c r="K60" s="391"/>
      <c r="L60" s="391"/>
      <c r="M60" s="391"/>
      <c r="N60" s="391"/>
      <c r="O60" s="391"/>
      <c r="P60" s="385"/>
    </row>
    <row r="61" spans="2:26" ht="3" customHeight="1">
      <c r="B61" s="382"/>
      <c r="C61" s="386"/>
      <c r="D61" s="384"/>
      <c r="E61" s="384"/>
      <c r="F61" s="384"/>
      <c r="G61" s="391"/>
      <c r="H61" s="391"/>
      <c r="I61" s="391"/>
      <c r="J61" s="391"/>
      <c r="K61" s="391"/>
      <c r="L61" s="391"/>
      <c r="M61" s="391"/>
      <c r="N61" s="391"/>
      <c r="O61" s="391"/>
      <c r="P61" s="385"/>
    </row>
    <row r="62" spans="2:26">
      <c r="B62" s="382"/>
      <c r="C62" s="387" t="s">
        <v>1477</v>
      </c>
      <c r="D62" s="78" t="s">
        <v>359</v>
      </c>
      <c r="E62" s="78"/>
      <c r="F62" s="78"/>
      <c r="G62" s="356" t="e">
        <f t="shared" ref="G62:N62" si="0">SUM(G13:G61)-G19-G20-G28-G29-G32-G35-G38-G44-G51</f>
        <v>#REF!</v>
      </c>
      <c r="H62" s="356" t="e">
        <f t="shared" si="0"/>
        <v>#REF!</v>
      </c>
      <c r="I62" s="356" t="e">
        <f t="shared" si="0"/>
        <v>#REF!</v>
      </c>
      <c r="J62" s="356" t="e">
        <f t="shared" si="0"/>
        <v>#REF!</v>
      </c>
      <c r="K62" s="356" t="e">
        <f t="shared" si="0"/>
        <v>#REF!</v>
      </c>
      <c r="L62" s="356" t="e">
        <f t="shared" si="0"/>
        <v>#REF!</v>
      </c>
      <c r="M62" s="356" t="e">
        <f t="shared" si="0"/>
        <v>#REF!</v>
      </c>
      <c r="N62" s="356" t="e">
        <f t="shared" si="0"/>
        <v>#REF!</v>
      </c>
      <c r="O62" s="356" t="e">
        <f>SUM(O13:O61)-O19-O20-O28-O29-O32-O35-O38-O44-O51</f>
        <v>#REF!</v>
      </c>
      <c r="P62" s="385"/>
      <c r="S62" s="399" t="e">
        <f>BS_ANLYSIS!J124</f>
        <v>#REF!</v>
      </c>
      <c r="T62" s="399" t="e">
        <f>BS_ANLYSIS!K124</f>
        <v>#REF!</v>
      </c>
      <c r="U62" s="399" t="e">
        <f>BS_ANLYSIS!L124</f>
        <v>#REF!</v>
      </c>
      <c r="V62" s="399" t="e">
        <f>BS_ANLYSIS!M124</f>
        <v>#REF!</v>
      </c>
      <c r="W62" s="399" t="e">
        <f>BS_ANLYSIS!N124</f>
        <v>#REF!</v>
      </c>
      <c r="X62" s="399" t="e">
        <f>BS_ANLYSIS!O124</f>
        <v>#REF!</v>
      </c>
      <c r="Y62" s="399" t="e">
        <f>BS_ANLYSIS!P124</f>
        <v>#REF!</v>
      </c>
      <c r="Z62" s="399" t="e">
        <f>BS_ANLYSIS!Q124</f>
        <v>#REF!</v>
      </c>
    </row>
    <row r="63" spans="2:26" ht="5.25" customHeight="1">
      <c r="B63" s="382"/>
      <c r="C63" s="387"/>
      <c r="D63" s="78"/>
      <c r="E63" s="78"/>
      <c r="F63" s="78"/>
      <c r="G63" s="356"/>
      <c r="H63" s="356"/>
      <c r="I63" s="356"/>
      <c r="J63" s="356"/>
      <c r="K63" s="356"/>
      <c r="L63" s="356"/>
      <c r="M63" s="356"/>
      <c r="N63" s="356"/>
      <c r="O63" s="356"/>
      <c r="P63" s="385"/>
      <c r="S63" s="399" t="e">
        <f t="shared" ref="S63:Z63" si="1">G62-S62</f>
        <v>#REF!</v>
      </c>
      <c r="T63" s="399" t="e">
        <f t="shared" si="1"/>
        <v>#REF!</v>
      </c>
      <c r="U63" s="399" t="e">
        <f t="shared" si="1"/>
        <v>#REF!</v>
      </c>
      <c r="V63" s="399" t="e">
        <f t="shared" si="1"/>
        <v>#REF!</v>
      </c>
      <c r="W63" s="399" t="e">
        <f t="shared" si="1"/>
        <v>#REF!</v>
      </c>
      <c r="X63" s="399" t="e">
        <f t="shared" si="1"/>
        <v>#REF!</v>
      </c>
      <c r="Y63" s="399" t="e">
        <f t="shared" si="1"/>
        <v>#REF!</v>
      </c>
      <c r="Z63" s="399" t="e">
        <f t="shared" si="1"/>
        <v>#REF!</v>
      </c>
    </row>
    <row r="64" spans="2:26" ht="0.75" customHeight="1" thickBot="1">
      <c r="B64" s="392"/>
      <c r="C64" s="393"/>
      <c r="D64" s="394"/>
      <c r="E64" s="394"/>
      <c r="F64" s="394"/>
      <c r="G64" s="395"/>
      <c r="H64" s="395"/>
      <c r="I64" s="395"/>
      <c r="J64" s="395"/>
      <c r="K64" s="395"/>
      <c r="L64" s="395"/>
      <c r="M64" s="395"/>
      <c r="N64" s="395"/>
      <c r="O64" s="395"/>
      <c r="P64" s="396"/>
    </row>
    <row r="65" spans="2:16" ht="2.25" customHeight="1">
      <c r="B65" s="382"/>
      <c r="C65" s="386"/>
      <c r="D65" s="384"/>
      <c r="E65" s="384"/>
      <c r="F65" s="384"/>
      <c r="G65" s="391"/>
      <c r="H65" s="391"/>
      <c r="I65" s="391"/>
      <c r="J65" s="391"/>
      <c r="K65" s="391"/>
      <c r="L65" s="391"/>
      <c r="M65" s="391"/>
      <c r="N65" s="391"/>
      <c r="O65" s="391"/>
      <c r="P65" s="385"/>
    </row>
    <row r="66" spans="2:16">
      <c r="B66" s="382"/>
      <c r="C66" s="387" t="s">
        <v>631</v>
      </c>
      <c r="D66" s="78" t="s">
        <v>360</v>
      </c>
      <c r="E66" s="78"/>
      <c r="F66" s="78"/>
      <c r="G66" s="391"/>
      <c r="H66" s="391"/>
      <c r="I66" s="391"/>
      <c r="J66" s="391"/>
      <c r="K66" s="391"/>
      <c r="L66" s="391"/>
      <c r="M66" s="391"/>
      <c r="N66" s="391"/>
      <c r="O66" s="391"/>
      <c r="P66" s="385"/>
    </row>
    <row r="67" spans="2:16">
      <c r="B67" s="382"/>
      <c r="C67" s="386"/>
      <c r="D67" s="384" t="s">
        <v>1478</v>
      </c>
      <c r="E67" s="384"/>
      <c r="F67" s="384"/>
      <c r="G67" s="391"/>
      <c r="H67" s="391"/>
      <c r="I67" s="391"/>
      <c r="J67" s="391"/>
      <c r="K67" s="391"/>
      <c r="L67" s="391"/>
      <c r="M67" s="391"/>
      <c r="N67" s="391"/>
      <c r="O67" s="391"/>
      <c r="P67" s="385"/>
    </row>
    <row r="68" spans="2:16">
      <c r="B68" s="382"/>
      <c r="C68" s="386"/>
      <c r="D68" s="384" t="s">
        <v>1479</v>
      </c>
      <c r="E68" s="384"/>
      <c r="F68" s="384"/>
      <c r="G68" s="391"/>
      <c r="H68" s="391"/>
      <c r="I68" s="391"/>
      <c r="J68" s="391"/>
      <c r="K68" s="391"/>
      <c r="L68" s="391"/>
      <c r="M68" s="391"/>
      <c r="N68" s="391"/>
      <c r="O68" s="391"/>
      <c r="P68" s="385"/>
    </row>
    <row r="69" spans="2:16" ht="4.5" customHeight="1">
      <c r="B69" s="382"/>
      <c r="C69" s="386"/>
      <c r="D69" s="384"/>
      <c r="E69" s="384"/>
      <c r="F69" s="384"/>
      <c r="G69" s="391"/>
      <c r="H69" s="391"/>
      <c r="I69" s="391"/>
      <c r="J69" s="391"/>
      <c r="K69" s="391"/>
      <c r="L69" s="391"/>
      <c r="M69" s="391"/>
      <c r="N69" s="391"/>
      <c r="O69" s="391"/>
      <c r="P69" s="385"/>
    </row>
    <row r="70" spans="2:16">
      <c r="B70" s="382"/>
      <c r="C70" s="386" t="s">
        <v>1480</v>
      </c>
      <c r="D70" s="384" t="s">
        <v>1481</v>
      </c>
      <c r="E70" s="384"/>
      <c r="F70" s="384"/>
      <c r="G70" s="391" t="e">
        <f>BS_ANLYSIS!J23</f>
        <v>#REF!</v>
      </c>
      <c r="H70" s="391" t="e">
        <f>BS_ANLYSIS!K23</f>
        <v>#REF!</v>
      </c>
      <c r="I70" s="391" t="e">
        <f>BS_ANLYSIS!L23</f>
        <v>#REF!</v>
      </c>
      <c r="J70" s="391" t="e">
        <f>BS_ANLYSIS!M23</f>
        <v>#REF!</v>
      </c>
      <c r="K70" s="391" t="e">
        <f>BS_ANLYSIS!N23</f>
        <v>#REF!</v>
      </c>
      <c r="L70" s="391" t="e">
        <f>BS_ANLYSIS!O23</f>
        <v>#REF!</v>
      </c>
      <c r="M70" s="391" t="e">
        <f>BS_ANLYSIS!P23</f>
        <v>#REF!</v>
      </c>
      <c r="N70" s="391" t="e">
        <f>BS_ANLYSIS!Q23</f>
        <v>#REF!</v>
      </c>
      <c r="O70" s="391" t="e">
        <f>BS_ANLYSIS!R23</f>
        <v>#REF!</v>
      </c>
      <c r="P70" s="385"/>
    </row>
    <row r="71" spans="2:16">
      <c r="B71" s="382"/>
      <c r="C71" s="386"/>
      <c r="D71" s="384" t="s">
        <v>1482</v>
      </c>
      <c r="E71" s="384"/>
      <c r="F71" s="384"/>
      <c r="G71" s="391"/>
      <c r="H71" s="391"/>
      <c r="I71" s="391"/>
      <c r="J71" s="391"/>
      <c r="K71" s="391"/>
      <c r="L71" s="391"/>
      <c r="M71" s="391"/>
      <c r="N71" s="391"/>
      <c r="O71" s="391"/>
      <c r="P71" s="385"/>
    </row>
    <row r="72" spans="2:16">
      <c r="B72" s="382"/>
      <c r="C72" s="386"/>
      <c r="D72" s="384" t="s">
        <v>1483</v>
      </c>
      <c r="E72" s="384"/>
      <c r="F72" s="384"/>
      <c r="G72" s="391"/>
      <c r="H72" s="391"/>
      <c r="I72" s="391"/>
      <c r="J72" s="391"/>
      <c r="K72" s="391"/>
      <c r="L72" s="391"/>
      <c r="M72" s="391"/>
      <c r="N72" s="391"/>
      <c r="O72" s="391"/>
      <c r="P72" s="385"/>
    </row>
    <row r="73" spans="2:16">
      <c r="B73" s="382"/>
      <c r="C73" s="386"/>
      <c r="D73" s="384" t="s">
        <v>1484</v>
      </c>
      <c r="E73" s="384"/>
      <c r="F73" s="384"/>
      <c r="G73" s="391"/>
      <c r="H73" s="391"/>
      <c r="I73" s="391"/>
      <c r="J73" s="391"/>
      <c r="K73" s="391"/>
      <c r="L73" s="391"/>
      <c r="M73" s="391"/>
      <c r="N73" s="391"/>
      <c r="O73" s="391"/>
      <c r="P73" s="385"/>
    </row>
    <row r="74" spans="2:16" ht="3.75" customHeight="1">
      <c r="B74" s="382"/>
      <c r="C74" s="386"/>
      <c r="D74" s="384"/>
      <c r="E74" s="384"/>
      <c r="F74" s="384"/>
      <c r="G74" s="391"/>
      <c r="H74" s="391"/>
      <c r="I74" s="391"/>
      <c r="J74" s="391"/>
      <c r="K74" s="391"/>
      <c r="L74" s="391"/>
      <c r="M74" s="391"/>
      <c r="N74" s="391"/>
      <c r="O74" s="391"/>
      <c r="P74" s="385"/>
    </row>
    <row r="75" spans="2:16">
      <c r="B75" s="382"/>
      <c r="C75" s="386" t="s">
        <v>280</v>
      </c>
      <c r="D75" s="384" t="s">
        <v>1485</v>
      </c>
      <c r="E75" s="384"/>
      <c r="F75" s="384"/>
      <c r="G75" s="391">
        <f>BS_ANLYSIS!J26</f>
        <v>0</v>
      </c>
      <c r="H75" s="391">
        <f>BS_ANLYSIS!K26</f>
        <v>0</v>
      </c>
      <c r="I75" s="391">
        <f>BS_ANLYSIS!L26</f>
        <v>0</v>
      </c>
      <c r="J75" s="391">
        <f>BS_ANLYSIS!M26</f>
        <v>0</v>
      </c>
      <c r="K75" s="391">
        <f>BS_ANLYSIS!N26</f>
        <v>0</v>
      </c>
      <c r="L75" s="391">
        <f>BS_ANLYSIS!O26</f>
        <v>0</v>
      </c>
      <c r="M75" s="391">
        <f>BS_ANLYSIS!P26</f>
        <v>0</v>
      </c>
      <c r="N75" s="391">
        <f>BS_ANLYSIS!Q26</f>
        <v>0</v>
      </c>
      <c r="O75" s="391">
        <f>BS_ANLYSIS!R26</f>
        <v>0</v>
      </c>
      <c r="P75" s="385"/>
    </row>
    <row r="76" spans="2:16" ht="3.75" customHeight="1">
      <c r="B76" s="382"/>
      <c r="C76" s="386"/>
      <c r="D76" s="384"/>
      <c r="E76" s="384"/>
      <c r="F76" s="384"/>
      <c r="G76" s="391"/>
      <c r="H76" s="391"/>
      <c r="I76" s="391"/>
      <c r="J76" s="391"/>
      <c r="K76" s="391"/>
      <c r="L76" s="391"/>
      <c r="M76" s="391"/>
      <c r="N76" s="391"/>
      <c r="O76" s="391"/>
      <c r="P76" s="385"/>
    </row>
    <row r="77" spans="2:16">
      <c r="B77" s="382"/>
      <c r="C77" s="386" t="s">
        <v>283</v>
      </c>
      <c r="D77" s="384" t="s">
        <v>1151</v>
      </c>
      <c r="E77" s="384"/>
      <c r="F77" s="384"/>
      <c r="G77" s="391">
        <f>BS_ANLYSIS!J32</f>
        <v>0</v>
      </c>
      <c r="H77" s="391">
        <f>BS_ANLYSIS!K32</f>
        <v>0</v>
      </c>
      <c r="I77" s="391">
        <f>BS_ANLYSIS!L32</f>
        <v>0</v>
      </c>
      <c r="J77" s="391">
        <f>BS_ANLYSIS!M32</f>
        <v>0</v>
      </c>
      <c r="K77" s="391">
        <f>BS_ANLYSIS!N32</f>
        <v>0</v>
      </c>
      <c r="L77" s="391">
        <f>BS_ANLYSIS!O32</f>
        <v>0</v>
      </c>
      <c r="M77" s="391">
        <f>BS_ANLYSIS!P32</f>
        <v>0</v>
      </c>
      <c r="N77" s="391">
        <f>BS_ANLYSIS!Q32</f>
        <v>0</v>
      </c>
      <c r="O77" s="391">
        <f>BS_ANLYSIS!R32</f>
        <v>0</v>
      </c>
      <c r="P77" s="385"/>
    </row>
    <row r="78" spans="2:16" ht="4.5" customHeight="1">
      <c r="B78" s="382"/>
      <c r="C78" s="386"/>
      <c r="D78" s="384"/>
      <c r="E78" s="384"/>
      <c r="F78" s="384"/>
      <c r="G78" s="391"/>
      <c r="H78" s="391"/>
      <c r="I78" s="391"/>
      <c r="J78" s="391"/>
      <c r="K78" s="391"/>
      <c r="L78" s="391"/>
      <c r="M78" s="391"/>
      <c r="N78" s="391"/>
      <c r="O78" s="391"/>
      <c r="P78" s="385"/>
    </row>
    <row r="79" spans="2:16">
      <c r="B79" s="382"/>
      <c r="C79" s="386" t="s">
        <v>285</v>
      </c>
      <c r="D79" s="384" t="s">
        <v>1152</v>
      </c>
      <c r="E79" s="384"/>
      <c r="F79" s="384"/>
      <c r="G79" s="391">
        <v>0</v>
      </c>
      <c r="H79" s="391">
        <v>0</v>
      </c>
      <c r="I79" s="391">
        <v>0</v>
      </c>
      <c r="J79" s="391">
        <v>0</v>
      </c>
      <c r="K79" s="391">
        <v>0</v>
      </c>
      <c r="L79" s="391">
        <v>0</v>
      </c>
      <c r="M79" s="391">
        <v>0</v>
      </c>
      <c r="N79" s="391">
        <v>0</v>
      </c>
      <c r="O79" s="391">
        <v>0</v>
      </c>
      <c r="P79" s="385"/>
    </row>
    <row r="80" spans="2:16">
      <c r="B80" s="382"/>
      <c r="C80" s="386"/>
      <c r="D80" s="384" t="s">
        <v>1486</v>
      </c>
      <c r="E80" s="384"/>
      <c r="F80" s="384"/>
      <c r="G80" s="391">
        <v>0</v>
      </c>
      <c r="H80" s="391">
        <v>0</v>
      </c>
      <c r="I80" s="391">
        <v>0</v>
      </c>
      <c r="J80" s="391">
        <v>0</v>
      </c>
      <c r="K80" s="391">
        <v>0</v>
      </c>
      <c r="L80" s="391">
        <v>0</v>
      </c>
      <c r="M80" s="391">
        <v>0</v>
      </c>
      <c r="N80" s="391">
        <f>BS_ANLYSIS!Q21</f>
        <v>0</v>
      </c>
      <c r="O80" s="391">
        <f>BS_ANLYSIS!R21</f>
        <v>0</v>
      </c>
      <c r="P80" s="385"/>
    </row>
    <row r="81" spans="2:27">
      <c r="B81" s="382"/>
      <c r="C81" s="386"/>
      <c r="D81" s="384" t="s">
        <v>1487</v>
      </c>
      <c r="E81" s="384"/>
      <c r="F81" s="384"/>
      <c r="G81" s="391">
        <v>0</v>
      </c>
      <c r="H81" s="391">
        <v>0</v>
      </c>
      <c r="I81" s="391">
        <v>0</v>
      </c>
      <c r="J81" s="391">
        <v>0</v>
      </c>
      <c r="K81" s="391">
        <v>0</v>
      </c>
      <c r="L81" s="391">
        <v>0</v>
      </c>
      <c r="M81" s="391">
        <v>0</v>
      </c>
      <c r="N81" s="391">
        <v>0</v>
      </c>
      <c r="O81" s="391">
        <v>0</v>
      </c>
      <c r="P81" s="385"/>
    </row>
    <row r="82" spans="2:27">
      <c r="B82" s="382"/>
      <c r="C82" s="386"/>
      <c r="D82" s="384" t="s">
        <v>965</v>
      </c>
      <c r="E82" s="384"/>
      <c r="F82" s="384"/>
      <c r="G82" s="391">
        <v>0</v>
      </c>
      <c r="H82" s="391">
        <v>0</v>
      </c>
      <c r="I82" s="391">
        <v>0</v>
      </c>
      <c r="J82" s="391">
        <v>0</v>
      </c>
      <c r="K82" s="391">
        <v>0</v>
      </c>
      <c r="L82" s="391">
        <v>0</v>
      </c>
      <c r="M82" s="391">
        <v>0</v>
      </c>
      <c r="N82" s="391">
        <v>0</v>
      </c>
      <c r="O82" s="391">
        <v>0</v>
      </c>
      <c r="P82" s="385"/>
    </row>
    <row r="83" spans="2:27">
      <c r="B83" s="382"/>
      <c r="C83" s="386"/>
      <c r="D83" s="384" t="s">
        <v>1488</v>
      </c>
      <c r="E83" s="384"/>
      <c r="F83" s="384"/>
      <c r="G83" s="391">
        <f>BS_ANLYSIS!J35</f>
        <v>180</v>
      </c>
      <c r="H83" s="391">
        <f>BS_ANLYSIS!K35</f>
        <v>300</v>
      </c>
      <c r="I83" s="391">
        <f>BS_ANLYSIS!L35</f>
        <v>360</v>
      </c>
      <c r="J83" s="391">
        <f>BS_ANLYSIS!M35</f>
        <v>480</v>
      </c>
      <c r="K83" s="391">
        <f>BS_ANLYSIS!N35</f>
        <v>540</v>
      </c>
      <c r="L83" s="391">
        <f>BS_ANLYSIS!O35</f>
        <v>600</v>
      </c>
      <c r="M83" s="391">
        <f>BS_ANLYSIS!P35</f>
        <v>0</v>
      </c>
      <c r="N83" s="391">
        <f>BS_ANLYSIS!Q35</f>
        <v>0</v>
      </c>
      <c r="O83" s="391">
        <f>BS_ANLYSIS!R35</f>
        <v>0</v>
      </c>
      <c r="P83" s="385"/>
    </row>
    <row r="84" spans="2:27">
      <c r="B84" s="382"/>
      <c r="C84" s="386"/>
      <c r="D84" s="384" t="s">
        <v>1489</v>
      </c>
      <c r="E84" s="384"/>
      <c r="F84" s="384"/>
      <c r="G84" s="391">
        <f>BS_ANLYSIS!J28</f>
        <v>0</v>
      </c>
      <c r="H84" s="391">
        <f>BS_ANLYSIS!K28</f>
        <v>0</v>
      </c>
      <c r="I84" s="391">
        <f>BS_ANLYSIS!L28</f>
        <v>0</v>
      </c>
      <c r="J84" s="391">
        <f>BS_ANLYSIS!M28</f>
        <v>0</v>
      </c>
      <c r="K84" s="391">
        <f>BS_ANLYSIS!N28</f>
        <v>0</v>
      </c>
      <c r="L84" s="391">
        <f>BS_ANLYSIS!O28</f>
        <v>0</v>
      </c>
      <c r="M84" s="391">
        <f>BS_ANLYSIS!P28</f>
        <v>0</v>
      </c>
      <c r="N84" s="391">
        <f>BS_ANLYSIS!Q28</f>
        <v>0</v>
      </c>
      <c r="O84" s="391">
        <f>BS_ANLYSIS!R28</f>
        <v>0</v>
      </c>
      <c r="P84" s="385"/>
    </row>
    <row r="85" spans="2:27">
      <c r="B85" s="382"/>
      <c r="C85" s="386"/>
      <c r="D85" s="384" t="s">
        <v>1490</v>
      </c>
      <c r="E85" s="384"/>
      <c r="F85" s="384"/>
      <c r="G85" s="391">
        <v>0</v>
      </c>
      <c r="H85" s="391">
        <v>0</v>
      </c>
      <c r="I85" s="391">
        <v>0</v>
      </c>
      <c r="J85" s="391">
        <v>0</v>
      </c>
      <c r="K85" s="391">
        <v>0</v>
      </c>
      <c r="L85" s="391">
        <v>0</v>
      </c>
      <c r="M85" s="391">
        <v>0</v>
      </c>
      <c r="N85" s="391">
        <v>0</v>
      </c>
      <c r="O85" s="391">
        <v>0</v>
      </c>
      <c r="P85" s="385"/>
    </row>
    <row r="86" spans="2:27">
      <c r="B86" s="382"/>
      <c r="C86" s="386"/>
      <c r="D86" s="84" t="s">
        <v>612</v>
      </c>
      <c r="E86" s="384"/>
      <c r="F86" s="384"/>
      <c r="G86" s="391" t="e">
        <f>BS_ANLYSIS!J39</f>
        <v>#REF!</v>
      </c>
      <c r="H86" s="391" t="e">
        <f>BS_ANLYSIS!K39</f>
        <v>#REF!</v>
      </c>
      <c r="I86" s="391" t="e">
        <f>BS_ANLYSIS!L39</f>
        <v>#REF!</v>
      </c>
      <c r="J86" s="391" t="e">
        <f>BS_ANLYSIS!M39</f>
        <v>#REF!</v>
      </c>
      <c r="K86" s="391" t="e">
        <f>BS_ANLYSIS!N39</f>
        <v>#REF!</v>
      </c>
      <c r="L86" s="391" t="e">
        <f>BS_ANLYSIS!O39</f>
        <v>#REF!</v>
      </c>
      <c r="M86" s="391" t="e">
        <f>BS_ANLYSIS!P39</f>
        <v>#REF!</v>
      </c>
      <c r="N86" s="391" t="e">
        <f>BS_ANLYSIS!Q39</f>
        <v>#REF!</v>
      </c>
      <c r="O86" s="391" t="e">
        <f>BS_ANLYSIS!R39</f>
        <v>#REF!</v>
      </c>
      <c r="P86" s="385"/>
    </row>
    <row r="87" spans="2:27" ht="3" customHeight="1">
      <c r="B87" s="382"/>
      <c r="C87" s="386"/>
      <c r="D87" s="384"/>
      <c r="E87" s="384"/>
      <c r="F87" s="384"/>
      <c r="G87" s="391"/>
      <c r="H87" s="391"/>
      <c r="I87" s="391"/>
      <c r="J87" s="391"/>
      <c r="K87" s="391"/>
      <c r="L87" s="391"/>
      <c r="M87" s="391"/>
      <c r="N87" s="391"/>
      <c r="O87" s="391"/>
      <c r="P87" s="385"/>
    </row>
    <row r="88" spans="2:27">
      <c r="B88" s="382"/>
      <c r="C88" s="387" t="s">
        <v>1491</v>
      </c>
      <c r="D88" s="78" t="s">
        <v>1376</v>
      </c>
      <c r="E88" s="78"/>
      <c r="F88" s="78"/>
      <c r="G88" s="356" t="e">
        <f t="shared" ref="G88:N88" si="2">SUM(G70:G87)-G73</f>
        <v>#REF!</v>
      </c>
      <c r="H88" s="356" t="e">
        <f t="shared" si="2"/>
        <v>#REF!</v>
      </c>
      <c r="I88" s="356" t="e">
        <f t="shared" si="2"/>
        <v>#REF!</v>
      </c>
      <c r="J88" s="356" t="e">
        <f t="shared" si="2"/>
        <v>#REF!</v>
      </c>
      <c r="K88" s="356" t="e">
        <f t="shared" si="2"/>
        <v>#REF!</v>
      </c>
      <c r="L88" s="356" t="e">
        <f t="shared" si="2"/>
        <v>#REF!</v>
      </c>
      <c r="M88" s="356" t="e">
        <f t="shared" si="2"/>
        <v>#REF!</v>
      </c>
      <c r="N88" s="356" t="e">
        <f t="shared" si="2"/>
        <v>#REF!</v>
      </c>
      <c r="O88" s="356" t="e">
        <f>SUM(O70:O87)-O73</f>
        <v>#REF!</v>
      </c>
      <c r="P88" s="385"/>
      <c r="S88" s="399" t="e">
        <f>BS_ANLYSIS!J44</f>
        <v>#REF!</v>
      </c>
      <c r="T88" s="399" t="e">
        <f>BS_ANLYSIS!K44</f>
        <v>#REF!</v>
      </c>
      <c r="U88" s="399" t="e">
        <f>BS_ANLYSIS!L44</f>
        <v>#REF!</v>
      </c>
      <c r="V88" s="399" t="e">
        <f>BS_ANLYSIS!M44</f>
        <v>#REF!</v>
      </c>
      <c r="W88" s="399" t="e">
        <f>BS_ANLYSIS!N44</f>
        <v>#REF!</v>
      </c>
      <c r="X88" s="399" t="e">
        <f>BS_ANLYSIS!O44</f>
        <v>#REF!</v>
      </c>
      <c r="Y88" s="399" t="e">
        <f>BS_ANLYSIS!P44</f>
        <v>#REF!</v>
      </c>
      <c r="Z88" s="399" t="e">
        <f>BS_ANLYSIS!Q44</f>
        <v>#REF!</v>
      </c>
      <c r="AA88" s="399" t="e">
        <f>BS_ANLYSIS!R44</f>
        <v>#REF!</v>
      </c>
    </row>
    <row r="89" spans="2:27" ht="4.5" customHeight="1">
      <c r="B89" s="382"/>
      <c r="C89" s="384"/>
      <c r="D89" s="384"/>
      <c r="E89" s="384"/>
      <c r="F89" s="384"/>
      <c r="G89" s="391"/>
      <c r="H89" s="391"/>
      <c r="I89" s="391"/>
      <c r="J89" s="391"/>
      <c r="K89" s="391"/>
      <c r="L89" s="391"/>
      <c r="M89" s="391"/>
      <c r="N89" s="391"/>
      <c r="O89" s="391"/>
      <c r="P89" s="385"/>
    </row>
    <row r="90" spans="2:27" ht="2.25" customHeight="1" thickBot="1">
      <c r="B90" s="382"/>
      <c r="C90" s="397"/>
      <c r="D90" s="397"/>
      <c r="E90" s="397"/>
      <c r="F90" s="397"/>
      <c r="G90" s="398"/>
      <c r="H90" s="398"/>
      <c r="I90" s="398"/>
      <c r="J90" s="398"/>
      <c r="K90" s="398"/>
      <c r="L90" s="398"/>
      <c r="M90" s="398"/>
      <c r="N90" s="398"/>
      <c r="O90" s="398"/>
      <c r="P90" s="385"/>
      <c r="S90" s="399" t="e">
        <f t="shared" ref="S90:AA90" si="3">S88-G88</f>
        <v>#REF!</v>
      </c>
      <c r="T90" s="399" t="e">
        <f t="shared" si="3"/>
        <v>#REF!</v>
      </c>
      <c r="U90" s="399" t="e">
        <f t="shared" si="3"/>
        <v>#REF!</v>
      </c>
      <c r="V90" s="399" t="e">
        <f t="shared" si="3"/>
        <v>#REF!</v>
      </c>
      <c r="W90" s="399" t="e">
        <f t="shared" si="3"/>
        <v>#REF!</v>
      </c>
      <c r="X90" s="399" t="e">
        <f t="shared" si="3"/>
        <v>#REF!</v>
      </c>
      <c r="Y90" s="399" t="e">
        <f t="shared" si="3"/>
        <v>#REF!</v>
      </c>
      <c r="Z90" s="399" t="e">
        <f t="shared" si="3"/>
        <v>#REF!</v>
      </c>
      <c r="AA90" s="399" t="e">
        <f t="shared" si="3"/>
        <v>#REF!</v>
      </c>
    </row>
    <row r="91" spans="2:27" ht="5.25" customHeight="1" thickTop="1" thickBot="1">
      <c r="B91" s="392"/>
      <c r="C91" s="394"/>
      <c r="D91" s="394"/>
      <c r="E91" s="394"/>
      <c r="F91" s="394"/>
      <c r="G91" s="395"/>
      <c r="H91" s="395"/>
      <c r="I91" s="395"/>
      <c r="J91" s="395"/>
      <c r="K91" s="395"/>
      <c r="L91" s="395"/>
      <c r="M91" s="395"/>
      <c r="N91" s="395"/>
      <c r="O91" s="395"/>
      <c r="P91" s="396"/>
    </row>
    <row r="92" spans="2:27" ht="6.75" customHeight="1"/>
    <row r="93" spans="2:27" ht="6" customHeight="1"/>
    <row r="96" spans="2:27">
      <c r="J96" s="399"/>
      <c r="K96" s="399"/>
      <c r="L96" s="399"/>
      <c r="M96" s="399"/>
      <c r="N96" s="399"/>
      <c r="O96" s="399"/>
    </row>
    <row r="97" spans="4:15" ht="3" customHeight="1"/>
    <row r="98" spans="4:15">
      <c r="J98" s="399"/>
      <c r="K98" s="399"/>
      <c r="L98" s="399"/>
      <c r="M98" s="399"/>
      <c r="N98" s="399"/>
      <c r="O98" s="399"/>
    </row>
    <row r="100" spans="4:15">
      <c r="J100" s="399"/>
      <c r="K100" s="399"/>
      <c r="L100" s="399"/>
      <c r="M100" s="399"/>
      <c r="N100" s="399"/>
      <c r="O100" s="399"/>
    </row>
    <row r="101" spans="4:15">
      <c r="J101" s="399"/>
      <c r="K101" s="399"/>
      <c r="L101" s="399"/>
      <c r="M101" s="399"/>
      <c r="N101" s="399"/>
      <c r="O101" s="399"/>
    </row>
    <row r="102" spans="4:15" ht="6" customHeight="1"/>
    <row r="104" spans="4:15" hidden="1"/>
    <row r="105" spans="4:15" hidden="1">
      <c r="G105" s="399"/>
      <c r="H105" s="399"/>
      <c r="I105" s="399"/>
      <c r="J105" s="399"/>
      <c r="K105" s="399"/>
      <c r="L105" s="399"/>
      <c r="M105" s="399"/>
      <c r="N105" s="399"/>
      <c r="O105" s="399"/>
    </row>
    <row r="106" spans="4:15" hidden="1">
      <c r="G106" s="399"/>
      <c r="H106" s="399"/>
      <c r="I106" s="399"/>
      <c r="J106" s="399"/>
      <c r="K106" s="399"/>
      <c r="L106" s="399"/>
      <c r="M106" s="399"/>
      <c r="N106" s="399"/>
      <c r="O106" s="399"/>
    </row>
    <row r="107" spans="4:15" hidden="1">
      <c r="D107" s="78" t="s">
        <v>359</v>
      </c>
      <c r="G107" s="399" t="e">
        <f>BS_ANLYSIS!J124</f>
        <v>#REF!</v>
      </c>
      <c r="H107" s="399" t="e">
        <f>BS_ANLYSIS!K124</f>
        <v>#REF!</v>
      </c>
      <c r="I107" s="399" t="e">
        <f>BS_ANLYSIS!L124</f>
        <v>#REF!</v>
      </c>
      <c r="J107" s="399" t="e">
        <f>BS_ANLYSIS!M124</f>
        <v>#REF!</v>
      </c>
      <c r="K107" s="399" t="e">
        <f>BS_ANLYSIS!N124</f>
        <v>#REF!</v>
      </c>
      <c r="L107" s="399" t="e">
        <f>BS_ANLYSIS!O124</f>
        <v>#REF!</v>
      </c>
      <c r="M107" s="399" t="e">
        <f>BS_ANLYSIS!P124</f>
        <v>#REF!</v>
      </c>
      <c r="N107" s="399" t="e">
        <f>BS_ANLYSIS!Q124</f>
        <v>#REF!</v>
      </c>
      <c r="O107" s="399" t="e">
        <f>BS_ANLYSIS!R124</f>
        <v>#REF!</v>
      </c>
    </row>
    <row r="108" spans="4:15" hidden="1">
      <c r="D108" s="78"/>
      <c r="G108" s="399" t="e">
        <f t="shared" ref="G108:N108" si="4">G62-G107</f>
        <v>#REF!</v>
      </c>
      <c r="H108" s="399" t="e">
        <f t="shared" si="4"/>
        <v>#REF!</v>
      </c>
      <c r="I108" s="399" t="e">
        <f t="shared" si="4"/>
        <v>#REF!</v>
      </c>
      <c r="J108" s="399" t="e">
        <f t="shared" si="4"/>
        <v>#REF!</v>
      </c>
      <c r="K108" s="399" t="e">
        <f t="shared" si="4"/>
        <v>#REF!</v>
      </c>
      <c r="L108" s="399" t="e">
        <f t="shared" si="4"/>
        <v>#REF!</v>
      </c>
      <c r="M108" s="399" t="e">
        <f t="shared" si="4"/>
        <v>#REF!</v>
      </c>
      <c r="N108" s="399" t="e">
        <f t="shared" si="4"/>
        <v>#REF!</v>
      </c>
      <c r="O108" s="399" t="e">
        <f>O62-O107</f>
        <v>#REF!</v>
      </c>
    </row>
    <row r="109" spans="4:15" hidden="1">
      <c r="D109" s="78" t="s">
        <v>1376</v>
      </c>
      <c r="G109" s="399" t="e">
        <f>BS_ANLYSIS!J42</f>
        <v>#REF!</v>
      </c>
      <c r="H109" s="399" t="e">
        <f>BS_ANLYSIS!K42</f>
        <v>#REF!</v>
      </c>
      <c r="I109" s="399" t="e">
        <f>BS_ANLYSIS!L42</f>
        <v>#REF!</v>
      </c>
      <c r="J109" s="399" t="e">
        <f>BS_ANLYSIS!M42</f>
        <v>#REF!</v>
      </c>
      <c r="K109" s="399" t="e">
        <f>BS_ANLYSIS!N42</f>
        <v>#REF!</v>
      </c>
      <c r="L109" s="399" t="e">
        <f>BS_ANLYSIS!O42</f>
        <v>#REF!</v>
      </c>
      <c r="M109" s="399" t="e">
        <f>BS_ANLYSIS!P42</f>
        <v>#REF!</v>
      </c>
      <c r="N109" s="399" t="e">
        <f>BS_ANLYSIS!Q42</f>
        <v>#REF!</v>
      </c>
      <c r="O109" s="399" t="e">
        <f>BS_ANLYSIS!R42</f>
        <v>#REF!</v>
      </c>
    </row>
    <row r="110" spans="4:15" hidden="1">
      <c r="D110" s="378" t="s">
        <v>359</v>
      </c>
      <c r="G110" s="399" t="e">
        <f>('[18]Balance Sheet'!L126)</f>
        <v>#REF!</v>
      </c>
      <c r="H110" s="399">
        <f>('[18]Balance Sheet'!M126)</f>
        <v>290.64999999999998</v>
      </c>
      <c r="I110" s="399">
        <f>('[18]Balance Sheet'!N126)</f>
        <v>346.83</v>
      </c>
      <c r="J110" s="399" t="e">
        <f>('[18]Balance Sheet'!#REF!)</f>
        <v>#REF!</v>
      </c>
      <c r="K110" s="399" t="e">
        <f>('[18]Balance Sheet'!#REF!)</f>
        <v>#REF!</v>
      </c>
      <c r="L110" s="399" t="e">
        <f>('[18]Balance Sheet'!#REF!)</f>
        <v>#REF!</v>
      </c>
      <c r="M110" s="399" t="e">
        <f>('[18]Balance Sheet'!#REF!)</f>
        <v>#REF!</v>
      </c>
      <c r="N110" s="399" t="e">
        <f>('[18]Balance Sheet'!#REF!)</f>
        <v>#REF!</v>
      </c>
      <c r="O110" s="399" t="e">
        <f>('[18]Balance Sheet'!#REF!)</f>
        <v>#REF!</v>
      </c>
    </row>
    <row r="111" spans="4:15" hidden="1">
      <c r="D111" s="378" t="s">
        <v>1492</v>
      </c>
      <c r="G111" s="399" t="e">
        <f>('[18]Balance Sheet'!L44)</f>
        <v>#REF!</v>
      </c>
      <c r="H111" s="399">
        <f>('[18]Balance Sheet'!M44)</f>
        <v>35.64</v>
      </c>
      <c r="I111" s="399">
        <f>('[18]Balance Sheet'!N44)</f>
        <v>35.64</v>
      </c>
      <c r="J111" s="399" t="e">
        <f>('[18]Balance Sheet'!O44)</f>
        <v>#REF!</v>
      </c>
      <c r="K111" s="399" t="e">
        <f>('[18]Balance Sheet'!P44)</f>
        <v>#REF!</v>
      </c>
      <c r="L111" s="399" t="e">
        <f>('[18]Balance Sheet'!Q44)</f>
        <v>#REF!</v>
      </c>
      <c r="M111" s="399" t="e">
        <f>('[18]Balance Sheet'!R44)</f>
        <v>#REF!</v>
      </c>
      <c r="N111" s="399" t="e">
        <f>('[18]Balance Sheet'!S44)</f>
        <v>#REF!</v>
      </c>
      <c r="O111" s="399" t="e">
        <f>('[18]Balance Sheet'!T44)</f>
        <v>#REF!</v>
      </c>
    </row>
    <row r="112" spans="4:15" hidden="1">
      <c r="D112" s="378" t="s">
        <v>1376</v>
      </c>
      <c r="G112" s="399" t="e">
        <f>('[18]Balance Sheet'!L46)</f>
        <v>#REF!</v>
      </c>
      <c r="H112" s="399">
        <f>('[18]Balance Sheet'!M46)</f>
        <v>125.64</v>
      </c>
      <c r="I112" s="399">
        <f>('[18]Balance Sheet'!N46)</f>
        <v>110.64</v>
      </c>
      <c r="J112" s="399" t="e">
        <f>('[18]Balance Sheet'!O46)</f>
        <v>#REF!</v>
      </c>
      <c r="K112" s="399" t="e">
        <f>('[18]Balance Sheet'!P46)</f>
        <v>#REF!</v>
      </c>
      <c r="L112" s="399" t="e">
        <f>('[18]Balance Sheet'!Q46)</f>
        <v>#REF!</v>
      </c>
      <c r="M112" s="399" t="e">
        <f>('[18]Balance Sheet'!R46)</f>
        <v>#REF!</v>
      </c>
      <c r="N112" s="399" t="e">
        <f>('[18]Balance Sheet'!S46)</f>
        <v>#REF!</v>
      </c>
      <c r="O112" s="399" t="e">
        <f>('[18]Balance Sheet'!T46)</f>
        <v>#REF!</v>
      </c>
    </row>
    <row r="113" spans="7:15" hidden="1">
      <c r="G113" s="399" t="e">
        <f t="shared" ref="G113:N113" si="5">G88-G109</f>
        <v>#REF!</v>
      </c>
      <c r="H113" s="399" t="e">
        <f t="shared" si="5"/>
        <v>#REF!</v>
      </c>
      <c r="I113" s="399" t="e">
        <f t="shared" si="5"/>
        <v>#REF!</v>
      </c>
      <c r="J113" s="399" t="e">
        <f t="shared" si="5"/>
        <v>#REF!</v>
      </c>
      <c r="K113" s="399" t="e">
        <f t="shared" si="5"/>
        <v>#REF!</v>
      </c>
      <c r="L113" s="399" t="e">
        <f t="shared" si="5"/>
        <v>#REF!</v>
      </c>
      <c r="M113" s="399" t="e">
        <f t="shared" si="5"/>
        <v>#REF!</v>
      </c>
      <c r="N113" s="399" t="e">
        <f t="shared" si="5"/>
        <v>#REF!</v>
      </c>
      <c r="O113" s="399" t="e">
        <f>O88-O109</f>
        <v>#REF!</v>
      </c>
    </row>
    <row r="126" spans="7:15">
      <c r="G126" s="378">
        <f>[19]CMA!D180</f>
        <v>220.26039623271777</v>
      </c>
      <c r="H126" s="378">
        <f>[19]CMA!E180</f>
        <v>257.71907683452059</v>
      </c>
      <c r="I126" s="400">
        <f>[19]CMA!F180</f>
        <v>278.99643494452386</v>
      </c>
      <c r="J126" s="378">
        <f>[19]CMA!G180</f>
        <v>296.71210808190961</v>
      </c>
    </row>
    <row r="127" spans="7:15">
      <c r="G127" s="378" t="e">
        <f>[19]CMA!D139</f>
        <v>#REF!</v>
      </c>
      <c r="H127" s="378">
        <f>[19]CMA!E139</f>
        <v>43.800000000000018</v>
      </c>
      <c r="I127" s="378">
        <f>[19]CMA!F139</f>
        <v>39.949999999999996</v>
      </c>
      <c r="J127" s="378">
        <f>[19]CMA!G139</f>
        <v>0</v>
      </c>
    </row>
  </sheetData>
  <pageMargins left="0.47244094488188981" right="0.11811023622047245" top="0.59055118110236227" bottom="0.15748031496062992" header="0.23622047244094491" footer="0.19685039370078741"/>
  <pageSetup paperSize="9" orientation="landscape" verticalDpi="144" r:id="rId1"/>
  <headerFooter alignWithMargins="0">
    <oddHeader>&amp;RHOTEL CITY WALK INTERNATIONAL
GUWAHATI</oddHeader>
  </headerFooter>
  <colBreaks count="1" manualBreakCount="1">
    <brk id="16" max="91"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EE21F-CA55-4AF2-A7E7-848020A1C2D7}">
  <dimension ref="B1:W55"/>
  <sheetViews>
    <sheetView view="pageBreakPreview" zoomScale="90" zoomScaleNormal="100" zoomScaleSheetLayoutView="90" zoomScalePageLayoutView="40" workbookViewId="0">
      <selection activeCell="G48" sqref="G48"/>
    </sheetView>
  </sheetViews>
  <sheetFormatPr defaultRowHeight="12.75"/>
  <cols>
    <col min="1" max="1" width="0.42578125" customWidth="1"/>
    <col min="2" max="2" width="0.140625" customWidth="1"/>
    <col min="3" max="3" width="2.140625" customWidth="1"/>
    <col min="4" max="4" width="0.85546875" customWidth="1"/>
    <col min="6" max="6" width="14.140625" customWidth="1"/>
    <col min="7" max="7" width="2.140625" customWidth="1"/>
    <col min="8" max="8" width="9.28515625" customWidth="1"/>
    <col min="9" max="10" width="10" customWidth="1"/>
    <col min="11" max="11" width="9.7109375" customWidth="1"/>
    <col min="12" max="12" width="10.140625" customWidth="1"/>
    <col min="13" max="13" width="11.42578125" customWidth="1"/>
    <col min="14" max="14" width="10.140625" customWidth="1"/>
    <col min="15" max="15" width="10" customWidth="1"/>
    <col min="16" max="16" width="10.140625" hidden="1" customWidth="1"/>
    <col min="17" max="17" width="1" customWidth="1"/>
    <col min="18" max="18" width="1.140625" customWidth="1"/>
  </cols>
  <sheetData>
    <row r="1" spans="2:23">
      <c r="J1">
        <v>49</v>
      </c>
    </row>
    <row r="2" spans="2:23" ht="13.5" thickBot="1"/>
    <row r="3" spans="2:23">
      <c r="B3" s="401"/>
      <c r="C3" s="401"/>
      <c r="D3" s="402"/>
      <c r="E3" s="402"/>
      <c r="F3" s="402"/>
      <c r="G3" s="402"/>
      <c r="H3" s="402"/>
      <c r="I3" s="402"/>
      <c r="J3" s="402"/>
      <c r="K3" s="402"/>
      <c r="L3" s="402"/>
      <c r="M3" s="402"/>
      <c r="N3" s="402"/>
      <c r="O3" s="403"/>
      <c r="P3" s="402"/>
      <c r="Q3" s="403"/>
    </row>
    <row r="4" spans="2:23">
      <c r="B4" s="404"/>
      <c r="C4" s="619" t="s">
        <v>1493</v>
      </c>
      <c r="D4" s="405"/>
      <c r="E4" s="405"/>
      <c r="F4" s="405"/>
      <c r="G4" s="405"/>
      <c r="H4" s="405"/>
      <c r="I4" s="405"/>
      <c r="J4" s="405"/>
      <c r="K4" s="405"/>
      <c r="L4" s="406"/>
      <c r="M4" s="407"/>
      <c r="N4" s="407"/>
      <c r="O4" s="620"/>
      <c r="P4" s="407"/>
      <c r="Q4" s="408"/>
    </row>
    <row r="5" spans="2:23" ht="13.5" thickBot="1">
      <c r="B5" s="404"/>
      <c r="C5" s="621"/>
      <c r="D5" s="409"/>
      <c r="E5" s="409"/>
      <c r="F5" s="409"/>
      <c r="G5" s="409"/>
      <c r="H5" s="409"/>
      <c r="I5" s="409"/>
      <c r="J5" s="409"/>
      <c r="K5" s="409"/>
      <c r="L5" s="409"/>
      <c r="M5" s="409"/>
      <c r="N5" s="409"/>
      <c r="O5" s="622"/>
      <c r="P5" s="409"/>
      <c r="Q5" s="408"/>
    </row>
    <row r="6" spans="2:23" ht="13.5" thickTop="1">
      <c r="B6" s="404"/>
      <c r="C6" s="404"/>
      <c r="D6" s="410"/>
      <c r="E6" s="410"/>
      <c r="F6" s="410"/>
      <c r="G6" s="410"/>
      <c r="H6" s="410"/>
      <c r="I6" s="410"/>
      <c r="J6" s="410"/>
      <c r="K6" s="410"/>
      <c r="L6" s="410"/>
      <c r="M6" s="410"/>
      <c r="N6" s="410"/>
      <c r="O6" s="408"/>
      <c r="P6" s="410"/>
      <c r="Q6" s="408"/>
    </row>
    <row r="7" spans="2:23">
      <c r="B7" s="404"/>
      <c r="C7" s="404"/>
      <c r="D7" s="410"/>
      <c r="E7" s="410"/>
      <c r="F7" s="410"/>
      <c r="G7" s="410"/>
      <c r="H7" s="411"/>
      <c r="I7" s="411"/>
      <c r="J7" s="411"/>
      <c r="K7" s="411"/>
      <c r="L7" s="412"/>
      <c r="M7" s="410"/>
      <c r="N7" s="412" t="s">
        <v>1284</v>
      </c>
      <c r="O7" s="623"/>
      <c r="P7" s="412"/>
      <c r="Q7" s="408"/>
    </row>
    <row r="8" spans="2:23" ht="6" customHeight="1">
      <c r="B8" s="404"/>
      <c r="C8" s="404"/>
      <c r="D8" s="410"/>
      <c r="E8" s="410"/>
      <c r="F8" s="410"/>
      <c r="G8" s="410"/>
      <c r="H8" s="411"/>
      <c r="I8" s="411"/>
      <c r="J8" s="411"/>
      <c r="K8" s="411"/>
      <c r="L8" s="412"/>
      <c r="M8" s="412"/>
      <c r="N8" s="412"/>
      <c r="O8" s="623"/>
      <c r="P8" s="412"/>
      <c r="Q8" s="408"/>
    </row>
    <row r="9" spans="2:23">
      <c r="B9" s="404"/>
      <c r="C9" s="404"/>
      <c r="D9" s="410"/>
      <c r="E9" s="410"/>
      <c r="F9" s="410"/>
      <c r="G9" s="410"/>
      <c r="H9" s="413" t="str">
        <f>CA_CL!G8</f>
        <v>Year 1</v>
      </c>
      <c r="I9" s="413" t="str">
        <f>CA_CL!H8</f>
        <v>Year 2</v>
      </c>
      <c r="J9" s="413" t="str">
        <f>CA_CL!I8</f>
        <v>Year 3</v>
      </c>
      <c r="K9" s="413" t="str">
        <f>CA_CL!J8</f>
        <v>Year 4</v>
      </c>
      <c r="L9" s="413" t="str">
        <f>CA_CL!K8</f>
        <v>Year 5</v>
      </c>
      <c r="M9" s="413" t="str">
        <f>CA_CL!L8</f>
        <v>Year 6</v>
      </c>
      <c r="N9" s="413" t="str">
        <f>CA_CL!M8</f>
        <v>Year 7</v>
      </c>
      <c r="O9" s="624" t="str">
        <f>CA_CL!N8</f>
        <v>Year 8</v>
      </c>
      <c r="P9" s="413" t="str">
        <f>CA_CL!O8</f>
        <v>Year 9</v>
      </c>
      <c r="Q9" s="408"/>
    </row>
    <row r="10" spans="2:23">
      <c r="B10" s="404"/>
      <c r="C10" s="404"/>
      <c r="D10" s="410"/>
      <c r="E10" s="410"/>
      <c r="F10" s="410"/>
      <c r="G10" s="410"/>
      <c r="H10" s="413" t="str">
        <f>CA_CL!G9</f>
        <v>Projected</v>
      </c>
      <c r="I10" s="413" t="str">
        <f>CA_CL!H9</f>
        <v>Projected</v>
      </c>
      <c r="J10" s="413" t="str">
        <f>CA_CL!I9</f>
        <v>Projected</v>
      </c>
      <c r="K10" s="413" t="str">
        <f>CA_CL!J9</f>
        <v>Projected</v>
      </c>
      <c r="L10" s="413" t="str">
        <f>CA_CL!K9</f>
        <v>Projected</v>
      </c>
      <c r="M10" s="413" t="str">
        <f>CA_CL!L9</f>
        <v>Projected</v>
      </c>
      <c r="N10" s="413" t="str">
        <f>CA_CL!M9</f>
        <v>Projected</v>
      </c>
      <c r="O10" s="624" t="str">
        <f>CA_CL!N9</f>
        <v>Projected</v>
      </c>
      <c r="P10" s="413" t="str">
        <f>CA_CL!O9</f>
        <v>Projected</v>
      </c>
      <c r="Q10" s="408"/>
    </row>
    <row r="11" spans="2:23" ht="6" customHeight="1">
      <c r="B11" s="404"/>
      <c r="C11" s="404"/>
      <c r="D11" s="410"/>
      <c r="E11" s="410"/>
      <c r="F11" s="410"/>
      <c r="G11" s="410"/>
      <c r="H11" s="414"/>
      <c r="I11" s="414"/>
      <c r="J11" s="414"/>
      <c r="K11" s="414"/>
      <c r="L11" s="414"/>
      <c r="M11" s="414"/>
      <c r="N11" s="414"/>
      <c r="O11" s="625"/>
      <c r="P11" s="414"/>
      <c r="Q11" s="408"/>
    </row>
    <row r="12" spans="2:23">
      <c r="B12" s="404"/>
      <c r="C12" s="404"/>
      <c r="D12" s="410"/>
      <c r="E12" s="410"/>
      <c r="F12" s="410"/>
      <c r="G12" s="410"/>
      <c r="H12" s="410"/>
      <c r="I12" s="410"/>
      <c r="J12" s="410"/>
      <c r="K12" s="410"/>
      <c r="L12" s="410"/>
      <c r="M12" s="410"/>
      <c r="N12" s="410"/>
      <c r="O12" s="408"/>
      <c r="P12" s="410"/>
      <c r="Q12" s="408"/>
    </row>
    <row r="13" spans="2:23">
      <c r="B13" s="404"/>
      <c r="C13" s="404">
        <v>1</v>
      </c>
      <c r="D13" s="410"/>
      <c r="E13" s="410" t="s">
        <v>1494</v>
      </c>
      <c r="F13" s="410"/>
      <c r="G13" s="410"/>
      <c r="H13" s="415" t="e">
        <f>BS_ANLYSIS!J124</f>
        <v>#REF!</v>
      </c>
      <c r="I13" s="415" t="e">
        <f>BS_ANLYSIS!K124</f>
        <v>#REF!</v>
      </c>
      <c r="J13" s="415" t="e">
        <f>BS_ANLYSIS!L124</f>
        <v>#REF!</v>
      </c>
      <c r="K13" s="415" t="e">
        <f>BS_ANLYSIS!M124</f>
        <v>#REF!</v>
      </c>
      <c r="L13" s="415" t="e">
        <f>BS_ANLYSIS!N124</f>
        <v>#REF!</v>
      </c>
      <c r="M13" s="415" t="e">
        <f>BS_ANLYSIS!O124</f>
        <v>#REF!</v>
      </c>
      <c r="N13" s="415" t="e">
        <f>BS_ANLYSIS!P124</f>
        <v>#REF!</v>
      </c>
      <c r="O13" s="626" t="e">
        <f>BS_ANLYSIS!Q124</f>
        <v>#REF!</v>
      </c>
      <c r="P13" s="415" t="e">
        <f>BS_ANLYSIS!R124</f>
        <v>#REF!</v>
      </c>
      <c r="Q13" s="408"/>
    </row>
    <row r="14" spans="2:23">
      <c r="B14" s="404"/>
      <c r="C14" s="404"/>
      <c r="D14" s="410"/>
      <c r="E14" s="410" t="s">
        <v>1495</v>
      </c>
      <c r="F14" s="410"/>
      <c r="G14" s="410"/>
      <c r="H14" s="415"/>
      <c r="I14" s="415"/>
      <c r="J14" s="415"/>
      <c r="K14" s="415"/>
      <c r="L14" s="415"/>
      <c r="M14" s="415"/>
      <c r="N14" s="415"/>
      <c r="O14" s="626"/>
      <c r="P14" s="415"/>
      <c r="Q14" s="408"/>
    </row>
    <row r="15" spans="2:23">
      <c r="B15" s="404"/>
      <c r="C15" s="404"/>
      <c r="D15" s="410"/>
      <c r="E15" s="410"/>
      <c r="F15" s="410"/>
      <c r="G15" s="410"/>
      <c r="H15" s="415"/>
      <c r="I15" s="415"/>
      <c r="J15" s="415"/>
      <c r="K15" s="415"/>
      <c r="L15" s="415"/>
      <c r="M15" s="415"/>
      <c r="N15" s="415"/>
      <c r="O15" s="626"/>
      <c r="P15" s="415"/>
      <c r="Q15" s="408"/>
    </row>
    <row r="16" spans="2:23">
      <c r="B16" s="404"/>
      <c r="C16" s="404">
        <v>2</v>
      </c>
      <c r="D16" s="410"/>
      <c r="E16" s="410" t="s">
        <v>428</v>
      </c>
      <c r="F16" s="410"/>
      <c r="G16" s="410"/>
      <c r="H16" s="415" t="e">
        <f>BS_ANLYSIS!J42</f>
        <v>#REF!</v>
      </c>
      <c r="I16" s="415" t="e">
        <f>BS_ANLYSIS!K42</f>
        <v>#REF!</v>
      </c>
      <c r="J16" s="415" t="e">
        <f>BS_ANLYSIS!L42</f>
        <v>#REF!</v>
      </c>
      <c r="K16" s="415" t="e">
        <f>BS_ANLYSIS!M42</f>
        <v>#REF!</v>
      </c>
      <c r="L16" s="415" t="e">
        <f>BS_ANLYSIS!N42</f>
        <v>#REF!</v>
      </c>
      <c r="M16" s="415" t="e">
        <f>BS_ANLYSIS!O42</f>
        <v>#REF!</v>
      </c>
      <c r="N16" s="415" t="e">
        <f>BS_ANLYSIS!P42</f>
        <v>#REF!</v>
      </c>
      <c r="O16" s="626" t="e">
        <f>BS_ANLYSIS!Q42</f>
        <v>#REF!</v>
      </c>
      <c r="P16" s="415" t="e">
        <f>BS_ANLYSIS!R42</f>
        <v>#REF!</v>
      </c>
      <c r="Q16" s="408"/>
      <c r="R16" s="334"/>
      <c r="S16" s="334"/>
      <c r="T16" s="334"/>
      <c r="U16" s="334"/>
      <c r="V16" s="334"/>
      <c r="W16" s="334"/>
    </row>
    <row r="17" spans="2:17">
      <c r="B17" s="404"/>
      <c r="C17" s="404"/>
      <c r="D17" s="410"/>
      <c r="E17" s="410" t="s">
        <v>1496</v>
      </c>
      <c r="F17" s="410"/>
      <c r="G17" s="410"/>
      <c r="H17" s="415"/>
      <c r="I17" s="415"/>
      <c r="J17" s="415"/>
      <c r="K17" s="415"/>
      <c r="L17" s="415"/>
      <c r="M17" s="415"/>
      <c r="N17" s="415"/>
      <c r="O17" s="626"/>
      <c r="P17" s="415"/>
      <c r="Q17" s="408"/>
    </row>
    <row r="18" spans="2:17">
      <c r="B18" s="404"/>
      <c r="C18" s="404"/>
      <c r="D18" s="410"/>
      <c r="E18" s="410" t="s">
        <v>1497</v>
      </c>
      <c r="F18" s="410"/>
      <c r="G18" s="410"/>
      <c r="H18" s="415"/>
      <c r="I18" s="415"/>
      <c r="J18" s="415"/>
      <c r="K18" s="415"/>
      <c r="L18" s="415"/>
      <c r="M18" s="415"/>
      <c r="N18" s="415"/>
      <c r="O18" s="626"/>
      <c r="P18" s="415"/>
      <c r="Q18" s="408"/>
    </row>
    <row r="19" spans="2:17">
      <c r="B19" s="404"/>
      <c r="C19" s="404"/>
      <c r="D19" s="410"/>
      <c r="E19" s="410"/>
      <c r="F19" s="410"/>
      <c r="G19" s="410"/>
      <c r="H19" s="415"/>
      <c r="I19" s="415"/>
      <c r="J19" s="415"/>
      <c r="K19" s="415"/>
      <c r="L19" s="415"/>
      <c r="M19" s="415"/>
      <c r="N19" s="415"/>
      <c r="O19" s="626"/>
      <c r="P19" s="415"/>
      <c r="Q19" s="408"/>
    </row>
    <row r="20" spans="2:17">
      <c r="B20" s="404"/>
      <c r="C20" s="404">
        <v>3</v>
      </c>
      <c r="D20" s="410"/>
      <c r="E20" s="410" t="s">
        <v>1498</v>
      </c>
      <c r="F20" s="410"/>
      <c r="G20" s="410"/>
      <c r="H20" s="415" t="e">
        <f t="shared" ref="H20:O20" si="0">H13-H16</f>
        <v>#REF!</v>
      </c>
      <c r="I20" s="415" t="e">
        <f t="shared" si="0"/>
        <v>#REF!</v>
      </c>
      <c r="J20" s="415" t="e">
        <f t="shared" si="0"/>
        <v>#REF!</v>
      </c>
      <c r="K20" s="415" t="e">
        <f t="shared" si="0"/>
        <v>#REF!</v>
      </c>
      <c r="L20" s="415" t="e">
        <f t="shared" si="0"/>
        <v>#REF!</v>
      </c>
      <c r="M20" s="415" t="e">
        <f t="shared" si="0"/>
        <v>#REF!</v>
      </c>
      <c r="N20" s="415" t="e">
        <f t="shared" si="0"/>
        <v>#REF!</v>
      </c>
      <c r="O20" s="626" t="e">
        <f t="shared" si="0"/>
        <v>#REF!</v>
      </c>
      <c r="P20" s="415" t="e">
        <f>P13-P16</f>
        <v>#REF!</v>
      </c>
      <c r="Q20" s="408"/>
    </row>
    <row r="21" spans="2:17">
      <c r="B21" s="404"/>
      <c r="C21" s="404"/>
      <c r="D21" s="410"/>
      <c r="E21" s="410" t="s">
        <v>1499</v>
      </c>
      <c r="F21" s="410"/>
      <c r="G21" s="410"/>
      <c r="H21" s="415"/>
      <c r="I21" s="415"/>
      <c r="J21" s="415"/>
      <c r="K21" s="415"/>
      <c r="L21" s="415"/>
      <c r="M21" s="415"/>
      <c r="N21" s="415"/>
      <c r="O21" s="626"/>
      <c r="P21" s="415"/>
      <c r="Q21" s="408"/>
    </row>
    <row r="22" spans="2:17">
      <c r="B22" s="404"/>
      <c r="C22" s="404"/>
      <c r="D22" s="410"/>
      <c r="E22" s="410"/>
      <c r="F22" s="410"/>
      <c r="G22" s="410"/>
      <c r="H22" s="415"/>
      <c r="I22" s="415"/>
      <c r="J22" s="415"/>
      <c r="K22" s="415"/>
      <c r="L22" s="415"/>
      <c r="M22" s="415"/>
      <c r="N22" s="415"/>
      <c r="O22" s="626"/>
      <c r="P22" s="415"/>
      <c r="Q22" s="408"/>
    </row>
    <row r="23" spans="2:17">
      <c r="B23" s="404"/>
      <c r="C23" s="404">
        <v>4</v>
      </c>
      <c r="D23" s="410"/>
      <c r="E23" s="410" t="s">
        <v>1500</v>
      </c>
      <c r="F23" s="410"/>
      <c r="G23" s="410"/>
      <c r="H23" s="415"/>
      <c r="I23" s="415"/>
      <c r="J23" s="415"/>
      <c r="K23" s="415"/>
      <c r="L23" s="415"/>
      <c r="M23" s="415"/>
      <c r="N23" s="415"/>
      <c r="O23" s="626"/>
      <c r="P23" s="415"/>
      <c r="Q23" s="408"/>
    </row>
    <row r="24" spans="2:17">
      <c r="B24" s="404"/>
      <c r="C24" s="404"/>
      <c r="D24" s="410"/>
      <c r="E24" s="410" t="s">
        <v>1501</v>
      </c>
      <c r="F24" s="410"/>
      <c r="G24" s="410"/>
      <c r="H24" s="415"/>
      <c r="I24" s="415"/>
      <c r="J24" s="415"/>
      <c r="K24" s="415"/>
      <c r="L24" s="415"/>
      <c r="M24" s="415"/>
      <c r="N24" s="415"/>
      <c r="O24" s="626"/>
      <c r="P24" s="415"/>
      <c r="Q24" s="408"/>
    </row>
    <row r="25" spans="2:17" hidden="1">
      <c r="B25" s="404"/>
      <c r="C25" s="404"/>
      <c r="D25" s="410"/>
      <c r="E25" s="410" t="s">
        <v>1502</v>
      </c>
      <c r="F25" s="410"/>
      <c r="G25" s="410"/>
      <c r="H25" s="415" t="e">
        <f>ROUND(H20*0.25,2)</f>
        <v>#REF!</v>
      </c>
      <c r="I25" s="415" t="e">
        <f>ROUND(I20*0.25,2)</f>
        <v>#REF!</v>
      </c>
      <c r="J25" s="415" t="e">
        <f>ROUND(J20*0.25,2)</f>
        <v>#REF!</v>
      </c>
      <c r="K25" s="415" t="e">
        <f>ROUND(K20*0.25,2)</f>
        <v>#REF!</v>
      </c>
      <c r="L25" s="415"/>
      <c r="M25" s="415"/>
      <c r="N25" s="415"/>
      <c r="O25" s="626"/>
      <c r="P25" s="415"/>
      <c r="Q25" s="408"/>
    </row>
    <row r="26" spans="2:17">
      <c r="B26" s="404"/>
      <c r="C26" s="404"/>
      <c r="D26" s="410"/>
      <c r="E26" s="410" t="s">
        <v>1503</v>
      </c>
      <c r="F26" s="410"/>
      <c r="G26" s="410"/>
      <c r="H26" s="415" t="e">
        <f t="shared" ref="H26:O26" si="1">ROUND(H13*0.25,2)</f>
        <v>#REF!</v>
      </c>
      <c r="I26" s="415" t="e">
        <f t="shared" si="1"/>
        <v>#REF!</v>
      </c>
      <c r="J26" s="415" t="e">
        <f t="shared" si="1"/>
        <v>#REF!</v>
      </c>
      <c r="K26" s="415" t="e">
        <f t="shared" si="1"/>
        <v>#REF!</v>
      </c>
      <c r="L26" s="415" t="e">
        <f t="shared" si="1"/>
        <v>#REF!</v>
      </c>
      <c r="M26" s="415" t="e">
        <f t="shared" si="1"/>
        <v>#REF!</v>
      </c>
      <c r="N26" s="415" t="e">
        <f t="shared" si="1"/>
        <v>#REF!</v>
      </c>
      <c r="O26" s="626" t="e">
        <f t="shared" si="1"/>
        <v>#REF!</v>
      </c>
      <c r="P26" s="415" t="e">
        <f>ROUND(P13*0.25,2)</f>
        <v>#REF!</v>
      </c>
      <c r="Q26" s="408"/>
    </row>
    <row r="27" spans="2:17">
      <c r="B27" s="404"/>
      <c r="C27" s="404"/>
      <c r="D27" s="410"/>
      <c r="E27" s="410" t="s">
        <v>1504</v>
      </c>
      <c r="F27" s="410"/>
      <c r="G27" s="410"/>
      <c r="H27" s="415"/>
      <c r="I27" s="415"/>
      <c r="J27" s="415"/>
      <c r="K27" s="415"/>
      <c r="L27" s="415"/>
      <c r="M27" s="415"/>
      <c r="N27" s="415"/>
      <c r="O27" s="626"/>
      <c r="P27" s="415"/>
      <c r="Q27" s="408"/>
    </row>
    <row r="28" spans="2:17">
      <c r="B28" s="404"/>
      <c r="C28" s="404"/>
      <c r="D28" s="410"/>
      <c r="E28" s="410" t="s">
        <v>1505</v>
      </c>
      <c r="F28" s="410"/>
      <c r="G28" s="410"/>
      <c r="H28" s="415"/>
      <c r="I28" s="415"/>
      <c r="J28" s="415"/>
      <c r="K28" s="415"/>
      <c r="L28" s="415"/>
      <c r="M28" s="415"/>
      <c r="N28" s="415"/>
      <c r="O28" s="626"/>
      <c r="P28" s="415"/>
      <c r="Q28" s="408"/>
    </row>
    <row r="29" spans="2:17">
      <c r="B29" s="404"/>
      <c r="C29" s="404"/>
      <c r="D29" s="410"/>
      <c r="E29" s="410" t="s">
        <v>1506</v>
      </c>
      <c r="F29" s="410"/>
      <c r="G29" s="410"/>
      <c r="H29" s="415"/>
      <c r="I29" s="415"/>
      <c r="J29" s="415"/>
      <c r="K29" s="415"/>
      <c r="L29" s="415"/>
      <c r="M29" s="415"/>
      <c r="N29" s="415"/>
      <c r="O29" s="626"/>
      <c r="P29" s="415"/>
      <c r="Q29" s="408"/>
    </row>
    <row r="30" spans="2:17">
      <c r="B30" s="404"/>
      <c r="C30" s="404"/>
      <c r="D30" s="410"/>
      <c r="E30" s="410" t="s">
        <v>1507</v>
      </c>
      <c r="F30" s="410"/>
      <c r="G30" s="410"/>
      <c r="H30" s="415"/>
      <c r="I30" s="415"/>
      <c r="J30" s="415"/>
      <c r="K30" s="415"/>
      <c r="L30" s="415"/>
      <c r="M30" s="415"/>
      <c r="N30" s="415"/>
      <c r="O30" s="626"/>
      <c r="P30" s="415"/>
      <c r="Q30" s="408"/>
    </row>
    <row r="31" spans="2:17">
      <c r="B31" s="404"/>
      <c r="C31" s="404"/>
      <c r="D31" s="410"/>
      <c r="E31" s="410" t="s">
        <v>1508</v>
      </c>
      <c r="F31" s="410"/>
      <c r="G31" s="410"/>
      <c r="H31" s="415"/>
      <c r="I31" s="415"/>
      <c r="J31" s="415"/>
      <c r="K31" s="415"/>
      <c r="L31" s="415"/>
      <c r="M31" s="415"/>
      <c r="N31" s="415"/>
      <c r="O31" s="626"/>
      <c r="P31" s="415"/>
      <c r="Q31" s="408"/>
    </row>
    <row r="32" spans="2:17">
      <c r="B32" s="404"/>
      <c r="C32" s="404"/>
      <c r="D32" s="410"/>
      <c r="E32" s="410"/>
      <c r="F32" s="410"/>
      <c r="G32" s="410"/>
      <c r="H32" s="415"/>
      <c r="I32" s="415"/>
      <c r="J32" s="415"/>
      <c r="K32" s="415"/>
      <c r="L32" s="415"/>
      <c r="M32" s="415"/>
      <c r="N32" s="415"/>
      <c r="O32" s="626"/>
      <c r="P32" s="415"/>
      <c r="Q32" s="408"/>
    </row>
    <row r="33" spans="2:17">
      <c r="B33" s="404"/>
      <c r="C33" s="404">
        <v>5</v>
      </c>
      <c r="D33" s="410"/>
      <c r="E33" s="410" t="s">
        <v>1509</v>
      </c>
      <c r="F33" s="410"/>
      <c r="G33" s="410"/>
      <c r="H33" s="415" t="e">
        <f>BS_ANLYSIS!J168</f>
        <v>#REF!</v>
      </c>
      <c r="I33" s="415" t="e">
        <f>BS_ANLYSIS!K168</f>
        <v>#REF!</v>
      </c>
      <c r="J33" s="415" t="e">
        <f>BS_ANLYSIS!L168</f>
        <v>#REF!</v>
      </c>
      <c r="K33" s="415" t="e">
        <f>BS_ANLYSIS!M168</f>
        <v>#REF!</v>
      </c>
      <c r="L33" s="415" t="e">
        <f>BS_ANLYSIS!N168</f>
        <v>#REF!</v>
      </c>
      <c r="M33" s="415" t="e">
        <f>BS_ANLYSIS!O168</f>
        <v>#REF!</v>
      </c>
      <c r="N33" s="415" t="e">
        <f>BS_ANLYSIS!P168</f>
        <v>#REF!</v>
      </c>
      <c r="O33" s="626" t="e">
        <f>BS_ANLYSIS!Q168</f>
        <v>#REF!</v>
      </c>
      <c r="P33" s="415" t="e">
        <f>BS_ANLYSIS!R168</f>
        <v>#REF!</v>
      </c>
      <c r="Q33" s="408"/>
    </row>
    <row r="34" spans="2:17">
      <c r="B34" s="404"/>
      <c r="C34" s="404"/>
      <c r="D34" s="410"/>
      <c r="E34" s="410" t="s">
        <v>1510</v>
      </c>
      <c r="F34" s="410"/>
      <c r="G34" s="410"/>
      <c r="H34" s="415"/>
      <c r="I34" s="415"/>
      <c r="J34" s="415"/>
      <c r="K34" s="415"/>
      <c r="L34" s="415"/>
      <c r="M34" s="415"/>
      <c r="N34" s="415"/>
      <c r="O34" s="626"/>
      <c r="P34" s="415"/>
      <c r="Q34" s="408"/>
    </row>
    <row r="35" spans="2:17">
      <c r="B35" s="404"/>
      <c r="C35" s="404"/>
      <c r="D35" s="410"/>
      <c r="E35" s="410"/>
      <c r="F35" s="410"/>
      <c r="G35" s="410"/>
      <c r="H35" s="415"/>
      <c r="I35" s="415"/>
      <c r="J35" s="415"/>
      <c r="K35" s="415"/>
      <c r="L35" s="415"/>
      <c r="M35" s="415"/>
      <c r="N35" s="415"/>
      <c r="O35" s="626"/>
      <c r="P35" s="415"/>
      <c r="Q35" s="408"/>
    </row>
    <row r="36" spans="2:17" hidden="1">
      <c r="B36" s="404"/>
      <c r="C36" s="404">
        <v>6</v>
      </c>
      <c r="D36" s="410"/>
      <c r="E36" s="410" t="s">
        <v>1511</v>
      </c>
      <c r="F36" s="410"/>
      <c r="G36" s="410"/>
      <c r="H36" s="415" t="e">
        <f>H20-H25</f>
        <v>#REF!</v>
      </c>
      <c r="I36" s="415" t="e">
        <f>I20-I25</f>
        <v>#REF!</v>
      </c>
      <c r="J36" s="415" t="e">
        <f>J20-J25</f>
        <v>#REF!</v>
      </c>
      <c r="K36" s="415" t="e">
        <f>K20-K25</f>
        <v>#REF!</v>
      </c>
      <c r="L36" s="415"/>
      <c r="M36" s="415"/>
      <c r="N36" s="415"/>
      <c r="O36" s="626"/>
      <c r="P36" s="415"/>
      <c r="Q36" s="408"/>
    </row>
    <row r="37" spans="2:17">
      <c r="B37" s="404"/>
      <c r="C37" s="404">
        <v>6</v>
      </c>
      <c r="D37" s="410"/>
      <c r="E37" s="410" t="s">
        <v>1511</v>
      </c>
      <c r="F37" s="410"/>
      <c r="G37" s="410"/>
      <c r="H37" s="415" t="e">
        <f t="shared" ref="H37:O37" si="2">H20-H26</f>
        <v>#REF!</v>
      </c>
      <c r="I37" s="415" t="e">
        <f t="shared" si="2"/>
        <v>#REF!</v>
      </c>
      <c r="J37" s="415" t="e">
        <f t="shared" si="2"/>
        <v>#REF!</v>
      </c>
      <c r="K37" s="415" t="e">
        <f t="shared" si="2"/>
        <v>#REF!</v>
      </c>
      <c r="L37" s="415" t="e">
        <f t="shared" si="2"/>
        <v>#REF!</v>
      </c>
      <c r="M37" s="415" t="e">
        <f t="shared" si="2"/>
        <v>#REF!</v>
      </c>
      <c r="N37" s="415" t="e">
        <f t="shared" si="2"/>
        <v>#REF!</v>
      </c>
      <c r="O37" s="626" t="e">
        <f t="shared" si="2"/>
        <v>#REF!</v>
      </c>
      <c r="P37" s="415" t="e">
        <f>P20-P26</f>
        <v>#REF!</v>
      </c>
      <c r="Q37" s="408"/>
    </row>
    <row r="38" spans="2:17">
      <c r="B38" s="404"/>
      <c r="C38" s="404"/>
      <c r="D38" s="410"/>
      <c r="E38" s="410"/>
      <c r="F38" s="410"/>
      <c r="G38" s="410"/>
      <c r="H38" s="415"/>
      <c r="I38" s="415"/>
      <c r="J38" s="415"/>
      <c r="K38" s="415"/>
      <c r="L38" s="415"/>
      <c r="M38" s="415"/>
      <c r="N38" s="415"/>
      <c r="O38" s="626"/>
      <c r="P38" s="415"/>
      <c r="Q38" s="408"/>
    </row>
    <row r="39" spans="2:17">
      <c r="B39" s="404"/>
      <c r="C39" s="404">
        <v>7</v>
      </c>
      <c r="D39" s="410"/>
      <c r="E39" s="410" t="s">
        <v>1512</v>
      </c>
      <c r="F39" s="410"/>
      <c r="G39" s="410"/>
      <c r="H39" s="415" t="e">
        <f t="shared" ref="H39:O39" si="3">H20-H33</f>
        <v>#REF!</v>
      </c>
      <c r="I39" s="415" t="e">
        <f t="shared" si="3"/>
        <v>#REF!</v>
      </c>
      <c r="J39" s="415" t="e">
        <f t="shared" si="3"/>
        <v>#REF!</v>
      </c>
      <c r="K39" s="415" t="e">
        <f t="shared" si="3"/>
        <v>#REF!</v>
      </c>
      <c r="L39" s="415" t="e">
        <f t="shared" si="3"/>
        <v>#REF!</v>
      </c>
      <c r="M39" s="415" t="e">
        <f t="shared" si="3"/>
        <v>#REF!</v>
      </c>
      <c r="N39" s="415" t="e">
        <f>N20-N33</f>
        <v>#REF!</v>
      </c>
      <c r="O39" s="626" t="e">
        <f t="shared" si="3"/>
        <v>#REF!</v>
      </c>
      <c r="P39" s="415" t="e">
        <f>P20-P33</f>
        <v>#REF!</v>
      </c>
      <c r="Q39" s="408"/>
    </row>
    <row r="40" spans="2:17">
      <c r="B40" s="404"/>
      <c r="C40" s="404"/>
      <c r="D40" s="410"/>
      <c r="E40" s="410"/>
      <c r="F40" s="410"/>
      <c r="G40" s="410"/>
      <c r="H40" s="415"/>
      <c r="I40" s="415"/>
      <c r="J40" s="415"/>
      <c r="K40" s="415"/>
      <c r="L40" s="415"/>
      <c r="M40" s="415"/>
      <c r="N40" s="415"/>
      <c r="O40" s="626"/>
      <c r="P40" s="415"/>
      <c r="Q40" s="408"/>
    </row>
    <row r="41" spans="2:17">
      <c r="B41" s="404"/>
      <c r="C41" s="404">
        <v>8</v>
      </c>
      <c r="D41" s="410"/>
      <c r="E41" s="410" t="s">
        <v>1513</v>
      </c>
      <c r="F41" s="410"/>
      <c r="G41" s="410"/>
      <c r="H41" s="415" t="e">
        <f t="shared" ref="H41:O41" si="4">MIN(H36,H37:H39)</f>
        <v>#REF!</v>
      </c>
      <c r="I41" s="415" t="e">
        <f t="shared" si="4"/>
        <v>#REF!</v>
      </c>
      <c r="J41" s="415" t="e">
        <f t="shared" si="4"/>
        <v>#REF!</v>
      </c>
      <c r="K41" s="415" t="e">
        <f t="shared" si="4"/>
        <v>#REF!</v>
      </c>
      <c r="L41" s="415" t="e">
        <f t="shared" si="4"/>
        <v>#REF!</v>
      </c>
      <c r="M41" s="415" t="e">
        <f t="shared" si="4"/>
        <v>#REF!</v>
      </c>
      <c r="N41" s="415" t="e">
        <f t="shared" si="4"/>
        <v>#REF!</v>
      </c>
      <c r="O41" s="626" t="e">
        <f t="shared" si="4"/>
        <v>#REF!</v>
      </c>
      <c r="P41" s="415" t="e">
        <f>MIN(P36,P37:P39)</f>
        <v>#REF!</v>
      </c>
      <c r="Q41" s="408"/>
    </row>
    <row r="42" spans="2:17">
      <c r="B42" s="404"/>
      <c r="C42" s="404"/>
      <c r="D42" s="410"/>
      <c r="E42" s="410" t="s">
        <v>1514</v>
      </c>
      <c r="F42" s="410"/>
      <c r="G42" s="410"/>
      <c r="H42" s="415"/>
      <c r="I42" s="415"/>
      <c r="J42" s="415"/>
      <c r="K42" s="415"/>
      <c r="L42" s="415"/>
      <c r="M42" s="415"/>
      <c r="N42" s="415"/>
      <c r="O42" s="626"/>
      <c r="P42" s="415"/>
      <c r="Q42" s="408"/>
    </row>
    <row r="43" spans="2:17">
      <c r="B43" s="404"/>
      <c r="C43" s="404"/>
      <c r="D43" s="410"/>
      <c r="E43" s="410" t="s">
        <v>1515</v>
      </c>
      <c r="F43" s="410"/>
      <c r="G43" s="410"/>
      <c r="H43" s="415"/>
      <c r="I43" s="415"/>
      <c r="J43" s="415"/>
      <c r="K43" s="415"/>
      <c r="L43" s="415"/>
      <c r="M43" s="415"/>
      <c r="N43" s="415"/>
      <c r="O43" s="626"/>
      <c r="P43" s="415"/>
      <c r="Q43" s="408"/>
    </row>
    <row r="44" spans="2:17">
      <c r="B44" s="404"/>
      <c r="C44" s="404"/>
      <c r="D44" s="410"/>
      <c r="E44" s="410"/>
      <c r="F44" s="410"/>
      <c r="G44" s="410"/>
      <c r="H44" s="415"/>
      <c r="I44" s="415"/>
      <c r="J44" s="415"/>
      <c r="K44" s="415"/>
      <c r="L44" s="415"/>
      <c r="M44" s="415"/>
      <c r="N44" s="415"/>
      <c r="O44" s="626"/>
      <c r="P44" s="415"/>
      <c r="Q44" s="408"/>
    </row>
    <row r="45" spans="2:17">
      <c r="B45" s="404"/>
      <c r="C45" s="404">
        <v>9</v>
      </c>
      <c r="D45" s="410"/>
      <c r="E45" s="410" t="s">
        <v>1516</v>
      </c>
      <c r="F45" s="410"/>
      <c r="G45" s="410"/>
      <c r="H45" s="415" t="e">
        <f t="shared" ref="H45:M45" si="5">IF((H25-H33)&lt;0,0,H25-H33)</f>
        <v>#REF!</v>
      </c>
      <c r="I45" s="415" t="e">
        <f t="shared" si="5"/>
        <v>#REF!</v>
      </c>
      <c r="J45" s="415" t="e">
        <f t="shared" si="5"/>
        <v>#REF!</v>
      </c>
      <c r="K45" s="415" t="e">
        <f t="shared" si="5"/>
        <v>#REF!</v>
      </c>
      <c r="L45" s="415" t="e">
        <f t="shared" si="5"/>
        <v>#REF!</v>
      </c>
      <c r="M45" s="415" t="e">
        <f t="shared" si="5"/>
        <v>#REF!</v>
      </c>
      <c r="N45" s="415" t="e">
        <f>IF((N25-N33)&lt;0,0,N25-N33)</f>
        <v>#REF!</v>
      </c>
      <c r="O45" s="626" t="e">
        <f>IF((O25-O33)&lt;0,0,O25-O33)</f>
        <v>#REF!</v>
      </c>
      <c r="P45" s="415" t="e">
        <f>IF((P25-P33)&lt;0,0,P25-P33)</f>
        <v>#REF!</v>
      </c>
      <c r="Q45" s="408"/>
    </row>
    <row r="46" spans="2:17">
      <c r="B46" s="404"/>
      <c r="C46" s="404"/>
      <c r="D46" s="410"/>
      <c r="E46" s="410" t="s">
        <v>1517</v>
      </c>
      <c r="F46" s="410"/>
      <c r="G46" s="410"/>
      <c r="H46" s="415"/>
      <c r="I46" s="415"/>
      <c r="J46" s="415"/>
      <c r="K46" s="415"/>
      <c r="L46" s="415"/>
      <c r="M46" s="415"/>
      <c r="N46" s="415"/>
      <c r="O46" s="626"/>
      <c r="P46" s="415"/>
      <c r="Q46" s="408"/>
    </row>
    <row r="47" spans="2:17">
      <c r="B47" s="404"/>
      <c r="C47" s="404">
        <v>9</v>
      </c>
      <c r="D47" s="410"/>
      <c r="E47" s="410" t="s">
        <v>1516</v>
      </c>
      <c r="F47" s="410"/>
      <c r="G47" s="410"/>
      <c r="H47" s="415" t="e">
        <f t="shared" ref="H47:M47" si="6">IF((H26-H33)&lt;0,0,H26-H33)</f>
        <v>#REF!</v>
      </c>
      <c r="I47" s="415" t="e">
        <f t="shared" si="6"/>
        <v>#REF!</v>
      </c>
      <c r="J47" s="415" t="e">
        <f t="shared" si="6"/>
        <v>#REF!</v>
      </c>
      <c r="K47" s="415" t="e">
        <f t="shared" si="6"/>
        <v>#REF!</v>
      </c>
      <c r="L47" s="415" t="e">
        <f t="shared" si="6"/>
        <v>#REF!</v>
      </c>
      <c r="M47" s="415" t="e">
        <f t="shared" si="6"/>
        <v>#REF!</v>
      </c>
      <c r="N47" s="415" t="e">
        <f>IF((N26-N33)&lt;0,0,N26-N33)</f>
        <v>#REF!</v>
      </c>
      <c r="O47" s="626" t="e">
        <f>IF((O26-O33)&lt;0,0,O26-O33)</f>
        <v>#REF!</v>
      </c>
      <c r="P47" s="415" t="e">
        <f>IF((P26-P33)&lt;0,0,P26-P33)</f>
        <v>#REF!</v>
      </c>
      <c r="Q47" s="408"/>
    </row>
    <row r="48" spans="2:17">
      <c r="B48" s="404"/>
      <c r="C48" s="404"/>
      <c r="D48" s="410"/>
      <c r="E48" s="410" t="s">
        <v>1517</v>
      </c>
      <c r="F48" s="410"/>
      <c r="G48" s="410"/>
      <c r="H48" s="410"/>
      <c r="I48" s="410"/>
      <c r="J48" s="410"/>
      <c r="K48" s="410"/>
      <c r="L48" s="410"/>
      <c r="M48" s="410"/>
      <c r="N48" s="410"/>
      <c r="O48" s="408"/>
      <c r="P48" s="410"/>
      <c r="Q48" s="408"/>
    </row>
    <row r="49" spans="2:17">
      <c r="B49" s="404"/>
      <c r="C49" s="404"/>
      <c r="D49" s="410"/>
      <c r="E49" s="410"/>
      <c r="F49" s="410"/>
      <c r="G49" s="410"/>
      <c r="H49" s="410"/>
      <c r="I49" s="410"/>
      <c r="J49" s="410"/>
      <c r="K49" s="410"/>
      <c r="L49" s="410"/>
      <c r="M49" s="410"/>
      <c r="N49" s="410"/>
      <c r="O49" s="408"/>
      <c r="P49" s="410"/>
      <c r="Q49" s="408"/>
    </row>
    <row r="50" spans="2:17" ht="13.5" thickBot="1">
      <c r="B50" s="404"/>
      <c r="C50" s="621"/>
      <c r="D50" s="409"/>
      <c r="E50" s="409"/>
      <c r="F50" s="409"/>
      <c r="G50" s="409"/>
      <c r="H50" s="409"/>
      <c r="I50" s="409"/>
      <c r="J50" s="409"/>
      <c r="K50" s="409"/>
      <c r="L50" s="409"/>
      <c r="M50" s="409"/>
      <c r="N50" s="409"/>
      <c r="O50" s="622"/>
      <c r="P50" s="409"/>
      <c r="Q50" s="408"/>
    </row>
    <row r="51" spans="2:17" ht="14.25" thickTop="1" thickBot="1">
      <c r="B51" s="416"/>
      <c r="C51" s="416"/>
      <c r="D51" s="417"/>
      <c r="E51" s="417"/>
      <c r="F51" s="417"/>
      <c r="G51" s="417"/>
      <c r="H51" s="417"/>
      <c r="I51" s="417"/>
      <c r="J51" s="417"/>
      <c r="K51" s="417"/>
      <c r="L51" s="417"/>
      <c r="M51" s="417"/>
      <c r="N51" s="417"/>
      <c r="O51" s="418"/>
      <c r="P51" s="417"/>
      <c r="Q51" s="418"/>
    </row>
    <row r="53" spans="2:17" hidden="1">
      <c r="E53" t="s">
        <v>1518</v>
      </c>
      <c r="H53" s="3" t="e">
        <f>'[18]Balance Sheet'!K20</f>
        <v>#REF!</v>
      </c>
      <c r="I53" s="3">
        <f>'[18]Balance Sheet'!L20</f>
        <v>90</v>
      </c>
      <c r="J53" s="3">
        <f>'[18]Balance Sheet'!M20</f>
        <v>90</v>
      </c>
      <c r="K53" s="3">
        <f>'[18]Balance Sheet'!N20</f>
        <v>75</v>
      </c>
      <c r="L53" s="3" t="e">
        <f>'[18]Balance Sheet'!O20</f>
        <v>#REF!</v>
      </c>
      <c r="M53" s="3" t="e">
        <f>'[18]Balance Sheet'!P20</f>
        <v>#REF!</v>
      </c>
      <c r="N53" s="3"/>
      <c r="O53" s="3"/>
      <c r="P53" s="3"/>
    </row>
    <row r="55" spans="2:17">
      <c r="N55" s="419"/>
      <c r="O55" s="419"/>
      <c r="P55" s="419"/>
    </row>
  </sheetData>
  <pageMargins left="0.47244094488188981" right="0.11811023622047245" top="0.59055118110236227" bottom="0.15748031496062992" header="0.23622047244094491" footer="0.19685039370078741"/>
  <pageSetup paperSize="9" scale="88" orientation="portrait" verticalDpi="144" r:id="rId1"/>
  <headerFooter alignWithMargins="0">
    <oddHeader>&amp;RHOTEL CITY WALK INTERNATIONAL
GUWAHATI</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1A9C-FD9F-4BB3-BB10-ADAB46B707DA}">
  <dimension ref="B2:AC103"/>
  <sheetViews>
    <sheetView view="pageBreakPreview" zoomScale="115" zoomScaleNormal="100" zoomScaleSheetLayoutView="115" zoomScalePageLayoutView="40" workbookViewId="0">
      <selection activeCell="G48" sqref="G48"/>
    </sheetView>
  </sheetViews>
  <sheetFormatPr defaultRowHeight="12.75"/>
  <cols>
    <col min="1" max="1" width="1.28515625" style="51" customWidth="1"/>
    <col min="2" max="2" width="0.28515625" style="51" customWidth="1"/>
    <col min="3" max="3" width="1.85546875" style="51" customWidth="1"/>
    <col min="4" max="4" width="2.42578125" style="51" customWidth="1"/>
    <col min="5" max="5" width="0.85546875" style="51" customWidth="1"/>
    <col min="6" max="6" width="3.7109375" style="51" customWidth="1"/>
    <col min="7" max="8" width="9.140625" style="51"/>
    <col min="9" max="9" width="10.85546875" style="51" customWidth="1"/>
    <col min="10" max="10" width="8.28515625" style="51" customWidth="1"/>
    <col min="11" max="11" width="8.85546875" style="51" customWidth="1"/>
    <col min="12" max="12" width="8.42578125" style="51" customWidth="1"/>
    <col min="13" max="13" width="8.85546875" style="51" customWidth="1"/>
    <col min="14" max="14" width="8.28515625" style="51" customWidth="1"/>
    <col min="15" max="15" width="9" style="51" customWidth="1"/>
    <col min="16" max="16" width="9.140625" style="51" customWidth="1"/>
    <col min="17" max="17" width="8.85546875" style="51" customWidth="1"/>
    <col min="18" max="18" width="9.7109375" style="51" hidden="1" customWidth="1"/>
    <col min="19" max="19" width="7.42578125" style="51" hidden="1" customWidth="1"/>
    <col min="20" max="20" width="10.7109375" style="51" hidden="1" customWidth="1"/>
    <col min="21" max="21" width="10.5703125" style="51" hidden="1" customWidth="1"/>
    <col min="22" max="27" width="9.140625" style="51" hidden="1" customWidth="1"/>
    <col min="28" max="28" width="1.28515625" style="51" customWidth="1"/>
    <col min="29" max="16384" width="9.140625" style="51"/>
  </cols>
  <sheetData>
    <row r="2" spans="2:25">
      <c r="K2" s="51">
        <v>50</v>
      </c>
    </row>
    <row r="3" spans="2:25" ht="13.5" thickBot="1"/>
    <row r="4" spans="2:25">
      <c r="B4" s="344"/>
      <c r="C4" s="317"/>
      <c r="D4" s="317"/>
      <c r="E4" s="317"/>
      <c r="F4" s="317"/>
      <c r="G4" s="317"/>
      <c r="H4" s="317"/>
      <c r="I4" s="317"/>
      <c r="J4" s="317"/>
      <c r="K4" s="317"/>
      <c r="L4" s="317"/>
      <c r="M4" s="317"/>
      <c r="N4" s="317"/>
      <c r="O4" s="317"/>
      <c r="P4" s="317"/>
      <c r="Q4" s="298"/>
      <c r="R4" s="298"/>
    </row>
    <row r="5" spans="2:25">
      <c r="B5" s="165"/>
      <c r="C5" s="78" t="s">
        <v>1519</v>
      </c>
      <c r="D5" s="84"/>
      <c r="E5" s="84"/>
      <c r="F5" s="84"/>
      <c r="G5" s="84"/>
      <c r="H5" s="84"/>
      <c r="I5" s="84"/>
      <c r="J5" s="84"/>
      <c r="K5" s="84"/>
      <c r="L5" s="84"/>
      <c r="M5" s="84"/>
      <c r="N5" s="387"/>
      <c r="O5" s="84"/>
      <c r="P5" s="388" t="s">
        <v>1520</v>
      </c>
      <c r="Q5" s="303"/>
      <c r="R5" s="603"/>
    </row>
    <row r="6" spans="2:25">
      <c r="B6" s="165"/>
      <c r="C6" s="84"/>
      <c r="D6" s="84"/>
      <c r="E6" s="84"/>
      <c r="F6" s="84"/>
      <c r="G6" s="84"/>
      <c r="H6" s="84"/>
      <c r="I6" s="84"/>
      <c r="J6" s="84"/>
      <c r="K6" s="84"/>
      <c r="L6" s="84"/>
      <c r="M6" s="84"/>
      <c r="N6" s="84"/>
      <c r="O6" s="84"/>
      <c r="P6" s="84"/>
      <c r="Q6" s="303"/>
      <c r="R6" s="303"/>
    </row>
    <row r="7" spans="2:25">
      <c r="B7" s="165"/>
      <c r="C7" s="84"/>
      <c r="D7" s="84"/>
      <c r="E7" s="84"/>
      <c r="F7" s="84"/>
      <c r="G7" s="84"/>
      <c r="H7" s="84"/>
      <c r="I7" s="84"/>
      <c r="J7" s="354"/>
      <c r="K7" s="354"/>
      <c r="L7" s="354"/>
      <c r="M7" s="354"/>
      <c r="N7" s="354"/>
      <c r="O7" s="354"/>
      <c r="P7" s="354"/>
      <c r="Q7" s="604"/>
      <c r="R7" s="604"/>
    </row>
    <row r="8" spans="2:25">
      <c r="B8" s="165"/>
      <c r="C8" s="84"/>
      <c r="D8" s="84"/>
      <c r="E8" s="84"/>
      <c r="F8" s="84"/>
      <c r="G8" s="84" t="s">
        <v>1521</v>
      </c>
      <c r="H8" s="84"/>
      <c r="I8" s="84"/>
      <c r="J8" s="82" t="str">
        <f>MPBF!H9</f>
        <v>Year 1</v>
      </c>
      <c r="K8" s="82" t="str">
        <f>MPBF!I9</f>
        <v>Year 2</v>
      </c>
      <c r="L8" s="82" t="str">
        <f>MPBF!J9</f>
        <v>Year 3</v>
      </c>
      <c r="M8" s="82" t="str">
        <f>MPBF!K9</f>
        <v>Year 4</v>
      </c>
      <c r="N8" s="82" t="str">
        <f>MPBF!L9</f>
        <v>Year 5</v>
      </c>
      <c r="O8" s="82" t="str">
        <f>MPBF!M9</f>
        <v>Year 6</v>
      </c>
      <c r="P8" s="82" t="str">
        <f>MPBF!N9</f>
        <v>Year 7</v>
      </c>
      <c r="Q8" s="605" t="str">
        <f>MPBF!O9</f>
        <v>Year 8</v>
      </c>
      <c r="R8" s="605" t="str">
        <f>MPBF!P9</f>
        <v>Year 9</v>
      </c>
    </row>
    <row r="9" spans="2:25" ht="2.25" customHeight="1">
      <c r="B9" s="165"/>
      <c r="C9" s="84"/>
      <c r="D9" s="84"/>
      <c r="E9" s="84"/>
      <c r="F9" s="84"/>
      <c r="G9" s="84"/>
      <c r="H9" s="84"/>
      <c r="I9" s="84"/>
      <c r="J9" s="82"/>
      <c r="K9" s="82"/>
      <c r="L9" s="82"/>
      <c r="M9" s="82"/>
      <c r="N9" s="82"/>
      <c r="O9" s="82"/>
      <c r="P9" s="82"/>
      <c r="Q9" s="605"/>
      <c r="R9" s="605"/>
    </row>
    <row r="10" spans="2:25">
      <c r="B10" s="165"/>
      <c r="C10" s="84"/>
      <c r="D10" s="84"/>
      <c r="E10" s="84"/>
      <c r="F10" s="84"/>
      <c r="G10" s="84"/>
      <c r="H10" s="84"/>
      <c r="I10" s="84"/>
      <c r="J10" s="428" t="str">
        <f>MPBF!H10</f>
        <v>Projected</v>
      </c>
      <c r="K10" s="428" t="str">
        <f>MPBF!I10</f>
        <v>Projected</v>
      </c>
      <c r="L10" s="428" t="str">
        <f>MPBF!J10</f>
        <v>Projected</v>
      </c>
      <c r="M10" s="428" t="str">
        <f>MPBF!K10</f>
        <v>Projected</v>
      </c>
      <c r="N10" s="428" t="str">
        <f>MPBF!L10</f>
        <v>Projected</v>
      </c>
      <c r="O10" s="428" t="str">
        <f>MPBF!M10</f>
        <v>Projected</v>
      </c>
      <c r="P10" s="428" t="str">
        <f>MPBF!N10</f>
        <v>Projected</v>
      </c>
      <c r="Q10" s="606" t="str">
        <f>MPBF!O10</f>
        <v>Projected</v>
      </c>
      <c r="R10" s="606" t="str">
        <f>MPBF!P10</f>
        <v>Projected</v>
      </c>
    </row>
    <row r="11" spans="2:25" ht="7.5" customHeight="1">
      <c r="B11" s="165"/>
      <c r="C11" s="84"/>
      <c r="D11" s="84"/>
      <c r="E11" s="84"/>
      <c r="F11" s="84"/>
      <c r="G11" s="84"/>
      <c r="H11" s="84"/>
      <c r="I11" s="84"/>
      <c r="J11" s="349"/>
      <c r="K11" s="349"/>
      <c r="L11" s="349"/>
      <c r="M11" s="349"/>
      <c r="N11" s="349"/>
      <c r="O11" s="349"/>
      <c r="P11" s="349"/>
      <c r="Q11" s="607"/>
      <c r="R11" s="607"/>
    </row>
    <row r="12" spans="2:25">
      <c r="B12" s="165"/>
      <c r="C12" s="78">
        <v>1</v>
      </c>
      <c r="D12" s="84"/>
      <c r="E12" s="84"/>
      <c r="F12" s="78" t="s">
        <v>1522</v>
      </c>
      <c r="G12" s="84"/>
      <c r="H12" s="84"/>
      <c r="I12" s="84"/>
      <c r="J12" s="84"/>
      <c r="K12" s="84"/>
      <c r="L12" s="84"/>
      <c r="M12" s="84"/>
      <c r="N12" s="84"/>
      <c r="O12" s="84"/>
      <c r="P12" s="84"/>
      <c r="Q12" s="303"/>
      <c r="R12" s="303"/>
    </row>
    <row r="13" spans="2:25">
      <c r="B13" s="165"/>
      <c r="C13" s="84"/>
      <c r="D13" s="84"/>
      <c r="E13" s="84"/>
      <c r="F13" s="84"/>
      <c r="G13" s="84"/>
      <c r="H13" s="84"/>
      <c r="I13" s="84"/>
      <c r="J13" s="84"/>
      <c r="K13" s="84"/>
      <c r="L13" s="84"/>
      <c r="M13" s="84"/>
      <c r="N13" s="84"/>
      <c r="O13" s="84"/>
      <c r="P13" s="84"/>
      <c r="Q13" s="303"/>
      <c r="R13" s="303"/>
    </row>
    <row r="14" spans="2:25">
      <c r="B14" s="165"/>
      <c r="C14" s="84"/>
      <c r="D14" s="366" t="s">
        <v>1181</v>
      </c>
      <c r="E14" s="366"/>
      <c r="F14" s="84" t="s">
        <v>1523</v>
      </c>
      <c r="G14" s="84"/>
      <c r="H14" s="84"/>
      <c r="I14" s="84"/>
      <c r="J14" s="43" t="e">
        <f>OP_STATEMENT!G81</f>
        <v>#REF!</v>
      </c>
      <c r="K14" s="43" t="e">
        <f>OP_STATEMENT!H81</f>
        <v>#REF!</v>
      </c>
      <c r="L14" s="43" t="e">
        <f>OP_STATEMENT!I81</f>
        <v>#REF!</v>
      </c>
      <c r="M14" s="43" t="e">
        <f>OP_STATEMENT!J81</f>
        <v>#REF!</v>
      </c>
      <c r="N14" s="43" t="e">
        <f>OP_STATEMENT!K81</f>
        <v>#REF!</v>
      </c>
      <c r="O14" s="43" t="e">
        <f>OP_STATEMENT!L81</f>
        <v>#REF!</v>
      </c>
      <c r="P14" s="43" t="e">
        <f>OP_STATEMENT!M81</f>
        <v>#REF!</v>
      </c>
      <c r="Q14" s="300" t="e">
        <f>OP_STATEMENT!N81</f>
        <v>#REF!</v>
      </c>
      <c r="R14" s="300" t="e">
        <f>OP_STATEMENT!O81</f>
        <v>#REF!</v>
      </c>
      <c r="S14" s="67">
        <f>[17]CMA!F85</f>
        <v>30.665290000000148</v>
      </c>
      <c r="T14" s="67">
        <f>[17]CMA!G85</f>
        <v>40.240323431065832</v>
      </c>
      <c r="U14" s="67">
        <f>[17]CMA!H85</f>
        <v>111.81516370000037</v>
      </c>
      <c r="V14" s="67">
        <f>[17]CMA!I85</f>
        <v>143.65656713669884</v>
      </c>
      <c r="W14" s="67">
        <f>[17]CMA!J85</f>
        <v>194.37042637180332</v>
      </c>
      <c r="X14" s="67">
        <f>[17]CMA!K85</f>
        <v>209.76251410000023</v>
      </c>
      <c r="Y14" s="67">
        <f>[17]CMA!L85</f>
        <v>447.84332600000096</v>
      </c>
    </row>
    <row r="15" spans="2:25">
      <c r="B15" s="165"/>
      <c r="C15" s="84"/>
      <c r="D15" s="366" t="s">
        <v>1183</v>
      </c>
      <c r="E15" s="366"/>
      <c r="F15" s="84" t="s">
        <v>106</v>
      </c>
      <c r="G15" s="84"/>
      <c r="H15" s="84"/>
      <c r="I15" s="84"/>
      <c r="J15" s="43" t="e">
        <f>OP_STATEMENT!G34</f>
        <v>#REF!</v>
      </c>
      <c r="K15" s="43" t="e">
        <f>OP_STATEMENT!H34</f>
        <v>#REF!</v>
      </c>
      <c r="L15" s="43" t="e">
        <f>OP_STATEMENT!I34</f>
        <v>#REF!</v>
      </c>
      <c r="M15" s="43" t="e">
        <f>OP_STATEMENT!J34</f>
        <v>#REF!</v>
      </c>
      <c r="N15" s="43" t="e">
        <f>OP_STATEMENT!K34</f>
        <v>#REF!</v>
      </c>
      <c r="O15" s="43" t="e">
        <f>OP_STATEMENT!L34</f>
        <v>#REF!</v>
      </c>
      <c r="P15" s="43" t="e">
        <f>OP_STATEMENT!M34</f>
        <v>#REF!</v>
      </c>
      <c r="Q15" s="300" t="e">
        <f>OP_STATEMENT!N34</f>
        <v>#REF!</v>
      </c>
      <c r="R15" s="300" t="e">
        <f>OP_STATEMENT!O34</f>
        <v>#REF!</v>
      </c>
      <c r="Y15" s="67" t="e">
        <f>O14+O15</f>
        <v>#REF!</v>
      </c>
    </row>
    <row r="16" spans="2:25">
      <c r="B16" s="165"/>
      <c r="C16" s="84"/>
      <c r="D16" s="366" t="s">
        <v>1185</v>
      </c>
      <c r="E16" s="366"/>
      <c r="F16" s="84" t="s">
        <v>1524</v>
      </c>
      <c r="G16" s="84"/>
      <c r="H16" s="84"/>
      <c r="I16" s="84"/>
      <c r="J16" s="43" t="e">
        <f>BS_ANLYSIS!J70</f>
        <v>#REF!</v>
      </c>
      <c r="K16" s="43">
        <v>0</v>
      </c>
      <c r="L16" s="43">
        <v>0</v>
      </c>
      <c r="M16" s="43">
        <v>0</v>
      </c>
      <c r="N16" s="43">
        <v>0</v>
      </c>
      <c r="O16" s="43">
        <v>0</v>
      </c>
      <c r="P16" s="43">
        <v>0</v>
      </c>
      <c r="Q16" s="300">
        <v>0</v>
      </c>
      <c r="R16" s="300">
        <v>0</v>
      </c>
    </row>
    <row r="17" spans="2:29">
      <c r="B17" s="165"/>
      <c r="C17" s="84"/>
      <c r="D17" s="366" t="s">
        <v>1187</v>
      </c>
      <c r="E17" s="366"/>
      <c r="F17" s="84" t="s">
        <v>1525</v>
      </c>
      <c r="G17" s="84"/>
      <c r="H17" s="84"/>
      <c r="I17" s="84"/>
      <c r="J17" s="43" t="e">
        <f>BS_ANLYSIS!J52+BS_ANLYSIS!J35</f>
        <v>#REF!</v>
      </c>
      <c r="K17" s="43">
        <v>0</v>
      </c>
      <c r="L17" s="43">
        <v>0</v>
      </c>
      <c r="M17" s="43">
        <v>0</v>
      </c>
      <c r="N17" s="43">
        <v>0</v>
      </c>
      <c r="O17" s="43">
        <v>0</v>
      </c>
      <c r="P17" s="43">
        <v>0</v>
      </c>
      <c r="Q17" s="300">
        <f>[17]CMA!L256</f>
        <v>0</v>
      </c>
      <c r="R17" s="300">
        <f>[17]CMA!M256</f>
        <v>0</v>
      </c>
      <c r="T17" s="67">
        <f>([17]Loans!I44+[17]Loans!I45+[17]Loans!I46)/100000</f>
        <v>154.38857999999999</v>
      </c>
    </row>
    <row r="18" spans="2:29">
      <c r="B18" s="165"/>
      <c r="C18" s="84"/>
      <c r="D18" s="366"/>
      <c r="E18" s="366"/>
      <c r="F18" s="84" t="s">
        <v>1526</v>
      </c>
      <c r="G18" s="84"/>
      <c r="H18" s="84"/>
      <c r="I18" s="84"/>
      <c r="J18" s="43"/>
      <c r="K18" s="43"/>
      <c r="L18" s="43"/>
      <c r="M18" s="43"/>
      <c r="N18" s="43"/>
      <c r="O18" s="43"/>
      <c r="P18" s="43"/>
      <c r="Q18" s="300"/>
      <c r="R18" s="300"/>
      <c r="T18" s="67"/>
    </row>
    <row r="19" spans="2:29">
      <c r="B19" s="165"/>
      <c r="C19" s="84"/>
      <c r="D19" s="366" t="s">
        <v>1190</v>
      </c>
      <c r="E19" s="366"/>
      <c r="F19" s="84" t="s">
        <v>1527</v>
      </c>
      <c r="G19" s="84"/>
      <c r="H19" s="84"/>
      <c r="I19" s="84"/>
      <c r="J19" s="43"/>
      <c r="K19" s="43"/>
      <c r="L19" s="43"/>
      <c r="M19" s="43"/>
      <c r="N19" s="43"/>
      <c r="O19" s="43"/>
      <c r="P19" s="43"/>
      <c r="Q19" s="300"/>
      <c r="R19" s="300"/>
      <c r="T19" s="67" t="e">
        <f>[17]Sch!T257</f>
        <v>#REF!</v>
      </c>
    </row>
    <row r="20" spans="2:29">
      <c r="B20" s="165"/>
      <c r="C20" s="84"/>
      <c r="D20" s="366"/>
      <c r="E20" s="366"/>
      <c r="F20" s="366" t="s">
        <v>1297</v>
      </c>
      <c r="G20" s="84" t="s">
        <v>1528</v>
      </c>
      <c r="H20" s="84"/>
      <c r="I20" s="84"/>
      <c r="J20" s="43">
        <v>0</v>
      </c>
      <c r="K20" s="43">
        <v>0</v>
      </c>
      <c r="L20" s="43">
        <v>0</v>
      </c>
      <c r="M20" s="43">
        <v>0</v>
      </c>
      <c r="N20" s="43">
        <v>0</v>
      </c>
      <c r="O20" s="43">
        <v>0</v>
      </c>
      <c r="P20" s="43">
        <v>0</v>
      </c>
      <c r="Q20" s="300">
        <v>0</v>
      </c>
      <c r="R20" s="300">
        <v>0</v>
      </c>
    </row>
    <row r="21" spans="2:29">
      <c r="B21" s="165"/>
      <c r="C21" s="84"/>
      <c r="D21" s="366"/>
      <c r="E21" s="366"/>
      <c r="F21" s="366" t="s">
        <v>1302</v>
      </c>
      <c r="G21" s="84" t="s">
        <v>1077</v>
      </c>
      <c r="H21" s="84"/>
      <c r="I21" s="84"/>
      <c r="J21" s="43">
        <v>0</v>
      </c>
      <c r="K21" s="43">
        <v>0</v>
      </c>
      <c r="L21" s="43">
        <v>0</v>
      </c>
      <c r="M21" s="43">
        <v>0</v>
      </c>
      <c r="N21" s="43">
        <v>0</v>
      </c>
      <c r="O21" s="43">
        <v>0</v>
      </c>
      <c r="P21" s="43">
        <v>0</v>
      </c>
      <c r="Q21" s="300">
        <v>0</v>
      </c>
      <c r="R21" s="300">
        <v>0</v>
      </c>
    </row>
    <row r="22" spans="2:29">
      <c r="B22" s="165"/>
      <c r="C22" s="84"/>
      <c r="D22" s="366" t="s">
        <v>1201</v>
      </c>
      <c r="E22" s="366"/>
      <c r="F22" s="84" t="s">
        <v>1529</v>
      </c>
      <c r="G22" s="84"/>
      <c r="H22" s="84"/>
      <c r="I22" s="84"/>
      <c r="J22" s="43" t="e">
        <f>BS_ANLYSIS!J59</f>
        <v>#REF!</v>
      </c>
      <c r="K22" s="43" t="e">
        <f>BS_ANLYSIS!K59-BS_ANLYSIS!J59</f>
        <v>#REF!</v>
      </c>
      <c r="L22" s="43" t="e">
        <f>BS_ANLYSIS!L59-BS_ANLYSIS!K59</f>
        <v>#REF!</v>
      </c>
      <c r="M22" s="43" t="e">
        <f>BS_ANLYSIS!M59-BS_ANLYSIS!L59</f>
        <v>#REF!</v>
      </c>
      <c r="N22" s="43" t="e">
        <f>BS_ANLYSIS!N59-BS_ANLYSIS!M59</f>
        <v>#REF!</v>
      </c>
      <c r="O22" s="43" t="e">
        <f>BS_ANLYSIS!O59-BS_ANLYSIS!N59</f>
        <v>#REF!</v>
      </c>
      <c r="P22" s="43" t="e">
        <f>BS_ANLYSIS!P59-BS_ANLYSIS!O59</f>
        <v>#REF!</v>
      </c>
      <c r="Q22" s="300" t="e">
        <f>BS_ANLYSIS!Q59-BS_ANLYSIS!P59</f>
        <v>#REF!</v>
      </c>
      <c r="R22" s="300" t="e">
        <f>BS_ANLYSIS!R59-BS_ANLYSIS!Q59</f>
        <v>#REF!</v>
      </c>
      <c r="T22" s="67">
        <f>'[17]BS&amp;PL'!H21+M17-M30</f>
        <v>482.42791</v>
      </c>
      <c r="U22" s="67">
        <f>'[17]BS&amp;PL'!H21+FUND_FLOW!M17-FUND_FLOW!M30</f>
        <v>482.42791</v>
      </c>
      <c r="V22" s="67">
        <f>'[17]BS&amp;PL'!J21+O17-O30</f>
        <v>1461.5904341</v>
      </c>
    </row>
    <row r="23" spans="2:29">
      <c r="B23" s="165"/>
      <c r="C23" s="84"/>
      <c r="D23" s="366"/>
      <c r="E23" s="366"/>
      <c r="F23" s="84" t="s">
        <v>1346</v>
      </c>
      <c r="G23" s="84"/>
      <c r="H23" s="84"/>
      <c r="I23" s="84"/>
      <c r="J23" s="43">
        <v>0</v>
      </c>
      <c r="K23" s="43">
        <v>0</v>
      </c>
      <c r="L23" s="43">
        <v>0</v>
      </c>
      <c r="M23" s="43">
        <v>0</v>
      </c>
      <c r="N23" s="43">
        <v>0</v>
      </c>
      <c r="O23" s="43">
        <v>0</v>
      </c>
      <c r="P23" s="43">
        <v>0</v>
      </c>
      <c r="Q23" s="300">
        <v>0</v>
      </c>
      <c r="R23" s="300">
        <v>0</v>
      </c>
      <c r="T23" s="67">
        <f>'[17]BS&amp;PL'!J21</f>
        <v>2001.5904341</v>
      </c>
      <c r="U23" s="67">
        <f>'[17]BS&amp;PL'!I21</f>
        <v>1047.3123611999999</v>
      </c>
      <c r="V23" s="67">
        <f>'[17]BS&amp;PL'!K21</f>
        <v>2223.3859490999998</v>
      </c>
    </row>
    <row r="24" spans="2:29">
      <c r="B24" s="165"/>
      <c r="C24" s="84"/>
      <c r="D24" s="366"/>
      <c r="E24" s="366"/>
      <c r="F24" s="84" t="s">
        <v>1530</v>
      </c>
      <c r="G24" s="84"/>
      <c r="H24" s="84"/>
      <c r="I24" s="84"/>
      <c r="J24" s="43">
        <v>0</v>
      </c>
      <c r="K24" s="43">
        <v>0</v>
      </c>
      <c r="L24" s="43">
        <v>0</v>
      </c>
      <c r="M24" s="43">
        <v>0</v>
      </c>
      <c r="N24" s="43">
        <v>0</v>
      </c>
      <c r="O24" s="43">
        <v>0</v>
      </c>
      <c r="P24" s="43">
        <v>0</v>
      </c>
      <c r="Q24" s="300">
        <v>0</v>
      </c>
      <c r="R24" s="300">
        <v>0</v>
      </c>
      <c r="T24" s="67">
        <f>T22-T23</f>
        <v>-1519.1625241000002</v>
      </c>
    </row>
    <row r="25" spans="2:29">
      <c r="B25" s="165"/>
      <c r="C25" s="84"/>
      <c r="D25" s="366" t="s">
        <v>1194</v>
      </c>
      <c r="E25" s="366"/>
      <c r="F25" s="84" t="s">
        <v>347</v>
      </c>
      <c r="G25" s="84"/>
      <c r="H25" s="84"/>
      <c r="I25" s="84"/>
      <c r="J25" s="6" t="e">
        <f t="shared" ref="J25:R25" si="0">SUM(J14:J24)</f>
        <v>#REF!</v>
      </c>
      <c r="K25" s="6" t="e">
        <f t="shared" si="0"/>
        <v>#REF!</v>
      </c>
      <c r="L25" s="6" t="e">
        <f t="shared" si="0"/>
        <v>#REF!</v>
      </c>
      <c r="M25" s="6" t="e">
        <f t="shared" si="0"/>
        <v>#REF!</v>
      </c>
      <c r="N25" s="6" t="e">
        <f t="shared" si="0"/>
        <v>#REF!</v>
      </c>
      <c r="O25" s="6" t="e">
        <f t="shared" si="0"/>
        <v>#REF!</v>
      </c>
      <c r="P25" s="6" t="e">
        <f t="shared" si="0"/>
        <v>#REF!</v>
      </c>
      <c r="Q25" s="302" t="e">
        <f t="shared" si="0"/>
        <v>#REF!</v>
      </c>
      <c r="R25" s="302" t="e">
        <f t="shared" si="0"/>
        <v>#REF!</v>
      </c>
    </row>
    <row r="26" spans="2:29">
      <c r="B26" s="165"/>
      <c r="C26" s="84"/>
      <c r="D26" s="366"/>
      <c r="E26" s="366"/>
      <c r="F26" s="84"/>
      <c r="G26" s="84"/>
      <c r="H26" s="84"/>
      <c r="I26" s="84"/>
      <c r="J26" s="84"/>
      <c r="K26" s="84"/>
      <c r="L26" s="84"/>
      <c r="M26" s="84"/>
      <c r="N26" s="84"/>
      <c r="O26" s="84"/>
      <c r="P26" s="84"/>
      <c r="Q26" s="303"/>
      <c r="R26" s="303"/>
    </row>
    <row r="27" spans="2:29">
      <c r="B27" s="165"/>
      <c r="C27" s="78">
        <v>2</v>
      </c>
      <c r="D27" s="366"/>
      <c r="E27" s="366"/>
      <c r="F27" s="78" t="s">
        <v>1531</v>
      </c>
      <c r="G27" s="84"/>
      <c r="H27" s="84"/>
      <c r="I27" s="84"/>
      <c r="J27" s="84"/>
      <c r="K27" s="84"/>
      <c r="L27" s="84"/>
      <c r="M27" s="84"/>
      <c r="N27" s="84"/>
      <c r="O27" s="84"/>
      <c r="P27" s="84"/>
      <c r="Q27" s="303"/>
      <c r="R27" s="303"/>
    </row>
    <row r="28" spans="2:29">
      <c r="B28" s="165"/>
      <c r="C28" s="84"/>
      <c r="D28" s="366"/>
      <c r="E28" s="366"/>
      <c r="F28" s="84"/>
      <c r="G28" s="84"/>
      <c r="H28" s="84"/>
      <c r="I28" s="84"/>
      <c r="J28" s="84"/>
      <c r="K28" s="84"/>
      <c r="L28" s="84"/>
      <c r="M28" s="84"/>
      <c r="N28" s="84"/>
      <c r="O28" s="84"/>
      <c r="P28" s="84"/>
      <c r="Q28" s="303"/>
      <c r="R28" s="303"/>
    </row>
    <row r="29" spans="2:29">
      <c r="B29" s="165"/>
      <c r="C29" s="84"/>
      <c r="D29" s="366" t="s">
        <v>1181</v>
      </c>
      <c r="E29" s="366"/>
      <c r="F29" s="84" t="s">
        <v>1532</v>
      </c>
      <c r="G29" s="84"/>
      <c r="H29" s="84"/>
      <c r="I29" s="84"/>
      <c r="J29" s="43">
        <v>0</v>
      </c>
      <c r="K29" s="43">
        <v>0</v>
      </c>
      <c r="L29" s="43">
        <v>0</v>
      </c>
      <c r="M29" s="43">
        <v>0</v>
      </c>
      <c r="N29" s="43">
        <v>0</v>
      </c>
      <c r="O29" s="43">
        <v>0</v>
      </c>
      <c r="P29" s="43">
        <v>0</v>
      </c>
      <c r="Q29" s="300">
        <v>0</v>
      </c>
      <c r="R29" s="300">
        <v>0</v>
      </c>
    </row>
    <row r="30" spans="2:29">
      <c r="B30" s="165"/>
      <c r="C30" s="84"/>
      <c r="D30" s="366" t="s">
        <v>1183</v>
      </c>
      <c r="E30" s="366"/>
      <c r="F30" s="84" t="s">
        <v>1533</v>
      </c>
      <c r="G30" s="84"/>
      <c r="H30" s="84"/>
      <c r="I30" s="84"/>
      <c r="J30" s="43">
        <v>0</v>
      </c>
      <c r="K30" s="43">
        <f>BS_ANLYSIS!J35</f>
        <v>180</v>
      </c>
      <c r="L30" s="43">
        <f>BS_ANLYSIS!K35</f>
        <v>300</v>
      </c>
      <c r="M30" s="43">
        <f>BS_ANLYSIS!L35</f>
        <v>360</v>
      </c>
      <c r="N30" s="43">
        <f>BS_ANLYSIS!M35</f>
        <v>480</v>
      </c>
      <c r="O30" s="43">
        <f>BS_ANLYSIS!N35</f>
        <v>540</v>
      </c>
      <c r="P30" s="43">
        <f>BS_ANLYSIS!O35</f>
        <v>600</v>
      </c>
      <c r="Q30" s="300">
        <f>BS_ANLYSIS!P35</f>
        <v>0</v>
      </c>
      <c r="R30" s="300">
        <f>BS_ANLYSIS!Q35</f>
        <v>0</v>
      </c>
      <c r="AC30" s="370"/>
    </row>
    <row r="31" spans="2:29">
      <c r="B31" s="165"/>
      <c r="C31" s="84"/>
      <c r="D31" s="366"/>
      <c r="E31" s="366"/>
      <c r="F31" s="84" t="s">
        <v>1526</v>
      </c>
      <c r="G31" s="84"/>
      <c r="H31" s="84"/>
      <c r="I31" s="84"/>
      <c r="J31" s="84"/>
      <c r="K31" s="84"/>
      <c r="L31" s="84"/>
      <c r="M31" s="84"/>
      <c r="N31" s="84"/>
      <c r="O31" s="84"/>
      <c r="P31" s="84"/>
      <c r="Q31" s="303"/>
      <c r="R31" s="303"/>
    </row>
    <row r="32" spans="2:29">
      <c r="B32" s="165"/>
      <c r="C32" s="84"/>
      <c r="D32" s="366" t="s">
        <v>1185</v>
      </c>
      <c r="E32" s="366"/>
      <c r="F32" s="84" t="s">
        <v>1198</v>
      </c>
      <c r="G32" s="84"/>
      <c r="H32" s="84"/>
      <c r="I32" s="84"/>
      <c r="J32" s="84"/>
      <c r="K32" s="84"/>
      <c r="L32" s="84"/>
      <c r="M32" s="84"/>
      <c r="N32" s="84"/>
      <c r="O32" s="84"/>
      <c r="P32" s="84"/>
      <c r="Q32" s="303"/>
      <c r="R32" s="303"/>
    </row>
    <row r="33" spans="2:25">
      <c r="B33" s="165"/>
      <c r="C33" s="84"/>
      <c r="D33" s="366"/>
      <c r="E33" s="366"/>
      <c r="F33" s="366" t="s">
        <v>1297</v>
      </c>
      <c r="G33" s="84" t="s">
        <v>1528</v>
      </c>
      <c r="H33" s="84"/>
      <c r="I33" s="84"/>
      <c r="J33" s="43" t="e">
        <f>BS_ANLYSIS!J130</f>
        <v>#REF!</v>
      </c>
      <c r="K33" s="43" t="e">
        <f>BS_ANLYSIS!K130-BS_ANLYSIS!J130</f>
        <v>#REF!</v>
      </c>
      <c r="L33" s="43" t="e">
        <f>BS_ANLYSIS!L130-BS_ANLYSIS!K130</f>
        <v>#REF!</v>
      </c>
      <c r="M33" s="43" t="e">
        <f>BS_ANLYSIS!M130-BS_ANLYSIS!L130</f>
        <v>#REF!</v>
      </c>
      <c r="N33" s="43" t="e">
        <f>BS_ANLYSIS!N130-BS_ANLYSIS!M130</f>
        <v>#REF!</v>
      </c>
      <c r="O33" s="43" t="e">
        <f>BS_ANLYSIS!O130-BS_ANLYSIS!N130</f>
        <v>#REF!</v>
      </c>
      <c r="P33" s="43" t="e">
        <f>BS_ANLYSIS!P130-BS_ANLYSIS!O130</f>
        <v>#REF!</v>
      </c>
      <c r="Q33" s="300" t="e">
        <f>BS_ANLYSIS!Q130-BS_ANLYSIS!P130</f>
        <v>#REF!</v>
      </c>
      <c r="R33" s="300" t="e">
        <f>BS_ANLYSIS!R130-BS_ANLYSIS!Q130</f>
        <v>#REF!</v>
      </c>
      <c r="T33" s="51">
        <f>[17]CMA!F273</f>
        <v>74.06</v>
      </c>
      <c r="U33" s="51">
        <f>[17]CMA!G273</f>
        <v>310.75789042280826</v>
      </c>
      <c r="V33" s="51">
        <f>[17]CMA!H273</f>
        <v>366.40049000000005</v>
      </c>
      <c r="W33" s="51">
        <f>[17]CMA!I273</f>
        <v>1296.731205</v>
      </c>
    </row>
    <row r="34" spans="2:25">
      <c r="B34" s="165"/>
      <c r="C34" s="84"/>
      <c r="D34" s="366"/>
      <c r="E34" s="366"/>
      <c r="F34" s="366" t="s">
        <v>1302</v>
      </c>
      <c r="G34" s="84" t="s">
        <v>1077</v>
      </c>
      <c r="H34" s="84"/>
      <c r="I34" s="84"/>
      <c r="J34" s="43" t="e">
        <f>BS_ANLYSIS!J152</f>
        <v>#REF!</v>
      </c>
      <c r="K34" s="43" t="e">
        <f>BS_ANLYSIS!K152-BS_ANLYSIS!J152</f>
        <v>#REF!</v>
      </c>
      <c r="L34" s="43" t="e">
        <f>BS_ANLYSIS!L152-BS_ANLYSIS!K152</f>
        <v>#REF!</v>
      </c>
      <c r="M34" s="43" t="e">
        <f>BS_ANLYSIS!M152-BS_ANLYSIS!L152</f>
        <v>#REF!</v>
      </c>
      <c r="N34" s="43" t="e">
        <f>BS_ANLYSIS!N152-BS_ANLYSIS!M152</f>
        <v>#REF!</v>
      </c>
      <c r="O34" s="43" t="e">
        <f>BS_ANLYSIS!O152-BS_ANLYSIS!N152</f>
        <v>#REF!</v>
      </c>
      <c r="P34" s="43" t="e">
        <f>BS_ANLYSIS!P152-BS_ANLYSIS!O152</f>
        <v>#REF!</v>
      </c>
      <c r="Q34" s="300" t="e">
        <f>BS_ANLYSIS!Q152-BS_ANLYSIS!P152</f>
        <v>#REF!</v>
      </c>
      <c r="R34" s="300" t="e">
        <f>BS_ANLYSIS!R152-BS_ANLYSIS!Q152</f>
        <v>#REF!</v>
      </c>
      <c r="U34" s="67" t="e">
        <f>U33-L33</f>
        <v>#REF!</v>
      </c>
      <c r="V34" s="67" t="e">
        <f>V33-M33</f>
        <v>#REF!</v>
      </c>
    </row>
    <row r="35" spans="2:25">
      <c r="B35" s="165"/>
      <c r="C35" s="84"/>
      <c r="D35" s="366" t="s">
        <v>1187</v>
      </c>
      <c r="E35" s="366"/>
      <c r="F35" s="84" t="s">
        <v>1534</v>
      </c>
      <c r="G35" s="84"/>
      <c r="H35" s="84"/>
      <c r="I35" s="84"/>
      <c r="J35" s="43">
        <f>'P  L '!D64</f>
        <v>35.652353731319273</v>
      </c>
      <c r="K35" s="43">
        <f>'P  L '!E64</f>
        <v>35.629787236896391</v>
      </c>
      <c r="L35" s="43">
        <f>'P  L '!F64</f>
        <v>41.957620846358992</v>
      </c>
      <c r="M35" s="43">
        <f>'P  L '!G64</f>
        <v>52.036420293660427</v>
      </c>
      <c r="N35" s="43">
        <f>'P  L '!H64</f>
        <v>62.672099467423806</v>
      </c>
      <c r="O35" s="43">
        <f>'P  L '!I64</f>
        <v>73.377743847027801</v>
      </c>
      <c r="P35" s="43">
        <f>'P  L '!J64</f>
        <v>85.563563553233166</v>
      </c>
      <c r="Q35" s="300">
        <f>'P  L '!K64</f>
        <v>96.533819278732523</v>
      </c>
      <c r="R35" s="43" t="e">
        <f>'P  L '!L64</f>
        <v>#VALUE!</v>
      </c>
    </row>
    <row r="36" spans="2:25">
      <c r="B36" s="165"/>
      <c r="C36" s="84"/>
      <c r="D36" s="366" t="s">
        <v>1190</v>
      </c>
      <c r="E36" s="366"/>
      <c r="F36" s="84" t="s">
        <v>612</v>
      </c>
      <c r="G36" s="84"/>
      <c r="H36" s="84" t="s">
        <v>1535</v>
      </c>
      <c r="I36" s="84"/>
      <c r="J36" s="43">
        <v>0</v>
      </c>
      <c r="K36" s="43">
        <v>0</v>
      </c>
      <c r="L36" s="43">
        <v>0</v>
      </c>
      <c r="M36" s="43">
        <v>0</v>
      </c>
      <c r="N36" s="43">
        <v>0</v>
      </c>
      <c r="O36" s="43">
        <v>0</v>
      </c>
      <c r="P36" s="43">
        <v>0</v>
      </c>
      <c r="Q36" s="300">
        <v>0</v>
      </c>
      <c r="R36" s="300">
        <v>0</v>
      </c>
    </row>
    <row r="37" spans="2:25">
      <c r="B37" s="165"/>
      <c r="C37" s="84"/>
      <c r="D37" s="366"/>
      <c r="E37" s="366"/>
      <c r="F37" s="84"/>
      <c r="G37" s="84"/>
      <c r="H37" s="84"/>
      <c r="I37" s="84"/>
      <c r="J37" s="84"/>
      <c r="K37" s="84"/>
      <c r="L37" s="84"/>
      <c r="M37" s="84"/>
      <c r="N37" s="84"/>
      <c r="O37" s="84"/>
      <c r="P37" s="84"/>
      <c r="Q37" s="303"/>
      <c r="R37" s="303"/>
    </row>
    <row r="38" spans="2:25">
      <c r="B38" s="165"/>
      <c r="C38" s="84"/>
      <c r="D38" s="366" t="s">
        <v>1201</v>
      </c>
      <c r="E38" s="366"/>
      <c r="F38" s="84" t="s">
        <v>347</v>
      </c>
      <c r="G38" s="84"/>
      <c r="H38" s="84"/>
      <c r="I38" s="84"/>
      <c r="J38" s="6" t="e">
        <f t="shared" ref="J38:Q38" si="1">SUM(J29:J36)</f>
        <v>#REF!</v>
      </c>
      <c r="K38" s="6" t="e">
        <f t="shared" si="1"/>
        <v>#REF!</v>
      </c>
      <c r="L38" s="6" t="e">
        <f t="shared" si="1"/>
        <v>#REF!</v>
      </c>
      <c r="M38" s="6" t="e">
        <f t="shared" si="1"/>
        <v>#REF!</v>
      </c>
      <c r="N38" s="6" t="e">
        <f t="shared" si="1"/>
        <v>#REF!</v>
      </c>
      <c r="O38" s="6" t="e">
        <f t="shared" si="1"/>
        <v>#REF!</v>
      </c>
      <c r="P38" s="6" t="e">
        <f t="shared" si="1"/>
        <v>#REF!</v>
      </c>
      <c r="Q38" s="302" t="e">
        <f t="shared" si="1"/>
        <v>#REF!</v>
      </c>
      <c r="R38" s="302" t="e">
        <f>SUM(R29:R36)</f>
        <v>#REF!</v>
      </c>
    </row>
    <row r="39" spans="2:25">
      <c r="B39" s="165"/>
      <c r="C39" s="84"/>
      <c r="D39" s="84"/>
      <c r="E39" s="84"/>
      <c r="F39" s="84"/>
      <c r="G39" s="84"/>
      <c r="H39" s="84"/>
      <c r="I39" s="84"/>
      <c r="J39" s="84"/>
      <c r="K39" s="84"/>
      <c r="L39" s="84"/>
      <c r="M39" s="84"/>
      <c r="N39" s="84"/>
      <c r="O39" s="84"/>
      <c r="P39" s="84"/>
      <c r="Q39" s="303"/>
      <c r="R39" s="303"/>
    </row>
    <row r="40" spans="2:25">
      <c r="B40" s="165"/>
      <c r="C40" s="84">
        <v>3</v>
      </c>
      <c r="D40" s="84"/>
      <c r="E40" s="84"/>
      <c r="F40" s="84" t="s">
        <v>1536</v>
      </c>
      <c r="G40" s="84"/>
      <c r="H40" s="84"/>
      <c r="I40" s="84"/>
      <c r="J40" s="43" t="e">
        <f t="shared" ref="J40:Q40" si="2">J25-J38</f>
        <v>#REF!</v>
      </c>
      <c r="K40" s="43" t="e">
        <f t="shared" si="2"/>
        <v>#REF!</v>
      </c>
      <c r="L40" s="43" t="e">
        <f t="shared" si="2"/>
        <v>#REF!</v>
      </c>
      <c r="M40" s="43" t="e">
        <f t="shared" si="2"/>
        <v>#REF!</v>
      </c>
      <c r="N40" s="43" t="e">
        <f t="shared" si="2"/>
        <v>#REF!</v>
      </c>
      <c r="O40" s="43" t="e">
        <f t="shared" si="2"/>
        <v>#REF!</v>
      </c>
      <c r="P40" s="43" t="e">
        <f t="shared" si="2"/>
        <v>#REF!</v>
      </c>
      <c r="Q40" s="300" t="e">
        <f t="shared" si="2"/>
        <v>#REF!</v>
      </c>
      <c r="R40" s="300" t="e">
        <f>R25-R38</f>
        <v>#REF!</v>
      </c>
      <c r="S40" s="51">
        <f>[17]CMA!F310</f>
        <v>160.40529000000012</v>
      </c>
      <c r="T40" s="51">
        <f>[17]CMA!G310</f>
        <v>102.77483300825753</v>
      </c>
      <c r="U40" s="51">
        <f>[17]CMA!H310</f>
        <v>186.37293430000034</v>
      </c>
      <c r="V40" s="51">
        <f>[17]CMA!I310</f>
        <v>-338.83783049999965</v>
      </c>
    </row>
    <row r="41" spans="2:25" ht="5.25" customHeight="1">
      <c r="B41" s="165"/>
      <c r="C41" s="84"/>
      <c r="D41" s="84"/>
      <c r="E41" s="84"/>
      <c r="F41" s="84"/>
      <c r="G41" s="84"/>
      <c r="H41" s="84"/>
      <c r="I41" s="84"/>
      <c r="J41" s="84"/>
      <c r="K41" s="84"/>
      <c r="L41" s="84"/>
      <c r="M41" s="84"/>
      <c r="N41" s="84"/>
      <c r="O41" s="84"/>
      <c r="P41" s="84"/>
      <c r="Q41" s="303"/>
      <c r="R41" s="303"/>
    </row>
    <row r="42" spans="2:25">
      <c r="B42" s="165"/>
      <c r="C42" s="84">
        <v>4</v>
      </c>
      <c r="D42" s="84"/>
      <c r="E42" s="84"/>
      <c r="F42" s="84" t="s">
        <v>1537</v>
      </c>
      <c r="G42" s="84"/>
      <c r="H42" s="84"/>
      <c r="I42" s="84"/>
      <c r="J42" s="43" t="e">
        <f t="shared" ref="J42:Q42" si="3">J74</f>
        <v>#REF!</v>
      </c>
      <c r="K42" s="43" t="e">
        <f t="shared" si="3"/>
        <v>#REF!</v>
      </c>
      <c r="L42" s="43" t="e">
        <f t="shared" si="3"/>
        <v>#REF!</v>
      </c>
      <c r="M42" s="43" t="e">
        <f t="shared" si="3"/>
        <v>#REF!</v>
      </c>
      <c r="N42" s="43" t="e">
        <f t="shared" si="3"/>
        <v>#REF!</v>
      </c>
      <c r="O42" s="43" t="e">
        <f t="shared" si="3"/>
        <v>#REF!</v>
      </c>
      <c r="P42" s="43" t="e">
        <f t="shared" si="3"/>
        <v>#REF!</v>
      </c>
      <c r="Q42" s="300" t="e">
        <f t="shared" si="3"/>
        <v>#REF!</v>
      </c>
      <c r="R42" s="300" t="e">
        <f>R74</f>
        <v>#REF!</v>
      </c>
    </row>
    <row r="43" spans="2:25">
      <c r="B43" s="165"/>
      <c r="C43" s="84"/>
      <c r="D43" s="84"/>
      <c r="E43" s="84"/>
      <c r="F43" s="84" t="s">
        <v>1538</v>
      </c>
      <c r="G43" s="84"/>
      <c r="H43" s="84"/>
      <c r="I43" s="84"/>
      <c r="J43" s="43"/>
      <c r="K43" s="43"/>
      <c r="L43" s="43"/>
      <c r="M43" s="43"/>
      <c r="N43" s="43"/>
      <c r="O43" s="43"/>
      <c r="P43" s="43"/>
      <c r="Q43" s="300"/>
      <c r="R43" s="300"/>
    </row>
    <row r="44" spans="2:25" ht="6" customHeight="1">
      <c r="B44" s="165"/>
      <c r="C44" s="84"/>
      <c r="D44" s="84"/>
      <c r="E44" s="84"/>
      <c r="F44" s="84"/>
      <c r="G44" s="84"/>
      <c r="H44" s="84"/>
      <c r="I44" s="84"/>
      <c r="J44" s="84"/>
      <c r="K44" s="84"/>
      <c r="L44" s="84"/>
      <c r="M44" s="84"/>
      <c r="N44" s="84"/>
      <c r="O44" s="84"/>
      <c r="P44" s="84"/>
      <c r="Q44" s="303"/>
      <c r="R44" s="303"/>
    </row>
    <row r="45" spans="2:25">
      <c r="B45" s="165"/>
      <c r="C45" s="84">
        <v>5</v>
      </c>
      <c r="D45" s="84"/>
      <c r="E45" s="84"/>
      <c r="F45" s="84" t="s">
        <v>1539</v>
      </c>
      <c r="G45" s="84"/>
      <c r="H45" s="84"/>
      <c r="I45" s="84"/>
      <c r="J45" s="43" t="e">
        <f>BS_ANLYSIS!J23+BS_ANLYSIS!J39</f>
        <v>#REF!</v>
      </c>
      <c r="K45" s="43" t="e">
        <f>BS_ANLYSIS!K23-BS_ANLYSIS!J23+BS_ANLYSIS!K39-BS_ANLYSIS!J39</f>
        <v>#REF!</v>
      </c>
      <c r="L45" s="43" t="e">
        <f>BS_ANLYSIS!L23-BS_ANLYSIS!K23+BS_ANLYSIS!L39-BS_ANLYSIS!K39</f>
        <v>#REF!</v>
      </c>
      <c r="M45" s="43" t="e">
        <f>BS_ANLYSIS!M23-BS_ANLYSIS!L23+BS_ANLYSIS!M39-BS_ANLYSIS!L39</f>
        <v>#REF!</v>
      </c>
      <c r="N45" s="43" t="e">
        <f>BS_ANLYSIS!N23-BS_ANLYSIS!M23+BS_ANLYSIS!N39-BS_ANLYSIS!M39</f>
        <v>#REF!</v>
      </c>
      <c r="O45" s="43" t="e">
        <f>BS_ANLYSIS!O23-BS_ANLYSIS!N23+BS_ANLYSIS!O39-BS_ANLYSIS!N39</f>
        <v>#REF!</v>
      </c>
      <c r="P45" s="43" t="e">
        <f>BS_ANLYSIS!P23-BS_ANLYSIS!O23+BS_ANLYSIS!P39-BS_ANLYSIS!O39</f>
        <v>#REF!</v>
      </c>
      <c r="Q45" s="300" t="e">
        <f>BS_ANLYSIS!Q23-BS_ANLYSIS!P23+BS_ANLYSIS!Q39-BS_ANLYSIS!P39</f>
        <v>#REF!</v>
      </c>
      <c r="R45" s="300" t="e">
        <f>BS_ANLYSIS!R23-BS_ANLYSIS!Q23+BS_ANLYSIS!R39-BS_ANLYSIS!Q39</f>
        <v>#REF!</v>
      </c>
      <c r="T45" s="43"/>
      <c r="U45" s="43"/>
      <c r="V45" s="43"/>
      <c r="W45" s="43"/>
      <c r="X45" s="43"/>
      <c r="Y45" s="43"/>
    </row>
    <row r="46" spans="2:25">
      <c r="B46" s="165"/>
      <c r="C46" s="84"/>
      <c r="D46" s="84"/>
      <c r="E46" s="84"/>
      <c r="F46" s="84" t="s">
        <v>1540</v>
      </c>
      <c r="G46" s="84"/>
      <c r="H46" s="84"/>
      <c r="I46" s="84"/>
      <c r="J46" s="43"/>
      <c r="K46" s="43"/>
      <c r="L46" s="43"/>
      <c r="M46" s="43"/>
      <c r="N46" s="43"/>
      <c r="O46" s="43"/>
      <c r="P46" s="43"/>
      <c r="Q46" s="300"/>
      <c r="R46" s="300"/>
    </row>
    <row r="47" spans="2:25">
      <c r="B47" s="165"/>
      <c r="C47" s="84"/>
      <c r="D47" s="84"/>
      <c r="E47" s="84"/>
      <c r="F47" s="84"/>
      <c r="G47" s="84"/>
      <c r="H47" s="84"/>
      <c r="I47" s="84"/>
      <c r="J47" s="43"/>
      <c r="K47" s="43"/>
      <c r="L47" s="43"/>
      <c r="M47" s="43"/>
      <c r="N47" s="43"/>
      <c r="O47" s="43"/>
      <c r="P47" s="43"/>
      <c r="Q47" s="300"/>
      <c r="R47" s="300"/>
      <c r="W47" s="43">
        <f>MPBF!W19-MPBF!V19</f>
        <v>0</v>
      </c>
    </row>
    <row r="48" spans="2:25">
      <c r="B48" s="165"/>
      <c r="C48" s="84">
        <v>6</v>
      </c>
      <c r="D48" s="84"/>
      <c r="E48" s="84"/>
      <c r="F48" s="84" t="s">
        <v>1541</v>
      </c>
      <c r="G48" s="84"/>
      <c r="H48" s="84"/>
      <c r="I48" s="84"/>
      <c r="J48" s="43" t="e">
        <f t="shared" ref="J48:R48" si="4">J42-J45</f>
        <v>#REF!</v>
      </c>
      <c r="K48" s="43" t="e">
        <f t="shared" si="4"/>
        <v>#REF!</v>
      </c>
      <c r="L48" s="43" t="e">
        <f t="shared" si="4"/>
        <v>#REF!</v>
      </c>
      <c r="M48" s="43" t="e">
        <f t="shared" si="4"/>
        <v>#REF!</v>
      </c>
      <c r="N48" s="43" t="e">
        <f t="shared" si="4"/>
        <v>#REF!</v>
      </c>
      <c r="O48" s="43" t="e">
        <f t="shared" si="4"/>
        <v>#REF!</v>
      </c>
      <c r="P48" s="43" t="e">
        <f t="shared" si="4"/>
        <v>#REF!</v>
      </c>
      <c r="Q48" s="300" t="e">
        <f t="shared" si="4"/>
        <v>#REF!</v>
      </c>
      <c r="R48" s="300" t="e">
        <f t="shared" si="4"/>
        <v>#REF!</v>
      </c>
    </row>
    <row r="49" spans="2:25">
      <c r="B49" s="165"/>
      <c r="C49" s="84"/>
      <c r="D49" s="84"/>
      <c r="E49" s="84"/>
      <c r="F49" s="84" t="s">
        <v>1542</v>
      </c>
      <c r="G49" s="84"/>
      <c r="H49" s="84"/>
      <c r="I49" s="84"/>
      <c r="J49" s="43"/>
      <c r="K49" s="43"/>
      <c r="L49" s="43"/>
      <c r="M49" s="43"/>
      <c r="N49" s="43"/>
      <c r="O49" s="43"/>
      <c r="P49" s="43"/>
      <c r="Q49" s="300"/>
      <c r="R49" s="300"/>
    </row>
    <row r="50" spans="2:25">
      <c r="B50" s="165"/>
      <c r="C50" s="84"/>
      <c r="D50" s="84"/>
      <c r="E50" s="84"/>
      <c r="F50" s="84"/>
      <c r="G50" s="84"/>
      <c r="H50" s="84"/>
      <c r="I50" s="84"/>
      <c r="J50" s="84"/>
      <c r="K50" s="84"/>
      <c r="L50" s="84"/>
      <c r="M50" s="84"/>
      <c r="N50" s="84"/>
      <c r="O50" s="84"/>
      <c r="P50" s="84"/>
      <c r="Q50" s="303"/>
      <c r="R50" s="303"/>
    </row>
    <row r="51" spans="2:25">
      <c r="B51" s="165"/>
      <c r="C51" s="84">
        <v>7</v>
      </c>
      <c r="D51" s="84"/>
      <c r="E51" s="84"/>
      <c r="F51" s="84" t="s">
        <v>1543</v>
      </c>
      <c r="G51" s="84"/>
      <c r="H51" s="84"/>
      <c r="I51" s="84"/>
      <c r="J51" s="43" t="e">
        <f t="shared" ref="J51:P51" si="5">J40-J48</f>
        <v>#REF!</v>
      </c>
      <c r="K51" s="43" t="e">
        <f t="shared" si="5"/>
        <v>#REF!</v>
      </c>
      <c r="L51" s="43" t="e">
        <f t="shared" si="5"/>
        <v>#REF!</v>
      </c>
      <c r="M51" s="43" t="e">
        <f t="shared" si="5"/>
        <v>#REF!</v>
      </c>
      <c r="N51" s="43" t="e">
        <f t="shared" si="5"/>
        <v>#REF!</v>
      </c>
      <c r="O51" s="43" t="e">
        <f t="shared" si="5"/>
        <v>#REF!</v>
      </c>
      <c r="P51" s="43" t="e">
        <f t="shared" si="5"/>
        <v>#REF!</v>
      </c>
      <c r="Q51" s="300" t="e">
        <f>Q40-Q48</f>
        <v>#REF!</v>
      </c>
      <c r="R51" s="300" t="e">
        <f>R40-R48</f>
        <v>#REF!</v>
      </c>
      <c r="S51" s="67" t="e">
        <f t="shared" ref="S51:X51" si="6">M51+M54</f>
        <v>#REF!</v>
      </c>
      <c r="T51" s="67" t="e">
        <f t="shared" si="6"/>
        <v>#REF!</v>
      </c>
      <c r="U51" s="67" t="e">
        <f t="shared" si="6"/>
        <v>#REF!</v>
      </c>
      <c r="V51" s="67" t="e">
        <f t="shared" si="6"/>
        <v>#REF!</v>
      </c>
      <c r="W51" s="67" t="e">
        <f t="shared" si="6"/>
        <v>#REF!</v>
      </c>
      <c r="X51" s="67" t="e">
        <f t="shared" si="6"/>
        <v>#REF!</v>
      </c>
      <c r="Y51" s="67" t="e">
        <f>#REF!+#REF!</f>
        <v>#REF!</v>
      </c>
    </row>
    <row r="52" spans="2:25">
      <c r="B52" s="165"/>
      <c r="C52" s="84"/>
      <c r="D52" s="84"/>
      <c r="E52" s="84"/>
      <c r="F52" s="84" t="s">
        <v>1544</v>
      </c>
      <c r="G52" s="84"/>
      <c r="H52" s="84"/>
      <c r="I52" s="84"/>
      <c r="J52" s="84"/>
      <c r="K52" s="84"/>
      <c r="L52" s="84"/>
      <c r="M52" s="84"/>
      <c r="N52" s="84"/>
      <c r="O52" s="84"/>
      <c r="P52" s="84"/>
      <c r="Q52" s="303"/>
      <c r="R52" s="303"/>
    </row>
    <row r="53" spans="2:25">
      <c r="B53" s="165"/>
      <c r="C53" s="84"/>
      <c r="D53" s="84"/>
      <c r="E53" s="84"/>
      <c r="F53" s="84"/>
      <c r="G53" s="84"/>
      <c r="H53" s="84"/>
      <c r="I53" s="84"/>
      <c r="J53" s="84"/>
      <c r="K53" s="84"/>
      <c r="L53" s="84"/>
      <c r="M53" s="84"/>
      <c r="N53" s="84"/>
      <c r="O53" s="84"/>
      <c r="P53" s="84"/>
      <c r="Q53" s="303"/>
      <c r="R53" s="303"/>
    </row>
    <row r="54" spans="2:25">
      <c r="B54" s="165"/>
      <c r="C54" s="84">
        <v>8</v>
      </c>
      <c r="D54" s="84"/>
      <c r="E54" s="84"/>
      <c r="F54" s="84" t="s">
        <v>1545</v>
      </c>
      <c r="G54" s="84"/>
      <c r="H54" s="84"/>
      <c r="I54" s="84"/>
      <c r="J54" s="43">
        <v>0</v>
      </c>
      <c r="K54" s="43">
        <v>0</v>
      </c>
      <c r="L54" s="43">
        <v>0</v>
      </c>
      <c r="M54" s="43">
        <v>0</v>
      </c>
      <c r="N54" s="43">
        <v>0</v>
      </c>
      <c r="O54" s="43">
        <v>0</v>
      </c>
      <c r="P54" s="43">
        <v>0</v>
      </c>
      <c r="Q54" s="300">
        <v>0</v>
      </c>
      <c r="R54" s="300">
        <v>0</v>
      </c>
    </row>
    <row r="55" spans="2:25">
      <c r="B55" s="165"/>
      <c r="C55" s="84"/>
      <c r="D55" s="84"/>
      <c r="E55" s="84"/>
      <c r="F55" s="84"/>
      <c r="G55" s="84"/>
      <c r="H55" s="84"/>
      <c r="I55" s="84"/>
      <c r="J55" s="43"/>
      <c r="K55" s="43"/>
      <c r="L55" s="43"/>
      <c r="M55" s="43"/>
      <c r="N55" s="43"/>
      <c r="O55" s="43"/>
      <c r="P55" s="43"/>
      <c r="Q55" s="300"/>
      <c r="R55" s="300"/>
      <c r="T55" s="51">
        <v>2514765</v>
      </c>
    </row>
    <row r="56" spans="2:25">
      <c r="B56" s="165"/>
      <c r="C56" s="78" t="s">
        <v>1546</v>
      </c>
      <c r="E56" s="84"/>
      <c r="F56" s="84"/>
      <c r="G56" s="84"/>
      <c r="H56" s="84"/>
      <c r="I56" s="84"/>
      <c r="J56" s="43">
        <f>OP_STATEMENT!G19*100</f>
        <v>0</v>
      </c>
      <c r="K56" s="43" t="e">
        <f>OP_STATEMENT!H19*100</f>
        <v>#REF!</v>
      </c>
      <c r="L56" s="43" t="e">
        <f>OP_STATEMENT!I19*100</f>
        <v>#REF!</v>
      </c>
      <c r="M56" s="43" t="e">
        <f>OP_STATEMENT!J19*100</f>
        <v>#REF!</v>
      </c>
      <c r="N56" s="43" t="e">
        <f>OP_STATEMENT!K19*100</f>
        <v>#REF!</v>
      </c>
      <c r="O56" s="43" t="e">
        <f>OP_STATEMENT!L19*100</f>
        <v>#REF!</v>
      </c>
      <c r="P56" s="43" t="e">
        <f>OP_STATEMENT!M19*100</f>
        <v>#REF!</v>
      </c>
      <c r="Q56" s="300" t="e">
        <f>OP_STATEMENT!N19*100</f>
        <v>#REF!</v>
      </c>
      <c r="R56" s="300" t="e">
        <f>OP_STATEMENT!O19*100</f>
        <v>#REF!</v>
      </c>
      <c r="T56" s="51">
        <v>2518945</v>
      </c>
    </row>
    <row r="57" spans="2:25" ht="2.25" customHeight="1">
      <c r="B57" s="165"/>
      <c r="C57" s="84"/>
      <c r="D57" s="84"/>
      <c r="E57" s="84"/>
      <c r="F57" s="84"/>
      <c r="G57" s="84"/>
      <c r="H57" s="84"/>
      <c r="I57" s="84"/>
      <c r="J57" s="84"/>
      <c r="K57" s="84"/>
      <c r="L57" s="84"/>
      <c r="M57" s="84"/>
      <c r="N57" s="84"/>
      <c r="O57" s="84"/>
      <c r="P57" s="84"/>
      <c r="Q57" s="303"/>
      <c r="R57" s="303"/>
    </row>
    <row r="58" spans="2:25">
      <c r="B58" s="165"/>
      <c r="C58" s="84"/>
      <c r="D58" s="78" t="s">
        <v>1547</v>
      </c>
      <c r="E58" s="84"/>
      <c r="F58" s="84"/>
      <c r="G58" s="84"/>
      <c r="H58" s="84"/>
      <c r="I58" s="84"/>
      <c r="J58" s="84"/>
      <c r="K58" s="84"/>
      <c r="L58" s="84"/>
      <c r="M58" s="84"/>
      <c r="N58" s="84"/>
      <c r="O58" s="84"/>
      <c r="P58" s="84"/>
      <c r="Q58" s="303"/>
      <c r="R58" s="303"/>
    </row>
    <row r="59" spans="2:25" ht="3" customHeight="1">
      <c r="B59" s="165"/>
      <c r="C59" s="84"/>
      <c r="D59" s="84"/>
      <c r="E59" s="84"/>
      <c r="F59" s="84"/>
      <c r="G59" s="84"/>
      <c r="H59" s="84"/>
      <c r="I59" s="84"/>
      <c r="J59" s="84"/>
      <c r="K59" s="84"/>
      <c r="L59" s="84"/>
      <c r="M59" s="84"/>
      <c r="N59" s="84"/>
      <c r="O59" s="84"/>
      <c r="P59" s="84"/>
      <c r="Q59" s="303"/>
      <c r="R59" s="303"/>
    </row>
    <row r="60" spans="2:25">
      <c r="B60" s="165"/>
      <c r="C60" s="84"/>
      <c r="D60" s="366" t="s">
        <v>1297</v>
      </c>
      <c r="E60" s="84"/>
      <c r="F60" s="84" t="s">
        <v>1548</v>
      </c>
      <c r="G60" s="84"/>
      <c r="H60" s="84"/>
      <c r="I60" s="84"/>
      <c r="J60" s="43">
        <v>0</v>
      </c>
      <c r="K60" s="43">
        <v>0</v>
      </c>
      <c r="L60" s="43">
        <v>0</v>
      </c>
      <c r="M60" s="43">
        <v>0</v>
      </c>
      <c r="N60" s="43">
        <v>0</v>
      </c>
      <c r="O60" s="43">
        <v>0</v>
      </c>
      <c r="P60" s="43">
        <v>0</v>
      </c>
      <c r="Q60" s="300">
        <v>0</v>
      </c>
      <c r="R60" s="300">
        <v>0</v>
      </c>
    </row>
    <row r="61" spans="2:25">
      <c r="B61" s="165"/>
      <c r="C61" s="84"/>
      <c r="D61" s="366" t="s">
        <v>1302</v>
      </c>
      <c r="E61" s="84"/>
      <c r="F61" s="84" t="s">
        <v>1549</v>
      </c>
      <c r="G61" s="84"/>
      <c r="H61" s="84"/>
      <c r="I61" s="84"/>
      <c r="J61" s="43">
        <v>0</v>
      </c>
      <c r="K61" s="43">
        <v>0</v>
      </c>
      <c r="L61" s="43">
        <v>0</v>
      </c>
      <c r="M61" s="43">
        <v>0</v>
      </c>
      <c r="N61" s="43">
        <v>0</v>
      </c>
      <c r="O61" s="43">
        <v>0</v>
      </c>
      <c r="P61" s="43">
        <v>0</v>
      </c>
      <c r="Q61" s="300">
        <v>0</v>
      </c>
      <c r="R61" s="300">
        <v>0</v>
      </c>
    </row>
    <row r="62" spans="2:25">
      <c r="B62" s="165"/>
      <c r="C62" s="84"/>
      <c r="D62" s="366"/>
      <c r="E62" s="84"/>
      <c r="F62" s="84"/>
      <c r="G62" s="84"/>
      <c r="H62" s="84"/>
      <c r="I62" s="84"/>
      <c r="J62" s="43"/>
      <c r="K62" s="43"/>
      <c r="L62" s="43"/>
      <c r="M62" s="43"/>
      <c r="N62" s="43"/>
      <c r="O62" s="43"/>
      <c r="P62" s="43"/>
      <c r="Q62" s="300"/>
      <c r="R62" s="300"/>
    </row>
    <row r="63" spans="2:25">
      <c r="B63" s="165"/>
      <c r="C63" s="84"/>
      <c r="D63" s="366" t="s">
        <v>1305</v>
      </c>
      <c r="E63" s="84"/>
      <c r="F63" s="84" t="s">
        <v>1550</v>
      </c>
      <c r="G63" s="84"/>
      <c r="H63" s="84"/>
      <c r="I63" s="84"/>
      <c r="J63" s="43">
        <v>0</v>
      </c>
      <c r="K63" s="43">
        <v>0</v>
      </c>
      <c r="L63" s="43">
        <v>0</v>
      </c>
      <c r="M63" s="43">
        <v>0</v>
      </c>
      <c r="N63" s="43">
        <v>0</v>
      </c>
      <c r="O63" s="43">
        <v>0</v>
      </c>
      <c r="P63" s="43">
        <v>0</v>
      </c>
      <c r="Q63" s="300">
        <v>0</v>
      </c>
      <c r="R63" s="300">
        <v>0</v>
      </c>
    </row>
    <row r="64" spans="2:25">
      <c r="B64" s="165"/>
      <c r="C64" s="84"/>
      <c r="D64" s="366" t="s">
        <v>1307</v>
      </c>
      <c r="E64" s="84"/>
      <c r="F64" s="84" t="s">
        <v>1551</v>
      </c>
      <c r="G64" s="84"/>
      <c r="H64" s="84"/>
      <c r="I64" s="84"/>
      <c r="J64" s="43"/>
      <c r="K64" s="43"/>
      <c r="L64" s="43"/>
      <c r="M64" s="43"/>
      <c r="N64" s="43"/>
      <c r="O64" s="43"/>
      <c r="P64" s="43"/>
      <c r="Q64" s="300"/>
      <c r="R64" s="300"/>
    </row>
    <row r="65" spans="2:28">
      <c r="B65" s="165"/>
      <c r="C65" s="84"/>
      <c r="D65" s="366"/>
      <c r="E65" s="84"/>
      <c r="F65" s="366" t="s">
        <v>1181</v>
      </c>
      <c r="G65" s="84" t="s">
        <v>1552</v>
      </c>
      <c r="H65" s="84"/>
      <c r="I65" s="84"/>
      <c r="J65" s="43" t="e">
        <f>BS_ANLYSIS!J97</f>
        <v>#REF!</v>
      </c>
      <c r="K65" s="43" t="e">
        <f>BS_ANLYSIS!K97-BS_ANLYSIS!J97</f>
        <v>#REF!</v>
      </c>
      <c r="L65" s="43" t="e">
        <f>BS_ANLYSIS!L97-BS_ANLYSIS!K97</f>
        <v>#REF!</v>
      </c>
      <c r="M65" s="43" t="e">
        <f>BS_ANLYSIS!M97-BS_ANLYSIS!L97</f>
        <v>#REF!</v>
      </c>
      <c r="N65" s="43" t="e">
        <f>BS_ANLYSIS!N97-BS_ANLYSIS!M97</f>
        <v>#REF!</v>
      </c>
      <c r="O65" s="43" t="e">
        <f>BS_ANLYSIS!O97-BS_ANLYSIS!N97</f>
        <v>#REF!</v>
      </c>
      <c r="P65" s="43" t="e">
        <f>BS_ANLYSIS!P97-BS_ANLYSIS!O97</f>
        <v>#REF!</v>
      </c>
      <c r="Q65" s="300" t="e">
        <f>BS_ANLYSIS!Q97-BS_ANLYSIS!P97</f>
        <v>#REF!</v>
      </c>
      <c r="R65" s="300" t="e">
        <f>BS_ANLYSIS!R97-BS_ANLYSIS!Q97</f>
        <v>#REF!</v>
      </c>
    </row>
    <row r="66" spans="2:28" ht="3" customHeight="1">
      <c r="B66" s="165"/>
      <c r="C66" s="84"/>
      <c r="D66" s="366"/>
      <c r="E66" s="84"/>
      <c r="F66" s="366"/>
      <c r="G66" s="84"/>
      <c r="H66" s="84"/>
      <c r="I66" s="84"/>
      <c r="J66" s="43"/>
      <c r="K66" s="43"/>
      <c r="L66" s="43"/>
      <c r="M66" s="43"/>
      <c r="N66" s="43"/>
      <c r="O66" s="43"/>
      <c r="P66" s="43"/>
      <c r="Q66" s="300"/>
      <c r="R66" s="300"/>
    </row>
    <row r="67" spans="2:28">
      <c r="B67" s="165"/>
      <c r="C67" s="84"/>
      <c r="D67" s="366"/>
      <c r="E67" s="84"/>
      <c r="F67" s="366" t="s">
        <v>1183</v>
      </c>
      <c r="G67" s="84" t="s">
        <v>1553</v>
      </c>
      <c r="H67" s="84"/>
      <c r="I67" s="84"/>
      <c r="J67" s="43">
        <v>0</v>
      </c>
      <c r="K67" s="43">
        <v>0</v>
      </c>
      <c r="L67" s="43">
        <v>0</v>
      </c>
      <c r="M67" s="43">
        <v>0</v>
      </c>
      <c r="N67" s="43">
        <v>0</v>
      </c>
      <c r="O67" s="43">
        <v>0</v>
      </c>
      <c r="P67" s="43">
        <v>0</v>
      </c>
      <c r="Q67" s="300">
        <v>0</v>
      </c>
      <c r="R67" s="300">
        <v>0</v>
      </c>
    </row>
    <row r="68" spans="2:28">
      <c r="B68" s="165"/>
      <c r="C68" s="84"/>
      <c r="D68" s="366" t="s">
        <v>1309</v>
      </c>
      <c r="E68" s="84"/>
      <c r="F68" s="84" t="s">
        <v>1554</v>
      </c>
      <c r="G68" s="84"/>
      <c r="H68" s="84"/>
      <c r="I68" s="84"/>
      <c r="J68" s="43" t="e">
        <f>BS_ANLYSIS!J115</f>
        <v>#REF!</v>
      </c>
      <c r="K68" s="43" t="e">
        <f>BS_ANLYSIS!K115-BS_ANLYSIS!J115</f>
        <v>#REF!</v>
      </c>
      <c r="L68" s="43" t="e">
        <f>BS_ANLYSIS!L115-BS_ANLYSIS!K115</f>
        <v>#REF!</v>
      </c>
      <c r="M68" s="43" t="e">
        <f>BS_ANLYSIS!M115-BS_ANLYSIS!L115</f>
        <v>#REF!</v>
      </c>
      <c r="N68" s="43" t="e">
        <f>BS_ANLYSIS!N115-BS_ANLYSIS!M115</f>
        <v>#REF!</v>
      </c>
      <c r="O68" s="43" t="e">
        <f>BS_ANLYSIS!O115-BS_ANLYSIS!N115</f>
        <v>#REF!</v>
      </c>
      <c r="P68" s="43" t="e">
        <f>BS_ANLYSIS!P115-BS_ANLYSIS!O115</f>
        <v>#REF!</v>
      </c>
      <c r="Q68" s="300" t="e">
        <f>BS_ANLYSIS!Q115-BS_ANLYSIS!P115</f>
        <v>#REF!</v>
      </c>
      <c r="R68" s="300" t="e">
        <f>BS_ANLYSIS!R115-BS_ANLYSIS!Q115</f>
        <v>#REF!</v>
      </c>
      <c r="S68" s="43">
        <f>BS_ANLYSIS!U115-BS_ANLYSIS!T115</f>
        <v>0</v>
      </c>
      <c r="T68" s="43">
        <f>BS_ANLYSIS!V115-BS_ANLYSIS!U115</f>
        <v>0</v>
      </c>
      <c r="U68" s="43">
        <f>BS_ANLYSIS!W115-BS_ANLYSIS!V115</f>
        <v>0</v>
      </c>
      <c r="V68" s="43">
        <f>BS_ANLYSIS!X115-BS_ANLYSIS!W115</f>
        <v>0</v>
      </c>
      <c r="W68" s="43">
        <f>BS_ANLYSIS!Y115-BS_ANLYSIS!X115</f>
        <v>0</v>
      </c>
      <c r="X68" s="43">
        <f>BS_ANLYSIS!Z115-BS_ANLYSIS!Y115</f>
        <v>0</v>
      </c>
      <c r="Y68" s="43">
        <f>BS_ANLYSIS!AA115-BS_ANLYSIS!Z115</f>
        <v>0</v>
      </c>
      <c r="Z68" s="43">
        <f>BS_ANLYSIS!AB115-BS_ANLYSIS!AA115</f>
        <v>0</v>
      </c>
      <c r="AA68" s="43">
        <f>BS_ANLYSIS!AC115-BS_ANLYSIS!AB115</f>
        <v>0</v>
      </c>
      <c r="AB68" s="43">
        <f>BS_ANLYSIS!AD115-BS_ANLYSIS!AC115</f>
        <v>0</v>
      </c>
    </row>
    <row r="69" spans="2:28" ht="2.25" customHeight="1">
      <c r="B69" s="165"/>
      <c r="C69" s="84"/>
      <c r="D69" s="366"/>
      <c r="E69" s="84"/>
      <c r="F69" s="84"/>
      <c r="G69" s="84"/>
      <c r="H69" s="84"/>
      <c r="I69" s="84"/>
      <c r="J69" s="43"/>
      <c r="K69" s="43"/>
      <c r="L69" s="43"/>
      <c r="M69" s="43"/>
      <c r="N69" s="43"/>
      <c r="O69" s="43"/>
      <c r="P69" s="43"/>
      <c r="Q69" s="300"/>
      <c r="R69" s="300"/>
      <c r="T69" s="51">
        <f>[17]CMA!F290</f>
        <v>53.900000000000006</v>
      </c>
    </row>
    <row r="70" spans="2:28">
      <c r="B70" s="165"/>
      <c r="C70" s="84"/>
      <c r="D70" s="366" t="s">
        <v>1311</v>
      </c>
      <c r="E70" s="84"/>
      <c r="F70" s="84" t="s">
        <v>1555</v>
      </c>
      <c r="G70" s="84"/>
      <c r="H70" s="84"/>
      <c r="I70" s="84"/>
      <c r="J70" s="43" t="e">
        <f>BS_ANLYSIS!J91+BS_ANLYSIS!J120+BS_ANLYSIS!J122</f>
        <v>#REF!</v>
      </c>
      <c r="K70" s="43" t="e">
        <f>BS_ANLYSIS!K91+BS_ANLYSIS!K120+BS_ANLYSIS!K122-BS_ANLYSIS!J120-BS_ANLYSIS!J122-BS_ANLYSIS!J91</f>
        <v>#REF!</v>
      </c>
      <c r="L70" s="43" t="e">
        <f>BS_ANLYSIS!L91+BS_ANLYSIS!L120+BS_ANLYSIS!L122-BS_ANLYSIS!K120-BS_ANLYSIS!K122-BS_ANLYSIS!K91</f>
        <v>#REF!</v>
      </c>
      <c r="M70" s="43" t="e">
        <f>BS_ANLYSIS!M91+BS_ANLYSIS!M120+BS_ANLYSIS!M122-BS_ANLYSIS!L120-BS_ANLYSIS!L122-BS_ANLYSIS!L91</f>
        <v>#REF!</v>
      </c>
      <c r="N70" s="43" t="e">
        <f>BS_ANLYSIS!N91+BS_ANLYSIS!N120+BS_ANLYSIS!N122-BS_ANLYSIS!M120-BS_ANLYSIS!M122-BS_ANLYSIS!M91</f>
        <v>#REF!</v>
      </c>
      <c r="O70" s="43" t="e">
        <f>BS_ANLYSIS!O91+BS_ANLYSIS!O120+BS_ANLYSIS!O122-BS_ANLYSIS!N120-BS_ANLYSIS!N122-BS_ANLYSIS!N91</f>
        <v>#REF!</v>
      </c>
      <c r="P70" s="43" t="e">
        <f>BS_ANLYSIS!P91+BS_ANLYSIS!P120+BS_ANLYSIS!P122-BS_ANLYSIS!O120-BS_ANLYSIS!O122-BS_ANLYSIS!O91</f>
        <v>#REF!</v>
      </c>
      <c r="Q70" s="300" t="e">
        <f>BS_ANLYSIS!Q91+BS_ANLYSIS!Q120+BS_ANLYSIS!Q122-BS_ANLYSIS!P120-BS_ANLYSIS!P122-BS_ANLYSIS!P91</f>
        <v>#REF!</v>
      </c>
      <c r="R70" s="300" t="e">
        <f>BS_ANLYSIS!R91+BS_ANLYSIS!R120+BS_ANLYSIS!R122-BS_ANLYSIS!Q120-BS_ANLYSIS!Q122-BS_ANLYSIS!Q91</f>
        <v>#REF!</v>
      </c>
      <c r="T70" s="67">
        <f>T68-T69</f>
        <v>-53.900000000000006</v>
      </c>
      <c r="W70" s="43">
        <f>[17]CMA!H292</f>
        <v>413.74288580000018</v>
      </c>
      <c r="X70" s="43">
        <f>[17]CMA!I292</f>
        <v>0</v>
      </c>
      <c r="Y70" s="43">
        <f>[17]CMA!J292</f>
        <v>346.57800340000017</v>
      </c>
    </row>
    <row r="71" spans="2:28">
      <c r="B71" s="165"/>
      <c r="C71" s="84"/>
      <c r="D71" s="366"/>
      <c r="E71" s="84"/>
      <c r="F71" s="84" t="s">
        <v>163</v>
      </c>
      <c r="G71" s="84"/>
      <c r="H71" s="84"/>
      <c r="I71" s="84"/>
      <c r="J71" s="43"/>
      <c r="K71" s="43"/>
      <c r="L71" s="43"/>
      <c r="M71" s="43"/>
      <c r="N71" s="43"/>
      <c r="O71" s="43"/>
      <c r="P71" s="43"/>
      <c r="Q71" s="300"/>
      <c r="R71" s="300"/>
    </row>
    <row r="72" spans="2:28" ht="4.5" customHeight="1">
      <c r="B72" s="165"/>
      <c r="C72" s="84"/>
      <c r="D72" s="366"/>
      <c r="E72" s="84"/>
      <c r="F72" s="84"/>
      <c r="G72" s="84"/>
      <c r="H72" s="84"/>
      <c r="I72" s="84"/>
      <c r="J72" s="43"/>
      <c r="K72" s="43"/>
      <c r="L72" s="43"/>
      <c r="M72" s="43"/>
      <c r="N72" s="43"/>
      <c r="O72" s="43"/>
      <c r="P72" s="43"/>
      <c r="Q72" s="300"/>
      <c r="R72" s="300"/>
    </row>
    <row r="73" spans="2:28">
      <c r="B73" s="165"/>
      <c r="C73" s="84"/>
      <c r="D73" s="366" t="s">
        <v>1312</v>
      </c>
      <c r="E73" s="84"/>
      <c r="F73" s="84" t="s">
        <v>612</v>
      </c>
      <c r="G73" s="84"/>
      <c r="H73" s="84"/>
      <c r="I73" s="84"/>
      <c r="J73" s="43">
        <v>0</v>
      </c>
      <c r="K73" s="43">
        <v>0</v>
      </c>
      <c r="L73" s="43">
        <v>0</v>
      </c>
      <c r="M73" s="43">
        <v>0</v>
      </c>
      <c r="N73" s="43">
        <v>0</v>
      </c>
      <c r="O73" s="43">
        <v>0</v>
      </c>
      <c r="P73" s="43">
        <v>0</v>
      </c>
      <c r="Q73" s="300">
        <v>0</v>
      </c>
      <c r="R73" s="300">
        <v>0</v>
      </c>
    </row>
    <row r="74" spans="2:28">
      <c r="B74" s="165"/>
      <c r="C74" s="84"/>
      <c r="D74" s="84"/>
      <c r="E74" s="84"/>
      <c r="F74" s="84"/>
      <c r="G74" s="84"/>
      <c r="H74" s="84"/>
      <c r="I74" s="84"/>
      <c r="J74" s="6" t="e">
        <f t="shared" ref="J74:R74" si="7">SUM(J60:J73)</f>
        <v>#REF!</v>
      </c>
      <c r="K74" s="6" t="e">
        <f t="shared" si="7"/>
        <v>#REF!</v>
      </c>
      <c r="L74" s="6" t="e">
        <f t="shared" si="7"/>
        <v>#REF!</v>
      </c>
      <c r="M74" s="6" t="e">
        <f t="shared" si="7"/>
        <v>#REF!</v>
      </c>
      <c r="N74" s="6" t="e">
        <f t="shared" si="7"/>
        <v>#REF!</v>
      </c>
      <c r="O74" s="6" t="e">
        <f t="shared" si="7"/>
        <v>#REF!</v>
      </c>
      <c r="P74" s="6" t="e">
        <f t="shared" si="7"/>
        <v>#REF!</v>
      </c>
      <c r="Q74" s="302" t="e">
        <f t="shared" si="7"/>
        <v>#REF!</v>
      </c>
      <c r="R74" s="302" t="e">
        <f t="shared" si="7"/>
        <v>#REF!</v>
      </c>
    </row>
    <row r="75" spans="2:28">
      <c r="B75" s="165"/>
      <c r="C75" s="84"/>
      <c r="D75" s="84" t="s">
        <v>1556</v>
      </c>
      <c r="E75" s="84"/>
      <c r="F75" s="84"/>
      <c r="G75" s="84"/>
      <c r="H75" s="84"/>
      <c r="I75" s="84"/>
      <c r="J75" s="84"/>
      <c r="K75" s="84"/>
      <c r="L75" s="84"/>
      <c r="M75" s="84"/>
      <c r="N75" s="84"/>
      <c r="O75" s="84"/>
      <c r="P75" s="84"/>
      <c r="Q75" s="303"/>
      <c r="R75" s="303"/>
    </row>
    <row r="76" spans="2:28">
      <c r="B76" s="165"/>
      <c r="C76" s="84"/>
      <c r="D76" s="84"/>
      <c r="E76" s="84"/>
      <c r="F76" s="84" t="s">
        <v>1557</v>
      </c>
      <c r="G76" s="84"/>
      <c r="H76" s="84"/>
      <c r="I76" s="84"/>
      <c r="J76" s="84"/>
      <c r="K76" s="84"/>
      <c r="L76" s="84"/>
      <c r="M76" s="84"/>
      <c r="N76" s="84"/>
      <c r="O76" s="84"/>
      <c r="P76" s="84"/>
      <c r="Q76" s="303"/>
      <c r="R76" s="303"/>
    </row>
    <row r="77" spans="2:28">
      <c r="B77" s="165"/>
      <c r="C77" s="84"/>
      <c r="D77" s="84"/>
      <c r="E77" s="84"/>
      <c r="F77" s="84" t="s">
        <v>1558</v>
      </c>
      <c r="G77" s="84"/>
      <c r="H77" s="84"/>
      <c r="I77" s="84"/>
      <c r="J77" s="84"/>
      <c r="K77" s="84"/>
      <c r="L77" s="84"/>
      <c r="M77" s="84"/>
      <c r="N77" s="84"/>
      <c r="O77" s="84"/>
      <c r="P77" s="84"/>
      <c r="Q77" s="303"/>
      <c r="R77" s="303"/>
    </row>
    <row r="78" spans="2:28" hidden="1">
      <c r="B78" s="165"/>
      <c r="C78" s="84"/>
      <c r="D78" s="84"/>
      <c r="E78" s="84"/>
      <c r="F78" s="84"/>
      <c r="G78" s="84"/>
      <c r="H78" s="84"/>
      <c r="I78" s="84"/>
      <c r="J78" s="84"/>
      <c r="K78" s="84"/>
      <c r="L78" s="84"/>
      <c r="M78" s="84"/>
      <c r="N78" s="84"/>
      <c r="O78" s="84"/>
      <c r="P78" s="84"/>
      <c r="Q78" s="303"/>
      <c r="R78" s="303"/>
    </row>
    <row r="79" spans="2:28" ht="3" customHeight="1">
      <c r="B79" s="165"/>
      <c r="C79" s="84"/>
      <c r="D79" s="84"/>
      <c r="E79" s="84"/>
      <c r="F79" s="84"/>
      <c r="G79" s="84"/>
      <c r="H79" s="84"/>
      <c r="I79" s="84"/>
      <c r="J79" s="84"/>
      <c r="K79" s="84"/>
      <c r="L79" s="84"/>
      <c r="M79" s="84"/>
      <c r="N79" s="84"/>
      <c r="O79" s="84"/>
      <c r="P79" s="84"/>
      <c r="Q79" s="303"/>
      <c r="R79" s="303"/>
    </row>
    <row r="80" spans="2:28" ht="3" customHeight="1" thickBot="1">
      <c r="B80" s="358"/>
      <c r="C80" s="169"/>
      <c r="D80" s="169"/>
      <c r="E80" s="169"/>
      <c r="F80" s="169"/>
      <c r="G80" s="169"/>
      <c r="H80" s="169"/>
      <c r="I80" s="169"/>
      <c r="J80" s="169"/>
      <c r="K80" s="169"/>
      <c r="L80" s="169"/>
      <c r="M80" s="169"/>
      <c r="N80" s="169"/>
      <c r="O80" s="169"/>
      <c r="P80" s="169"/>
      <c r="Q80" s="608"/>
      <c r="R80" s="608"/>
    </row>
    <row r="82" spans="7:18">
      <c r="L82" s="67"/>
      <c r="M82" s="67"/>
      <c r="N82" s="67"/>
      <c r="O82" s="67"/>
      <c r="P82" s="67"/>
      <c r="Q82" s="67"/>
      <c r="R82" s="67"/>
    </row>
    <row r="83" spans="7:18" hidden="1">
      <c r="G83" s="420" t="s">
        <v>1522</v>
      </c>
      <c r="H83" s="421"/>
      <c r="I83" s="421"/>
      <c r="J83" s="421"/>
      <c r="K83" s="421"/>
      <c r="L83" s="421"/>
      <c r="M83" s="421"/>
      <c r="N83" s="421"/>
      <c r="O83" s="421"/>
      <c r="P83" s="421"/>
      <c r="Q83" s="421"/>
      <c r="R83" s="421"/>
    </row>
    <row r="84" spans="7:18" hidden="1">
      <c r="G84" s="420"/>
      <c r="H84" s="421"/>
      <c r="I84" s="421"/>
      <c r="J84" s="422" t="e">
        <f t="shared" ref="J84:O84" si="8">J25</f>
        <v>#REF!</v>
      </c>
      <c r="K84" s="422" t="e">
        <f t="shared" si="8"/>
        <v>#REF!</v>
      </c>
      <c r="L84" s="422" t="e">
        <f t="shared" si="8"/>
        <v>#REF!</v>
      </c>
      <c r="M84" s="422" t="e">
        <f t="shared" si="8"/>
        <v>#REF!</v>
      </c>
      <c r="N84" s="422" t="e">
        <f t="shared" si="8"/>
        <v>#REF!</v>
      </c>
      <c r="O84" s="422" t="e">
        <f t="shared" si="8"/>
        <v>#REF!</v>
      </c>
      <c r="P84" s="422" t="e">
        <f>P25</f>
        <v>#REF!</v>
      </c>
      <c r="Q84" s="422" t="e">
        <f>Q25</f>
        <v>#REF!</v>
      </c>
      <c r="R84" s="422"/>
    </row>
    <row r="85" spans="7:18" hidden="1">
      <c r="G85" s="420"/>
      <c r="H85" s="421"/>
      <c r="I85" s="421"/>
      <c r="J85" s="422" t="e">
        <f t="shared" ref="J85:O85" si="9">J45</f>
        <v>#REF!</v>
      </c>
      <c r="K85" s="422" t="e">
        <f t="shared" si="9"/>
        <v>#REF!</v>
      </c>
      <c r="L85" s="422" t="e">
        <f t="shared" si="9"/>
        <v>#REF!</v>
      </c>
      <c r="M85" s="422" t="e">
        <f t="shared" si="9"/>
        <v>#REF!</v>
      </c>
      <c r="N85" s="422" t="e">
        <f t="shared" si="9"/>
        <v>#REF!</v>
      </c>
      <c r="O85" s="422" t="e">
        <f t="shared" si="9"/>
        <v>#REF!</v>
      </c>
      <c r="P85" s="422" t="e">
        <f>P45</f>
        <v>#REF!</v>
      </c>
      <c r="Q85" s="422" t="e">
        <f>Q45</f>
        <v>#REF!</v>
      </c>
      <c r="R85" s="422"/>
    </row>
    <row r="86" spans="7:18" hidden="1">
      <c r="G86" s="421"/>
      <c r="H86" s="421"/>
      <c r="I86" s="421"/>
      <c r="J86" s="422">
        <f t="shared" ref="J86:O86" si="10">J54</f>
        <v>0</v>
      </c>
      <c r="K86" s="422">
        <f t="shared" si="10"/>
        <v>0</v>
      </c>
      <c r="L86" s="422">
        <f t="shared" si="10"/>
        <v>0</v>
      </c>
      <c r="M86" s="422">
        <f t="shared" si="10"/>
        <v>0</v>
      </c>
      <c r="N86" s="422">
        <f t="shared" si="10"/>
        <v>0</v>
      </c>
      <c r="O86" s="422">
        <f t="shared" si="10"/>
        <v>0</v>
      </c>
      <c r="P86" s="422">
        <f>P54</f>
        <v>0</v>
      </c>
      <c r="Q86" s="422">
        <f>Q54</f>
        <v>0</v>
      </c>
      <c r="R86" s="422"/>
    </row>
    <row r="87" spans="7:18" hidden="1">
      <c r="G87" s="421"/>
      <c r="H87" s="421"/>
      <c r="I87" s="421"/>
      <c r="J87" s="422"/>
      <c r="K87" s="422"/>
      <c r="L87" s="422"/>
      <c r="M87" s="422"/>
      <c r="N87" s="422"/>
      <c r="O87" s="422"/>
      <c r="P87" s="422"/>
      <c r="Q87" s="422"/>
      <c r="R87" s="422"/>
    </row>
    <row r="88" spans="7:18" hidden="1">
      <c r="G88" s="421"/>
      <c r="H88" s="421"/>
      <c r="I88" s="421"/>
      <c r="J88" s="423" t="e">
        <f t="shared" ref="J88:O88" si="11">SUM(J84:J86)</f>
        <v>#REF!</v>
      </c>
      <c r="K88" s="423" t="e">
        <f t="shared" si="11"/>
        <v>#REF!</v>
      </c>
      <c r="L88" s="423" t="e">
        <f t="shared" si="11"/>
        <v>#REF!</v>
      </c>
      <c r="M88" s="423" t="e">
        <f t="shared" si="11"/>
        <v>#REF!</v>
      </c>
      <c r="N88" s="423" t="e">
        <f t="shared" si="11"/>
        <v>#REF!</v>
      </c>
      <c r="O88" s="423" t="e">
        <f t="shared" si="11"/>
        <v>#REF!</v>
      </c>
      <c r="P88" s="423" t="e">
        <f>SUM(P84:P86)</f>
        <v>#REF!</v>
      </c>
      <c r="Q88" s="423" t="e">
        <f>SUM(Q84:Q86)</f>
        <v>#REF!</v>
      </c>
      <c r="R88" s="423"/>
    </row>
    <row r="89" spans="7:18" hidden="1">
      <c r="G89" s="421"/>
      <c r="H89" s="421"/>
      <c r="I89" s="421"/>
      <c r="J89" s="421"/>
      <c r="K89" s="421"/>
      <c r="L89" s="421"/>
      <c r="M89" s="421"/>
      <c r="N89" s="421"/>
      <c r="O89" s="421"/>
      <c r="P89" s="421"/>
      <c r="Q89" s="421"/>
      <c r="R89" s="421"/>
    </row>
    <row r="90" spans="7:18" hidden="1">
      <c r="G90" s="421"/>
      <c r="H90" s="421"/>
      <c r="I90" s="421"/>
      <c r="J90" s="421"/>
      <c r="K90" s="421"/>
      <c r="L90" s="421"/>
      <c r="M90" s="421"/>
      <c r="N90" s="421"/>
      <c r="O90" s="421"/>
      <c r="P90" s="421"/>
      <c r="Q90" s="421"/>
      <c r="R90" s="421"/>
    </row>
    <row r="91" spans="7:18" hidden="1">
      <c r="G91" s="420" t="s">
        <v>1531</v>
      </c>
      <c r="H91" s="421"/>
      <c r="I91" s="421"/>
      <c r="J91" s="421"/>
      <c r="K91" s="421"/>
      <c r="L91" s="421"/>
      <c r="M91" s="421"/>
      <c r="N91" s="421"/>
      <c r="O91" s="421"/>
      <c r="P91" s="421"/>
      <c r="Q91" s="421"/>
      <c r="R91" s="421"/>
    </row>
    <row r="92" spans="7:18" hidden="1">
      <c r="G92" s="421"/>
      <c r="H92" s="421"/>
      <c r="I92" s="421"/>
      <c r="J92" s="422" t="e">
        <f t="shared" ref="J92:O92" si="12">J38</f>
        <v>#REF!</v>
      </c>
      <c r="K92" s="422" t="e">
        <f t="shared" si="12"/>
        <v>#REF!</v>
      </c>
      <c r="L92" s="422" t="e">
        <f t="shared" si="12"/>
        <v>#REF!</v>
      </c>
      <c r="M92" s="422" t="e">
        <f t="shared" si="12"/>
        <v>#REF!</v>
      </c>
      <c r="N92" s="422" t="e">
        <f t="shared" si="12"/>
        <v>#REF!</v>
      </c>
      <c r="O92" s="422" t="e">
        <f t="shared" si="12"/>
        <v>#REF!</v>
      </c>
      <c r="P92" s="422" t="e">
        <f>P38</f>
        <v>#REF!</v>
      </c>
      <c r="Q92" s="422" t="e">
        <f>Q38</f>
        <v>#REF!</v>
      </c>
      <c r="R92" s="422"/>
    </row>
    <row r="93" spans="7:18" hidden="1">
      <c r="G93" s="421"/>
      <c r="H93" s="421"/>
      <c r="I93" s="421"/>
      <c r="J93" s="422" t="e">
        <f t="shared" ref="J93:O93" si="13">J42</f>
        <v>#REF!</v>
      </c>
      <c r="K93" s="422" t="e">
        <f t="shared" si="13"/>
        <v>#REF!</v>
      </c>
      <c r="L93" s="422" t="e">
        <f t="shared" si="13"/>
        <v>#REF!</v>
      </c>
      <c r="M93" s="422" t="e">
        <f t="shared" si="13"/>
        <v>#REF!</v>
      </c>
      <c r="N93" s="422" t="e">
        <f t="shared" si="13"/>
        <v>#REF!</v>
      </c>
      <c r="O93" s="422" t="e">
        <f t="shared" si="13"/>
        <v>#REF!</v>
      </c>
      <c r="P93" s="422" t="e">
        <f>P42</f>
        <v>#REF!</v>
      </c>
      <c r="Q93" s="422" t="e">
        <f>Q42</f>
        <v>#REF!</v>
      </c>
      <c r="R93" s="422"/>
    </row>
    <row r="94" spans="7:18" hidden="1">
      <c r="G94" s="421"/>
      <c r="H94" s="421"/>
      <c r="I94" s="421"/>
      <c r="J94" s="423" t="e">
        <f t="shared" ref="J94:O94" si="14">SUM(J92:J93)</f>
        <v>#REF!</v>
      </c>
      <c r="K94" s="423" t="e">
        <f t="shared" si="14"/>
        <v>#REF!</v>
      </c>
      <c r="L94" s="423" t="e">
        <f t="shared" si="14"/>
        <v>#REF!</v>
      </c>
      <c r="M94" s="423" t="e">
        <f t="shared" si="14"/>
        <v>#REF!</v>
      </c>
      <c r="N94" s="423" t="e">
        <f t="shared" si="14"/>
        <v>#REF!</v>
      </c>
      <c r="O94" s="423" t="e">
        <f t="shared" si="14"/>
        <v>#REF!</v>
      </c>
      <c r="P94" s="423" t="e">
        <f>SUM(P92:P93)</f>
        <v>#REF!</v>
      </c>
      <c r="Q94" s="423" t="e">
        <f>SUM(Q92:Q93)</f>
        <v>#REF!</v>
      </c>
      <c r="R94" s="423"/>
    </row>
    <row r="95" spans="7:18" hidden="1">
      <c r="G95" s="421"/>
      <c r="H95" s="421"/>
      <c r="I95" s="421"/>
      <c r="J95" s="421"/>
      <c r="K95" s="421"/>
      <c r="L95" s="421"/>
      <c r="M95" s="421"/>
      <c r="N95" s="421"/>
      <c r="O95" s="421"/>
      <c r="P95" s="421"/>
      <c r="Q95" s="421"/>
      <c r="R95" s="421"/>
    </row>
    <row r="96" spans="7:18" hidden="1">
      <c r="G96" s="421"/>
      <c r="H96" s="421"/>
      <c r="I96" s="421"/>
      <c r="J96" s="422" t="e">
        <f t="shared" ref="J96:O96" si="15">J88-J94</f>
        <v>#REF!</v>
      </c>
      <c r="K96" s="422" t="e">
        <f t="shared" si="15"/>
        <v>#REF!</v>
      </c>
      <c r="L96" s="422" t="e">
        <f t="shared" si="15"/>
        <v>#REF!</v>
      </c>
      <c r="M96" s="422" t="e">
        <f t="shared" si="15"/>
        <v>#REF!</v>
      </c>
      <c r="N96" s="422" t="e">
        <f t="shared" si="15"/>
        <v>#REF!</v>
      </c>
      <c r="O96" s="422" t="e">
        <f t="shared" si="15"/>
        <v>#REF!</v>
      </c>
      <c r="P96" s="422" t="e">
        <f>P88-P94</f>
        <v>#REF!</v>
      </c>
      <c r="Q96" s="422" t="e">
        <f>Q88-Q94</f>
        <v>#REF!</v>
      </c>
      <c r="R96" s="422"/>
    </row>
    <row r="97" spans="7:18" hidden="1">
      <c r="G97" s="421"/>
      <c r="H97" s="421"/>
      <c r="I97" s="421"/>
      <c r="J97" s="421"/>
      <c r="K97" s="421"/>
      <c r="L97" s="421"/>
      <c r="M97" s="421"/>
      <c r="N97" s="421"/>
      <c r="O97" s="421"/>
      <c r="P97" s="421"/>
      <c r="Q97" s="421"/>
      <c r="R97" s="421"/>
    </row>
    <row r="98" spans="7:18" hidden="1"/>
    <row r="99" spans="7:18" hidden="1"/>
    <row r="100" spans="7:18" hidden="1"/>
    <row r="101" spans="7:18" hidden="1"/>
    <row r="102" spans="7:18" hidden="1"/>
    <row r="103" spans="7:18">
      <c r="J103" s="67" t="e">
        <f>J51+J54</f>
        <v>#REF!</v>
      </c>
      <c r="K103" s="67" t="e">
        <f>K51+K54</f>
        <v>#REF!</v>
      </c>
      <c r="L103" s="67" t="e">
        <f>L51+L54</f>
        <v>#REF!</v>
      </c>
      <c r="M103" s="67" t="e">
        <f t="shared" ref="M103:R103" si="16">M51+M54</f>
        <v>#REF!</v>
      </c>
      <c r="N103" s="67" t="e">
        <f t="shared" si="16"/>
        <v>#REF!</v>
      </c>
      <c r="O103" s="67" t="e">
        <f t="shared" si="16"/>
        <v>#REF!</v>
      </c>
      <c r="P103" s="67" t="e">
        <f t="shared" si="16"/>
        <v>#REF!</v>
      </c>
      <c r="Q103" s="67" t="e">
        <f t="shared" si="16"/>
        <v>#REF!</v>
      </c>
      <c r="R103" s="67" t="e">
        <f t="shared" si="16"/>
        <v>#REF!</v>
      </c>
    </row>
  </sheetData>
  <pageMargins left="0.47244094488188981" right="0.11811023622047245" top="0.59055118110236227" bottom="0.15748031496062992" header="0.23622047244094491" footer="0.19685039370078741"/>
  <pageSetup paperSize="9" scale="88" orientation="portrait" verticalDpi="144" r:id="rId1"/>
  <headerFooter alignWithMargins="0">
    <oddHeader>&amp;RHOTEL CITY WALK INTERNATIONAL
GUWAHATI</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ED7F-D8F8-432B-923F-E6CD4A50B225}">
  <dimension ref="A1:F7"/>
  <sheetViews>
    <sheetView workbookViewId="0">
      <selection activeCell="B2" sqref="B2:F7"/>
    </sheetView>
  </sheetViews>
  <sheetFormatPr defaultRowHeight="12.75"/>
  <cols>
    <col min="1" max="1" width="9.140625" style="684"/>
    <col min="2" max="2" width="14.140625" style="684" bestFit="1" customWidth="1"/>
    <col min="3" max="3" width="6.85546875" style="684" bestFit="1" customWidth="1"/>
    <col min="4" max="4" width="16.85546875" style="684" bestFit="1" customWidth="1"/>
    <col min="5" max="5" width="14.140625" style="684" bestFit="1" customWidth="1"/>
    <col min="6" max="6" width="13.42578125" style="684" bestFit="1" customWidth="1"/>
    <col min="7" max="16384" width="9.140625" style="684"/>
  </cols>
  <sheetData>
    <row r="1" spans="1:6" ht="13.5" thickBot="1">
      <c r="A1" s="682" t="s">
        <v>93</v>
      </c>
      <c r="B1" s="683" t="s">
        <v>472</v>
      </c>
      <c r="C1" s="683" t="s">
        <v>711</v>
      </c>
      <c r="D1" s="683" t="s">
        <v>712</v>
      </c>
      <c r="E1" s="683" t="s">
        <v>713</v>
      </c>
      <c r="F1" s="683" t="s">
        <v>474</v>
      </c>
    </row>
    <row r="2" spans="1:6" ht="13.5" thickBot="1">
      <c r="A2" s="685" t="s">
        <v>2</v>
      </c>
      <c r="B2" s="686"/>
      <c r="C2" s="686"/>
      <c r="D2" s="686"/>
      <c r="E2" s="686"/>
      <c r="F2" s="686"/>
    </row>
    <row r="3" spans="1:6" ht="13.5" thickBot="1">
      <c r="A3" s="685" t="s">
        <v>3</v>
      </c>
      <c r="B3" s="686"/>
      <c r="C3" s="686"/>
      <c r="D3" s="686"/>
      <c r="E3" s="686"/>
      <c r="F3" s="686"/>
    </row>
    <row r="4" spans="1:6" ht="13.5" thickBot="1">
      <c r="A4" s="685" t="s">
        <v>4</v>
      </c>
      <c r="B4" s="686"/>
      <c r="C4" s="686"/>
      <c r="D4" s="686"/>
      <c r="E4" s="686"/>
      <c r="F4" s="686"/>
    </row>
    <row r="5" spans="1:6" ht="13.5" thickBot="1">
      <c r="A5" s="685" t="s">
        <v>5</v>
      </c>
      <c r="B5" s="686"/>
      <c r="C5" s="686"/>
      <c r="D5" s="686"/>
      <c r="E5" s="686"/>
      <c r="F5" s="686"/>
    </row>
    <row r="6" spans="1:6" ht="13.5" thickBot="1">
      <c r="A6" s="685" t="s">
        <v>6</v>
      </c>
      <c r="B6" s="686"/>
      <c r="C6" s="686"/>
      <c r="D6" s="686"/>
      <c r="E6" s="686"/>
      <c r="F6" s="686"/>
    </row>
    <row r="7" spans="1:6" ht="13.5" thickBot="1">
      <c r="A7" s="685" t="s">
        <v>7</v>
      </c>
      <c r="B7" s="686"/>
      <c r="C7" s="686"/>
      <c r="D7" s="686"/>
      <c r="E7" s="686"/>
      <c r="F7" s="686"/>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D25D-EE63-4CEC-B79C-4F8BB3555261}">
  <dimension ref="A1:H8"/>
  <sheetViews>
    <sheetView workbookViewId="0">
      <selection activeCell="B2" sqref="B2"/>
    </sheetView>
  </sheetViews>
  <sheetFormatPr defaultRowHeight="12.75"/>
  <cols>
    <col min="1" max="1" width="24.28515625" style="684" customWidth="1"/>
    <col min="2" max="7" width="9.140625" style="684"/>
    <col min="8" max="8" width="0" style="684" hidden="1" customWidth="1"/>
    <col min="9" max="16384" width="9.140625" style="684"/>
  </cols>
  <sheetData>
    <row r="1" spans="1:8" ht="15" customHeight="1" thickBot="1">
      <c r="A1" s="687"/>
      <c r="B1" s="688">
        <v>2015</v>
      </c>
      <c r="C1" s="688">
        <v>2016</v>
      </c>
      <c r="D1" s="688">
        <v>2017</v>
      </c>
      <c r="E1" s="688">
        <v>2018</v>
      </c>
      <c r="F1" s="688">
        <v>2019</v>
      </c>
      <c r="G1" s="688">
        <v>2020</v>
      </c>
      <c r="H1" s="688">
        <v>2021</v>
      </c>
    </row>
    <row r="2" spans="1:8" ht="12.75" customHeight="1" thickBot="1">
      <c r="A2" s="689" t="s">
        <v>1559</v>
      </c>
      <c r="B2" s="690">
        <f>[20]Profitability!I8</f>
        <v>2100</v>
      </c>
      <c r="C2" s="690">
        <f>[20]Profitability!J8</f>
        <v>2100</v>
      </c>
      <c r="D2" s="690">
        <f>[20]Profitability!K8</f>
        <v>2100</v>
      </c>
      <c r="E2" s="690">
        <f>[20]Profitability!L8</f>
        <v>2100</v>
      </c>
      <c r="F2" s="690">
        <f>[20]Profitability!M8</f>
        <v>2100</v>
      </c>
      <c r="G2" s="690">
        <f>[20]Profitability!N8</f>
        <v>2100</v>
      </c>
      <c r="H2" s="690">
        <f>[20]Profitability!O8</f>
        <v>2100</v>
      </c>
    </row>
    <row r="3" spans="1:8" ht="15.75" thickBot="1">
      <c r="A3" s="689" t="s">
        <v>1560</v>
      </c>
      <c r="B3" s="691">
        <f>[20]Profitability!I14</f>
        <v>0.6</v>
      </c>
      <c r="C3" s="691">
        <f>[20]Profitability!J14</f>
        <v>0.75</v>
      </c>
      <c r="D3" s="691">
        <f>[20]Profitability!K14</f>
        <v>0.8</v>
      </c>
      <c r="E3" s="691">
        <f>[20]Profitability!L14</f>
        <v>0.82</v>
      </c>
      <c r="F3" s="691">
        <f>[20]Profitability!M14</f>
        <v>0.85</v>
      </c>
      <c r="G3" s="691">
        <f>[20]Profitability!N14</f>
        <v>0.87</v>
      </c>
      <c r="H3" s="691">
        <f>[20]Profitability!O14</f>
        <v>0.8</v>
      </c>
    </row>
    <row r="4" spans="1:8" ht="15.75" thickBot="1">
      <c r="A4" s="692" t="s">
        <v>1561</v>
      </c>
      <c r="B4" s="693">
        <f>B3*B2*0.75</f>
        <v>945</v>
      </c>
      <c r="C4" s="693">
        <f t="shared" ref="C4:H4" si="0">C3*C2</f>
        <v>1575</v>
      </c>
      <c r="D4" s="693">
        <f t="shared" si="0"/>
        <v>1680</v>
      </c>
      <c r="E4" s="693">
        <f t="shared" si="0"/>
        <v>1722</v>
      </c>
      <c r="F4" s="693">
        <f t="shared" si="0"/>
        <v>1785</v>
      </c>
      <c r="G4" s="693">
        <f t="shared" si="0"/>
        <v>1827</v>
      </c>
      <c r="H4" s="693">
        <f t="shared" si="0"/>
        <v>1680</v>
      </c>
    </row>
    <row r="5" spans="1:8" ht="12.75" customHeight="1" thickBot="1">
      <c r="A5" s="689" t="s">
        <v>1562</v>
      </c>
      <c r="B5" s="694">
        <f>[20]Inventories!F11</f>
        <v>0</v>
      </c>
      <c r="C5" s="694">
        <f>[20]Inventories!G11</f>
        <v>25.756</v>
      </c>
      <c r="D5" s="694">
        <f>[20]Inventories!H11</f>
        <v>96.483923287671232</v>
      </c>
      <c r="E5" s="694">
        <f>[20]Inventories!I11</f>
        <v>116.80990180521673</v>
      </c>
      <c r="F5" s="694">
        <f>[20]Inventories!J11</f>
        <v>120.90804833787726</v>
      </c>
      <c r="G5" s="694">
        <f>[20]Inventories!K11</f>
        <v>125.31998126057275</v>
      </c>
      <c r="H5" s="694">
        <f>[20]Inventories!L11</f>
        <v>128.37172479521575</v>
      </c>
    </row>
    <row r="6" spans="1:8" ht="12.75" customHeight="1" thickBot="1">
      <c r="A6" s="689" t="s">
        <v>1563</v>
      </c>
      <c r="B6" s="694">
        <f>[20]Inventories!F20</f>
        <v>38.238251100000006</v>
      </c>
      <c r="C6" s="694">
        <f>[20]Inventories!G20</f>
        <v>37.051570616980321</v>
      </c>
      <c r="D6" s="694">
        <f>[20]Inventories!H20</f>
        <v>46.057260193754097</v>
      </c>
      <c r="E6" s="694">
        <f>[20]Inventories!I20</f>
        <v>48.285899341989243</v>
      </c>
      <c r="F6" s="694">
        <f>[20]Inventories!J20</f>
        <v>50.125679412945289</v>
      </c>
      <c r="G6" s="694">
        <f>[20]Inventories!K20</f>
        <v>51.572800525781723</v>
      </c>
      <c r="H6" s="694">
        <f>[20]Inventories!L20</f>
        <v>50.730481795986186</v>
      </c>
    </row>
    <row r="7" spans="1:8" ht="12.75" customHeight="1" thickBot="1">
      <c r="A7" s="689" t="s">
        <v>1564</v>
      </c>
      <c r="B7" s="694">
        <f>[20]Inventories!F53</f>
        <v>945</v>
      </c>
      <c r="C7" s="694">
        <f>[20]Inventories!G53</f>
        <v>1504.272076712329</v>
      </c>
      <c r="D7" s="694">
        <f>[20]Inventories!H53</f>
        <v>1659.6740214824545</v>
      </c>
      <c r="E7" s="694">
        <f>[20]Inventories!I53</f>
        <v>1717.9018534673394</v>
      </c>
      <c r="F7" s="694">
        <f>[20]Inventories!J53</f>
        <v>1780.5880670773045</v>
      </c>
      <c r="G7" s="694">
        <f>[20]Inventories!K53</f>
        <v>1823.9482564653572</v>
      </c>
      <c r="H7" s="694">
        <f>[20]Inventories!L53</f>
        <v>1674.6017615911862</v>
      </c>
    </row>
    <row r="8" spans="1:8" ht="13.5" customHeight="1" thickBot="1">
      <c r="A8" s="689" t="s">
        <v>1565</v>
      </c>
      <c r="B8" s="694">
        <f>[20]Profitability!I21</f>
        <v>85.175286200000002</v>
      </c>
      <c r="C8" s="694">
        <f>[20]Profitability!J21</f>
        <v>661.87971375342477</v>
      </c>
      <c r="D8" s="694">
        <f>[20]Profitability!K21</f>
        <v>730.25656945228002</v>
      </c>
      <c r="E8" s="694">
        <f>[20]Profitability!L21</f>
        <v>755.87681552562935</v>
      </c>
      <c r="F8" s="694">
        <f>[20]Profitability!M21</f>
        <v>783.45874951401402</v>
      </c>
      <c r="G8" s="694">
        <f>[20]Profitability!N21</f>
        <v>802.53723284475711</v>
      </c>
      <c r="H8" s="694">
        <f>[20]Inventories!L55</f>
        <v>736.824775100122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38CC-BD89-423E-89B4-CCB5E7BDC426}">
  <dimension ref="A1:G19"/>
  <sheetViews>
    <sheetView workbookViewId="0">
      <selection activeCell="N19" sqref="N19"/>
    </sheetView>
  </sheetViews>
  <sheetFormatPr defaultRowHeight="12.75"/>
  <cols>
    <col min="1" max="1" width="16.85546875" style="684" customWidth="1"/>
    <col min="2" max="2" width="10.7109375" style="684" bestFit="1" customWidth="1"/>
    <col min="3" max="7" width="9.85546875" style="684" bestFit="1" customWidth="1"/>
    <col min="8" max="16384" width="9.140625" style="684"/>
  </cols>
  <sheetData>
    <row r="1" spans="1:7" ht="16.5" customHeight="1" thickBot="1">
      <c r="A1" s="695" t="s">
        <v>314</v>
      </c>
      <c r="B1" s="696" t="s">
        <v>1566</v>
      </c>
      <c r="C1" s="696" t="s">
        <v>1567</v>
      </c>
      <c r="D1" s="696" t="s">
        <v>1568</v>
      </c>
      <c r="E1" s="696" t="s">
        <v>1569</v>
      </c>
      <c r="F1" s="696" t="s">
        <v>1570</v>
      </c>
      <c r="G1" s="696" t="s">
        <v>1571</v>
      </c>
    </row>
    <row r="2" spans="1:7" ht="15.75" thickBot="1">
      <c r="A2" s="1019" t="s">
        <v>1572</v>
      </c>
      <c r="B2" s="697"/>
      <c r="C2" s="697" t="s">
        <v>1573</v>
      </c>
      <c r="D2" s="697" t="s">
        <v>1573</v>
      </c>
      <c r="E2" s="697" t="s">
        <v>1573</v>
      </c>
      <c r="F2" s="697" t="s">
        <v>1573</v>
      </c>
      <c r="G2" s="697" t="s">
        <v>1573</v>
      </c>
    </row>
    <row r="3" spans="1:7" ht="29.25" thickBot="1">
      <c r="A3" s="1019" t="s">
        <v>1574</v>
      </c>
      <c r="B3" s="698" t="s">
        <v>1575</v>
      </c>
      <c r="C3" s="698" t="s">
        <v>1576</v>
      </c>
      <c r="D3" s="698" t="s">
        <v>11</v>
      </c>
      <c r="E3" s="698" t="s">
        <v>11</v>
      </c>
      <c r="F3" s="698" t="s">
        <v>11</v>
      </c>
      <c r="G3" s="698" t="s">
        <v>11</v>
      </c>
    </row>
    <row r="4" spans="1:7" ht="15.75" thickBot="1">
      <c r="A4" s="1019" t="s">
        <v>1577</v>
      </c>
      <c r="B4" s="699">
        <f>[20]OP_STATEMENT!H10</f>
        <v>85.175286200000002</v>
      </c>
      <c r="C4" s="699">
        <f>[20]OP_STATEMENT!I10</f>
        <v>661.87971375342477</v>
      </c>
      <c r="D4" s="699">
        <f>[20]OP_STATEMENT!J10</f>
        <v>730.25656945228002</v>
      </c>
      <c r="E4" s="699">
        <f>[20]OP_STATEMENT!K10</f>
        <v>755.87681552562935</v>
      </c>
      <c r="F4" s="699">
        <f>[20]OP_STATEMENT!L10</f>
        <v>783.45874951401402</v>
      </c>
      <c r="G4" s="699">
        <f>[20]OP_STATEMENT!M10</f>
        <v>802.53723284475711</v>
      </c>
    </row>
    <row r="5" spans="1:7" ht="15.75" thickBot="1">
      <c r="A5" s="1019" t="s">
        <v>1578</v>
      </c>
      <c r="B5" s="699">
        <f>[20]OP_STATEMENT!H12</f>
        <v>85.175286200000002</v>
      </c>
      <c r="C5" s="699">
        <f>[20]OP_STATEMENT!I12</f>
        <v>661.87971375342477</v>
      </c>
      <c r="D5" s="699">
        <f>[20]OP_STATEMENT!J12</f>
        <v>730.25656945228002</v>
      </c>
      <c r="E5" s="699">
        <f>[20]OP_STATEMENT!K12</f>
        <v>755.87681552562935</v>
      </c>
      <c r="F5" s="699">
        <f>[20]OP_STATEMENT!L12</f>
        <v>783.45874951401402</v>
      </c>
      <c r="G5" s="699">
        <f>[20]OP_STATEMENT!M12</f>
        <v>802.53723284475711</v>
      </c>
    </row>
    <row r="6" spans="1:7" ht="15.75" thickBot="1">
      <c r="A6" s="1019" t="s">
        <v>146</v>
      </c>
      <c r="B6" s="699">
        <f>[20]OP_STATEMENT!H15</f>
        <v>0</v>
      </c>
      <c r="C6" s="699">
        <f>[20]OP_STATEMENT!I15</f>
        <v>0</v>
      </c>
      <c r="D6" s="699">
        <f>[20]OP_STATEMENT!J15</f>
        <v>0</v>
      </c>
      <c r="E6" s="699">
        <f>[20]OP_STATEMENT!K15</f>
        <v>0</v>
      </c>
      <c r="F6" s="699">
        <f>[20]OP_STATEMENT!L15</f>
        <v>0</v>
      </c>
      <c r="G6" s="699">
        <f>[20]OP_STATEMENT!M15</f>
        <v>0</v>
      </c>
    </row>
    <row r="7" spans="1:7" ht="15.75" thickBot="1">
      <c r="A7" s="1019" t="s">
        <v>1579</v>
      </c>
      <c r="B7" s="699">
        <f>[20]OP_STATEMENT!H16</f>
        <v>85.175286200000002</v>
      </c>
      <c r="C7" s="699">
        <f>[20]OP_STATEMENT!I16</f>
        <v>661.87971375342477</v>
      </c>
      <c r="D7" s="699">
        <f>[20]OP_STATEMENT!J16</f>
        <v>730.25656945228002</v>
      </c>
      <c r="E7" s="699">
        <f>[20]OP_STATEMENT!K16</f>
        <v>755.87681552562935</v>
      </c>
      <c r="F7" s="699">
        <f>[20]OP_STATEMENT!L16</f>
        <v>783.45874951401402</v>
      </c>
      <c r="G7" s="699">
        <f>[20]OP_STATEMENT!M16</f>
        <v>802.53723284475711</v>
      </c>
    </row>
    <row r="8" spans="1:7" ht="15.75" thickBot="1">
      <c r="A8" s="1019" t="s">
        <v>1580</v>
      </c>
      <c r="B8" s="699">
        <f>SUM([20]OP_STATEMENT!H40,[20]OP_STATEMENT!H31)</f>
        <v>76.349698600000011</v>
      </c>
      <c r="C8" s="699">
        <f>SUM([20]OP_STATEMENT!I40,[20]OP_STATEMENT!I31)</f>
        <v>603.92586069097592</v>
      </c>
      <c r="D8" s="699">
        <f>SUM([20]OP_STATEMENT!J40,[20]OP_STATEMENT!J31)</f>
        <v>657.03364932096929</v>
      </c>
      <c r="E8" s="699">
        <f>SUM([20]OP_STATEMENT!K40,[20]OP_STATEMENT!K31)</f>
        <v>677.17386993916773</v>
      </c>
      <c r="F8" s="699">
        <f>SUM([20]OP_STATEMENT!L40,[20]OP_STATEMENT!L31)</f>
        <v>699.42902704274343</v>
      </c>
      <c r="G8" s="699">
        <f>SUM([20]OP_STATEMENT!M40,[20]OP_STATEMENT!M31)</f>
        <v>714.42692384794532</v>
      </c>
    </row>
    <row r="9" spans="1:7" ht="15.75" thickBot="1">
      <c r="A9" s="1019" t="s">
        <v>711</v>
      </c>
      <c r="B9" s="699">
        <f>[20]OP_STATEMENT!H56</f>
        <v>9.9813000000000009</v>
      </c>
      <c r="C9" s="699">
        <f>[20]OP_STATEMENT!I56</f>
        <v>21.316875</v>
      </c>
      <c r="D9" s="699">
        <f>[20]OP_STATEMENT!J56</f>
        <v>21.1875</v>
      </c>
      <c r="E9" s="699">
        <f>[20]OP_STATEMENT!K56</f>
        <v>19.3125</v>
      </c>
      <c r="F9" s="699">
        <f>[20]OP_STATEMENT!L56</f>
        <v>17.4375</v>
      </c>
      <c r="G9" s="699">
        <f>[20]OP_STATEMENT!M56</f>
        <v>15.5625</v>
      </c>
    </row>
    <row r="10" spans="1:7" ht="15.75" thickBot="1">
      <c r="A10" s="1019" t="s">
        <v>1581</v>
      </c>
      <c r="B10" s="699">
        <f>[20]OP_STATEMENT!H31</f>
        <v>9.7151599999999991</v>
      </c>
      <c r="C10" s="699">
        <f>[20]OP_STATEMENT!I31</f>
        <v>17.910710000000002</v>
      </c>
      <c r="D10" s="699">
        <f>[20]OP_STATEMENT!J31</f>
        <v>15.16093</v>
      </c>
      <c r="E10" s="699">
        <f>[20]OP_STATEMENT!K31</f>
        <v>12.907299999999999</v>
      </c>
      <c r="F10" s="699">
        <f>[20]OP_STATEMENT!L31</f>
        <v>11.020630000000001</v>
      </c>
      <c r="G10" s="699">
        <f>[20]OP_STATEMENT!M31</f>
        <v>9.42441</v>
      </c>
    </row>
    <row r="11" spans="1:7" ht="15.75" thickBot="1">
      <c r="A11" s="1019" t="s">
        <v>440</v>
      </c>
      <c r="B11" s="699">
        <f>[20]OP_STATEMENT!H68</f>
        <v>2.2370338999999921</v>
      </c>
      <c r="C11" s="699">
        <f>[20]OP_STATEMENT!I68</f>
        <v>24.348740084805019</v>
      </c>
      <c r="D11" s="699">
        <f>[20]OP_STATEMENT!J68</f>
        <v>33.395317644862736</v>
      </c>
      <c r="E11" s="699">
        <f>[20]OP_STATEMENT!K68</f>
        <v>36.63916570333388</v>
      </c>
      <c r="F11" s="699">
        <f>[20]OP_STATEMENT!L68</f>
        <v>39.957208743139951</v>
      </c>
      <c r="G11" s="699">
        <f>[20]OP_STATEMENT!M68</f>
        <v>42.655506285952903</v>
      </c>
    </row>
    <row r="12" spans="1:7" ht="15.75" thickBot="1">
      <c r="A12" s="1019" t="s">
        <v>1245</v>
      </c>
      <c r="B12" s="699">
        <f>[20]OP_STATEMENT!H70</f>
        <v>2.2370338999999921</v>
      </c>
      <c r="C12" s="699">
        <f>[20]OP_STATEMENT!I70</f>
        <v>24.348740084805019</v>
      </c>
      <c r="D12" s="699">
        <f>[20]OP_STATEMENT!J70</f>
        <v>33.395317644862736</v>
      </c>
      <c r="E12" s="699">
        <f>[20]OP_STATEMENT!K70</f>
        <v>36.63916570333388</v>
      </c>
      <c r="F12" s="699">
        <f>[20]OP_STATEMENT!L70</f>
        <v>39.957208743139951</v>
      </c>
      <c r="G12" s="699">
        <f>[20]OP_STATEMENT!M70</f>
        <v>42.655506285952903</v>
      </c>
    </row>
    <row r="13" spans="1:7" ht="15.75" thickBot="1">
      <c r="A13" s="1019" t="s">
        <v>397</v>
      </c>
      <c r="B13" s="699">
        <f>[20]OP_STATEMENT!H71</f>
        <v>0</v>
      </c>
      <c r="C13" s="699">
        <f>[20]OP_STATEMENT!I71</f>
        <v>0</v>
      </c>
      <c r="D13" s="699">
        <f>[20]OP_STATEMENT!J71</f>
        <v>5</v>
      </c>
      <c r="E13" s="699">
        <f>[20]OP_STATEMENT!K71</f>
        <v>10</v>
      </c>
      <c r="F13" s="699">
        <f>[20]OP_STATEMENT!L71</f>
        <v>10</v>
      </c>
      <c r="G13" s="699">
        <f>[20]OP_STATEMENT!M71</f>
        <v>10</v>
      </c>
    </row>
    <row r="14" spans="1:7" ht="15.75" thickBot="1">
      <c r="A14" s="1019" t="s">
        <v>187</v>
      </c>
      <c r="B14" s="699">
        <f>[20]OP_STATEMENT!H79</f>
        <v>2.2370338999999921</v>
      </c>
      <c r="C14" s="699">
        <f>[20]OP_STATEMENT!I79</f>
        <v>24.348740084805019</v>
      </c>
      <c r="D14" s="699">
        <f>[20]OP_STATEMENT!J79</f>
        <v>28.395317644862736</v>
      </c>
      <c r="E14" s="699">
        <f>[20]OP_STATEMENT!K79</f>
        <v>26.63916570333388</v>
      </c>
      <c r="F14" s="699">
        <f>[20]OP_STATEMENT!L79</f>
        <v>29.957208743139951</v>
      </c>
      <c r="G14" s="699">
        <f>[20]OP_STATEMENT!M79</f>
        <v>32.655506285952903</v>
      </c>
    </row>
    <row r="15" spans="1:7" ht="15.75" thickBot="1">
      <c r="A15" s="1019" t="s">
        <v>1582</v>
      </c>
      <c r="B15" s="699">
        <f t="shared" ref="B15:G15" si="0">B12+B10-B13</f>
        <v>11.95219389999999</v>
      </c>
      <c r="C15" s="699">
        <f t="shared" si="0"/>
        <v>42.259450084805025</v>
      </c>
      <c r="D15" s="699">
        <f t="shared" si="0"/>
        <v>43.556247644862736</v>
      </c>
      <c r="E15" s="699">
        <f t="shared" si="0"/>
        <v>39.54646570333388</v>
      </c>
      <c r="F15" s="699">
        <f t="shared" si="0"/>
        <v>40.977838743139955</v>
      </c>
      <c r="G15" s="699">
        <f t="shared" si="0"/>
        <v>42.079916285952905</v>
      </c>
    </row>
    <row r="16" spans="1:7" ht="28.5" customHeight="1" thickBot="1">
      <c r="A16" s="1019" t="s">
        <v>1583</v>
      </c>
      <c r="B16" s="700">
        <f t="shared" ref="B16:G16" si="1">B11/B4</f>
        <v>2.6263884746418286E-2</v>
      </c>
      <c r="C16" s="700">
        <f t="shared" si="1"/>
        <v>3.6787258438133436E-2</v>
      </c>
      <c r="D16" s="700">
        <f t="shared" si="1"/>
        <v>4.5730937648271325E-2</v>
      </c>
      <c r="E16" s="700">
        <f t="shared" si="1"/>
        <v>4.8472403109566686E-2</v>
      </c>
      <c r="F16" s="700">
        <f t="shared" si="1"/>
        <v>5.1001037090881607E-2</v>
      </c>
      <c r="G16" s="700">
        <f t="shared" si="1"/>
        <v>5.3150812872259832E-2</v>
      </c>
    </row>
    <row r="18" spans="2:7">
      <c r="B18" s="701">
        <f>B15-[20]Profitability!I80</f>
        <v>0</v>
      </c>
      <c r="C18" s="701">
        <f>C15-[20]Profitability!J80</f>
        <v>0</v>
      </c>
      <c r="D18" s="701">
        <f>D15-[20]Profitability!K80</f>
        <v>0</v>
      </c>
      <c r="E18" s="701">
        <f>E15-[20]Profitability!L80</f>
        <v>0</v>
      </c>
      <c r="F18" s="701">
        <f>F15-[20]Profitability!M80</f>
        <v>2.4158453015843406E-13</v>
      </c>
      <c r="G18" s="701">
        <f>G15-[20]Profitability!N80</f>
        <v>0</v>
      </c>
    </row>
    <row r="19" spans="2:7">
      <c r="B19" s="702">
        <f>B14-[20]OP_STATEMENT!H79</f>
        <v>0</v>
      </c>
      <c r="C19" s="702">
        <f>C14-[20]OP_STATEMENT!I79</f>
        <v>0</v>
      </c>
      <c r="D19" s="702">
        <f>D14-[20]OP_STATEMENT!J79</f>
        <v>0</v>
      </c>
      <c r="E19" s="702">
        <f>E14-[20]OP_STATEMENT!K79</f>
        <v>0</v>
      </c>
      <c r="F19" s="702">
        <f>F14-[20]OP_STATEMENT!L79</f>
        <v>0</v>
      </c>
      <c r="G19" s="702">
        <f>G14-[20]OP_STATEMENT!M79</f>
        <v>0</v>
      </c>
    </row>
  </sheetData>
  <pageMargins left="0.7" right="0.7" top="0.75" bottom="0.75" header="0.3" footer="0.3"/>
  <pageSetup orientation="portrait" horizontalDpi="4294967294"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C0F7-0FAF-42B4-B2E2-FF5238D15FE2}">
  <dimension ref="A1:N25"/>
  <sheetViews>
    <sheetView workbookViewId="0">
      <selection sqref="A1:G15"/>
    </sheetView>
  </sheetViews>
  <sheetFormatPr defaultRowHeight="12.75"/>
  <cols>
    <col min="1" max="1" width="30.7109375" style="684" bestFit="1" customWidth="1"/>
    <col min="2" max="16384" width="9.140625" style="684"/>
  </cols>
  <sheetData>
    <row r="1" spans="1:7" ht="16.5" thickBot="1">
      <c r="A1" s="703" t="s">
        <v>314</v>
      </c>
      <c r="B1" s="704"/>
      <c r="C1" s="704"/>
      <c r="D1" s="704"/>
      <c r="E1" s="704"/>
      <c r="F1" s="704"/>
      <c r="G1" s="704"/>
    </row>
    <row r="2" spans="1:7" ht="16.5" thickBot="1">
      <c r="A2" s="705" t="s">
        <v>1584</v>
      </c>
      <c r="B2" s="706">
        <v>2015</v>
      </c>
      <c r="C2" s="706">
        <v>2016</v>
      </c>
      <c r="D2" s="706">
        <v>2017</v>
      </c>
      <c r="E2" s="706">
        <v>2018</v>
      </c>
      <c r="F2" s="706">
        <v>2019</v>
      </c>
      <c r="G2" s="706">
        <v>2020</v>
      </c>
    </row>
    <row r="3" spans="1:7" ht="16.5" thickBot="1">
      <c r="A3" s="705" t="s">
        <v>441</v>
      </c>
      <c r="B3" s="707">
        <f>[20]BS!F12</f>
        <v>92.668320000000008</v>
      </c>
      <c r="C3" s="707">
        <f>[20]BS!G12</f>
        <v>98.668320000000008</v>
      </c>
      <c r="D3" s="707">
        <f>[20]BS!H12</f>
        <v>98.668320000000008</v>
      </c>
      <c r="E3" s="707">
        <f>[20]BS!I12</f>
        <v>98.668320000000008</v>
      </c>
      <c r="F3" s="707">
        <f>[20]BS!J12</f>
        <v>98.668320000000008</v>
      </c>
      <c r="G3" s="707">
        <f>[20]BS!K12</f>
        <v>98.668320000000008</v>
      </c>
    </row>
    <row r="4" spans="1:7" ht="16.5" thickBot="1">
      <c r="A4" s="708" t="s">
        <v>1585</v>
      </c>
      <c r="B4" s="707" t="s">
        <v>443</v>
      </c>
      <c r="C4" s="707" t="s">
        <v>443</v>
      </c>
      <c r="D4" s="707" t="s">
        <v>443</v>
      </c>
      <c r="E4" s="707" t="s">
        <v>443</v>
      </c>
      <c r="F4" s="707" t="s">
        <v>443</v>
      </c>
      <c r="G4" s="707" t="s">
        <v>443</v>
      </c>
    </row>
    <row r="5" spans="1:7" ht="16.5" thickBot="1">
      <c r="A5" s="708" t="s">
        <v>1586</v>
      </c>
      <c r="B5" s="707" t="s">
        <v>443</v>
      </c>
      <c r="C5" s="707" t="s">
        <v>443</v>
      </c>
      <c r="D5" s="707" t="s">
        <v>443</v>
      </c>
      <c r="E5" s="707" t="s">
        <v>443</v>
      </c>
      <c r="F5" s="707" t="s">
        <v>443</v>
      </c>
      <c r="G5" s="707" t="s">
        <v>443</v>
      </c>
    </row>
    <row r="6" spans="1:7" ht="16.5" thickBot="1">
      <c r="A6" s="705" t="s">
        <v>423</v>
      </c>
      <c r="B6" s="707">
        <f>[20]BS!F14</f>
        <v>2.2370338999999868</v>
      </c>
      <c r="C6" s="707">
        <f>[20]BS!G14</f>
        <v>26.585773984804987</v>
      </c>
      <c r="D6" s="707">
        <f>[20]BS!H14</f>
        <v>54.981091629667688</v>
      </c>
      <c r="E6" s="707">
        <f>[20]BS!I14</f>
        <v>81.620257333001589</v>
      </c>
      <c r="F6" s="707">
        <f>[20]BS!J14</f>
        <v>111.57746607614131</v>
      </c>
      <c r="G6" s="707">
        <f>[20]BS!K14</f>
        <v>144.23297236209424</v>
      </c>
    </row>
    <row r="7" spans="1:7" ht="16.5" thickBot="1">
      <c r="A7" s="705" t="s">
        <v>1587</v>
      </c>
      <c r="B7" s="707">
        <f t="shared" ref="B7:G7" si="0">B6+B3</f>
        <v>94.905353899999994</v>
      </c>
      <c r="C7" s="707">
        <f t="shared" si="0"/>
        <v>125.254093984805</v>
      </c>
      <c r="D7" s="707">
        <f t="shared" si="0"/>
        <v>153.6494116296677</v>
      </c>
      <c r="E7" s="707">
        <f t="shared" si="0"/>
        <v>180.2885773330016</v>
      </c>
      <c r="F7" s="707">
        <f t="shared" si="0"/>
        <v>210.24578607614131</v>
      </c>
      <c r="G7" s="707">
        <f t="shared" si="0"/>
        <v>242.90129236209424</v>
      </c>
    </row>
    <row r="8" spans="1:7" ht="16.5" thickBot="1">
      <c r="A8" s="705" t="s">
        <v>1535</v>
      </c>
      <c r="B8" s="707" t="s">
        <v>443</v>
      </c>
      <c r="C8" s="707" t="s">
        <v>443</v>
      </c>
      <c r="D8" s="707" t="s">
        <v>443</v>
      </c>
      <c r="E8" s="707" t="s">
        <v>443</v>
      </c>
      <c r="F8" s="707" t="s">
        <v>443</v>
      </c>
      <c r="G8" s="707" t="s">
        <v>443</v>
      </c>
    </row>
    <row r="9" spans="1:7" ht="16.5" thickBot="1">
      <c r="A9" s="705" t="s">
        <v>1095</v>
      </c>
      <c r="B9" s="707">
        <f t="shared" ref="B9:G9" si="1">B7</f>
        <v>94.905353899999994</v>
      </c>
      <c r="C9" s="707">
        <f t="shared" si="1"/>
        <v>125.254093984805</v>
      </c>
      <c r="D9" s="707">
        <f t="shared" si="1"/>
        <v>153.6494116296677</v>
      </c>
      <c r="E9" s="707">
        <f t="shared" si="1"/>
        <v>180.2885773330016</v>
      </c>
      <c r="F9" s="707">
        <f t="shared" si="1"/>
        <v>210.24578607614131</v>
      </c>
      <c r="G9" s="707">
        <f t="shared" si="1"/>
        <v>242.90129236209424</v>
      </c>
    </row>
    <row r="10" spans="1:7" ht="12.75" customHeight="1">
      <c r="A10" s="709" t="s">
        <v>1588</v>
      </c>
      <c r="B10" s="1144"/>
      <c r="C10" s="1144"/>
      <c r="D10" s="1144"/>
      <c r="E10" s="1144"/>
      <c r="F10" s="1144"/>
      <c r="G10" s="1144"/>
    </row>
    <row r="11" spans="1:7" ht="13.5" customHeight="1" thickBot="1">
      <c r="A11" s="710" t="s">
        <v>1589</v>
      </c>
      <c r="B11" s="1145"/>
      <c r="C11" s="1145"/>
      <c r="D11" s="1145"/>
      <c r="E11" s="1145"/>
      <c r="F11" s="1145"/>
      <c r="G11" s="1145"/>
    </row>
    <row r="12" spans="1:7" ht="16.5" thickBot="1">
      <c r="A12" s="705" t="s">
        <v>1227</v>
      </c>
      <c r="B12" s="707"/>
      <c r="C12" s="707"/>
      <c r="D12" s="707"/>
      <c r="E12" s="707"/>
      <c r="F12" s="707"/>
      <c r="G12" s="707"/>
    </row>
    <row r="13" spans="1:7" ht="16.5" thickBot="1">
      <c r="A13" s="705" t="s">
        <v>1590</v>
      </c>
      <c r="B13" s="707">
        <f>[20]BS!F18</f>
        <v>75.828850000000003</v>
      </c>
      <c r="C13" s="707">
        <f>[20]BS!G18</f>
        <v>60</v>
      </c>
      <c r="D13" s="707">
        <f>[20]BS!H18</f>
        <v>45</v>
      </c>
      <c r="E13" s="707">
        <f>[20]BS!I18</f>
        <v>30</v>
      </c>
      <c r="F13" s="707">
        <f>[20]BS!J18</f>
        <v>15</v>
      </c>
      <c r="G13" s="707">
        <f>[20]BS!K18</f>
        <v>0</v>
      </c>
    </row>
    <row r="14" spans="1:7" ht="16.5" thickBot="1">
      <c r="A14" s="705" t="s">
        <v>277</v>
      </c>
      <c r="B14" s="707">
        <f>[20]BS!F16</f>
        <v>0</v>
      </c>
      <c r="C14" s="707">
        <f>[20]BS!G16</f>
        <v>0</v>
      </c>
      <c r="D14" s="707">
        <f>[20]BS!H16</f>
        <v>0</v>
      </c>
      <c r="E14" s="707">
        <f>[20]BS!I16</f>
        <v>0</v>
      </c>
      <c r="F14" s="707">
        <f>[20]BS!J16</f>
        <v>0</v>
      </c>
      <c r="G14" s="707">
        <f>[20]BS!K16</f>
        <v>0</v>
      </c>
    </row>
    <row r="15" spans="1:7" ht="16.5" thickBot="1">
      <c r="A15" s="708" t="s">
        <v>1591</v>
      </c>
      <c r="B15" s="707">
        <f t="shared" ref="B15:G15" si="2">B13+B14</f>
        <v>75.828850000000003</v>
      </c>
      <c r="C15" s="707">
        <f t="shared" si="2"/>
        <v>60</v>
      </c>
      <c r="D15" s="707">
        <f t="shared" si="2"/>
        <v>45</v>
      </c>
      <c r="E15" s="707">
        <f t="shared" si="2"/>
        <v>30</v>
      </c>
      <c r="F15" s="707">
        <f t="shared" si="2"/>
        <v>15</v>
      </c>
      <c r="G15" s="707">
        <f t="shared" si="2"/>
        <v>0</v>
      </c>
    </row>
    <row r="16" spans="1:7" ht="16.5" thickBot="1">
      <c r="A16" s="705" t="s">
        <v>446</v>
      </c>
      <c r="B16" s="707" t="s">
        <v>443</v>
      </c>
      <c r="C16" s="707" t="s">
        <v>443</v>
      </c>
      <c r="D16" s="707" t="s">
        <v>443</v>
      </c>
      <c r="E16" s="707" t="s">
        <v>443</v>
      </c>
      <c r="F16" s="707" t="s">
        <v>443</v>
      </c>
      <c r="G16" s="707" t="s">
        <v>443</v>
      </c>
    </row>
    <row r="17" spans="1:14" ht="16.5" thickBot="1">
      <c r="A17" s="705" t="s">
        <v>447</v>
      </c>
      <c r="B17" s="707">
        <f>[20]BS!F30</f>
        <v>125.14068</v>
      </c>
      <c r="C17" s="707">
        <f>[20]BS!G30</f>
        <v>107.22997000000001</v>
      </c>
      <c r="D17" s="707">
        <f>[20]BS!H30</f>
        <v>92.069040000000001</v>
      </c>
      <c r="E17" s="707">
        <f>[20]BS!I30</f>
        <v>79.161740000000009</v>
      </c>
      <c r="F17" s="707">
        <f>[20]BS!J30</f>
        <v>68.141110000000012</v>
      </c>
      <c r="G17" s="707">
        <f>[20]BS!K30</f>
        <v>58.71670000000001</v>
      </c>
    </row>
    <row r="18" spans="1:14" ht="16.5" thickBot="1">
      <c r="A18" s="705" t="s">
        <v>1592</v>
      </c>
      <c r="B18" s="707">
        <f>[20]BS!F44</f>
        <v>4.4550000000000001</v>
      </c>
      <c r="C18" s="707">
        <f>[20]BS!G44</f>
        <v>6.4550000000000001</v>
      </c>
      <c r="D18" s="707">
        <f>[20]BS!H44</f>
        <v>8.4550000000000001</v>
      </c>
      <c r="E18" s="707">
        <f>[20]BS!I44</f>
        <v>9.4550000000000001</v>
      </c>
      <c r="F18" s="707">
        <f>[20]BS!J44</f>
        <v>9.4550000000000001</v>
      </c>
      <c r="G18" s="707">
        <f>[20]BS!K44</f>
        <v>9.4550000000000001</v>
      </c>
    </row>
    <row r="19" spans="1:14" ht="16.5" thickBot="1">
      <c r="A19" s="705" t="s">
        <v>1494</v>
      </c>
      <c r="B19" s="707">
        <f>SUM([20]BS!F32:F43)</f>
        <v>155.93251510000007</v>
      </c>
      <c r="C19" s="707">
        <f>SUM([20]BS!G32:G43)</f>
        <v>225.22760890578886</v>
      </c>
      <c r="D19" s="707">
        <f>SUM([20]BS!H32:H43)</f>
        <v>261.07790593071434</v>
      </c>
      <c r="E19" s="707">
        <f>SUM([20]BS!I32:I43)</f>
        <v>287.70662938681085</v>
      </c>
      <c r="F19" s="707">
        <f>SUM([20]BS!J32:J43)</f>
        <v>320.30371550000581</v>
      </c>
      <c r="G19" s="707">
        <f>SUM([20]BS!K32:K43)</f>
        <v>352.05062247928288</v>
      </c>
    </row>
    <row r="20" spans="1:14" ht="16.5" thickBot="1">
      <c r="A20" s="708" t="s">
        <v>1593</v>
      </c>
      <c r="B20" s="707">
        <f>SUM([20]BS!F20:F24)+[20]CA_CL!H66</f>
        <v>114.79399120000001</v>
      </c>
      <c r="C20" s="707">
        <f>SUM([20]BS!G20:G24)+[20]CA_CL!I66</f>
        <v>168.65848492098391</v>
      </c>
      <c r="D20" s="707">
        <f>SUM([20]BS!H20:H24)+[20]CA_CL!J66</f>
        <v>177.95253430104651</v>
      </c>
      <c r="E20" s="707">
        <f>SUM([20]BS!I20:I24)+[20]CA_CL!K66</f>
        <v>181.03479205380916</v>
      </c>
      <c r="F20" s="707">
        <f>SUM([20]BS!J20:J24)+[20]CA_CL!L66</f>
        <v>187.65403942386448</v>
      </c>
      <c r="G20" s="707">
        <f>SUM([20]BS!K20:K24)+[20]CA_CL!M66</f>
        <v>177.3210301171886</v>
      </c>
    </row>
    <row r="21" spans="1:14" ht="16.5" thickBot="1">
      <c r="A21" s="705" t="s">
        <v>1594</v>
      </c>
      <c r="B21" s="707">
        <f t="shared" ref="B21:G21" si="3">B19-B20</f>
        <v>41.138523900000067</v>
      </c>
      <c r="C21" s="707">
        <f t="shared" si="3"/>
        <v>56.569123984804946</v>
      </c>
      <c r="D21" s="707">
        <f t="shared" si="3"/>
        <v>83.125371629667825</v>
      </c>
      <c r="E21" s="707">
        <f t="shared" si="3"/>
        <v>106.67183733300169</v>
      </c>
      <c r="F21" s="707">
        <f t="shared" si="3"/>
        <v>132.64967607614133</v>
      </c>
      <c r="G21" s="707">
        <f t="shared" si="3"/>
        <v>174.72959236209428</v>
      </c>
      <c r="H21" s="702">
        <f>B21-[20]CA_CL!H75+[20]CA_CL!H77</f>
        <v>0</v>
      </c>
      <c r="I21" s="702">
        <f>C21-[20]CA_CL!I75+[20]CA_CL!I77</f>
        <v>0</v>
      </c>
      <c r="J21" s="702">
        <f>D21-[20]CA_CL!J75+[20]CA_CL!J77</f>
        <v>0</v>
      </c>
      <c r="K21" s="702">
        <f>E21-[20]CA_CL!K75+[20]CA_CL!K77</f>
        <v>0</v>
      </c>
      <c r="L21" s="702">
        <f>F21-[20]CA_CL!L75+[20]CA_CL!L77</f>
        <v>0</v>
      </c>
      <c r="M21" s="702">
        <f>G21-[20]CA_CL!M75+[20]CA_CL!M77</f>
        <v>0</v>
      </c>
      <c r="N21" s="702"/>
    </row>
    <row r="22" spans="1:14" ht="16.5" thickBot="1">
      <c r="A22" s="705" t="s">
        <v>43</v>
      </c>
      <c r="B22" s="707">
        <f t="shared" ref="B22:G22" si="4">B19/B20</f>
        <v>1.3583682688436751</v>
      </c>
      <c r="C22" s="707">
        <f t="shared" si="4"/>
        <v>1.335406333166739</v>
      </c>
      <c r="D22" s="707">
        <f t="shared" si="4"/>
        <v>1.4671210328988216</v>
      </c>
      <c r="E22" s="707">
        <f t="shared" si="4"/>
        <v>1.5892339042834127</v>
      </c>
      <c r="F22" s="707">
        <f t="shared" si="4"/>
        <v>1.7068842028842142</v>
      </c>
      <c r="G22" s="707">
        <f t="shared" si="4"/>
        <v>1.9853856152686364</v>
      </c>
    </row>
    <row r="23" spans="1:14" ht="16.5" thickBot="1">
      <c r="A23" s="705" t="s">
        <v>1595</v>
      </c>
      <c r="B23" s="707">
        <f t="shared" ref="B23:G23" si="5">B15/B3</f>
        <v>0.81828234287618462</v>
      </c>
      <c r="C23" s="707">
        <f t="shared" si="5"/>
        <v>0.60809791835920579</v>
      </c>
      <c r="D23" s="707">
        <f t="shared" si="5"/>
        <v>0.45607343876940437</v>
      </c>
      <c r="E23" s="707">
        <f t="shared" si="5"/>
        <v>0.3040489591796029</v>
      </c>
      <c r="F23" s="707">
        <f t="shared" si="5"/>
        <v>0.15202447958980145</v>
      </c>
      <c r="G23" s="707">
        <f t="shared" si="5"/>
        <v>0</v>
      </c>
    </row>
    <row r="24" spans="1:14" ht="16.5" thickBot="1">
      <c r="A24" s="705" t="s">
        <v>1596</v>
      </c>
      <c r="B24" s="707">
        <f t="shared" ref="B24:G24" si="6">(85+B15)/B9</f>
        <v>1.6946235738129416</v>
      </c>
      <c r="C24" s="707">
        <f t="shared" si="6"/>
        <v>1.1576467913103938</v>
      </c>
      <c r="D24" s="707">
        <f t="shared" si="6"/>
        <v>0.8460819902996537</v>
      </c>
      <c r="E24" s="707">
        <f t="shared" si="6"/>
        <v>0.63786625698193578</v>
      </c>
      <c r="F24" s="707">
        <f t="shared" si="6"/>
        <v>0.47563378970071069</v>
      </c>
      <c r="G24" s="707">
        <f t="shared" si="6"/>
        <v>0.34993638433709956</v>
      </c>
    </row>
    <row r="25" spans="1:14" ht="16.5" thickBot="1">
      <c r="A25" s="711" t="s">
        <v>1597</v>
      </c>
      <c r="B25" s="707">
        <f t="shared" ref="B25:G25" si="7">B24</f>
        <v>1.6946235738129416</v>
      </c>
      <c r="C25" s="707">
        <f t="shared" si="7"/>
        <v>1.1576467913103938</v>
      </c>
      <c r="D25" s="707">
        <f t="shared" si="7"/>
        <v>0.8460819902996537</v>
      </c>
      <c r="E25" s="707">
        <f t="shared" si="7"/>
        <v>0.63786625698193578</v>
      </c>
      <c r="F25" s="707">
        <f t="shared" si="7"/>
        <v>0.47563378970071069</v>
      </c>
      <c r="G25" s="707">
        <f t="shared" si="7"/>
        <v>0.34993638433709956</v>
      </c>
    </row>
  </sheetData>
  <mergeCells count="6">
    <mergeCell ref="G10:G11"/>
    <mergeCell ref="B10:B11"/>
    <mergeCell ref="C10:C11"/>
    <mergeCell ref="D10:D11"/>
    <mergeCell ref="E10:E11"/>
    <mergeCell ref="F10:F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E5BF-0D8A-4BA4-839C-F11219FD195B}">
  <dimension ref="A1:H18"/>
  <sheetViews>
    <sheetView workbookViewId="0">
      <selection activeCell="I19" sqref="I19"/>
    </sheetView>
  </sheetViews>
  <sheetFormatPr defaultRowHeight="12.75"/>
  <cols>
    <col min="1" max="1" width="35.42578125" style="684" customWidth="1"/>
    <col min="2" max="2" width="9.5703125" style="684" bestFit="1" customWidth="1"/>
    <col min="3" max="7" width="8.7109375" style="684" bestFit="1" customWidth="1"/>
    <col min="8" max="8" width="8.7109375" style="684" hidden="1" customWidth="1"/>
    <col min="9" max="16384" width="9.140625" style="684"/>
  </cols>
  <sheetData>
    <row r="1" spans="1:8" ht="13.5" thickBot="1">
      <c r="A1" s="712" t="s">
        <v>1598</v>
      </c>
      <c r="B1" s="713" t="s">
        <v>1599</v>
      </c>
      <c r="C1" s="713" t="s">
        <v>1600</v>
      </c>
      <c r="D1" s="713" t="s">
        <v>1601</v>
      </c>
      <c r="E1" s="713" t="s">
        <v>1602</v>
      </c>
      <c r="F1" s="713" t="s">
        <v>1603</v>
      </c>
      <c r="G1" s="713" t="s">
        <v>1604</v>
      </c>
      <c r="H1" s="713" t="s">
        <v>1605</v>
      </c>
    </row>
    <row r="2" spans="1:8" ht="13.5" thickBot="1">
      <c r="A2" s="714"/>
      <c r="B2" s="715" t="str">
        <f>Sheet4!B3</f>
        <v>(Provisional)</v>
      </c>
      <c r="C2" s="715" t="str">
        <f>Sheet4!C3</f>
        <v>(Estimated)</v>
      </c>
      <c r="D2" s="715" t="str">
        <f>Sheet4!D3</f>
        <v>(Projected)</v>
      </c>
      <c r="E2" s="715" t="str">
        <f>Sheet4!E3</f>
        <v>(Projected)</v>
      </c>
      <c r="F2" s="715" t="str">
        <f>Sheet4!F3</f>
        <v>(Projected)</v>
      </c>
      <c r="G2" s="715" t="str">
        <f>Sheet4!G3</f>
        <v>(Projected)</v>
      </c>
      <c r="H2" s="715" t="s">
        <v>1606</v>
      </c>
    </row>
    <row r="3" spans="1:8" ht="13.5" thickBot="1">
      <c r="A3" s="716" t="s">
        <v>1607</v>
      </c>
      <c r="B3" s="717">
        <f>[20]OP_STATEMENT!H10</f>
        <v>85.175286200000002</v>
      </c>
      <c r="C3" s="717">
        <f>[20]OP_STATEMENT!I10</f>
        <v>661.87971375342477</v>
      </c>
      <c r="D3" s="717">
        <f>[20]OP_STATEMENT!J10</f>
        <v>730.25656945228002</v>
      </c>
      <c r="E3" s="717">
        <f>[20]OP_STATEMENT!K10</f>
        <v>755.87681552562935</v>
      </c>
      <c r="F3" s="717">
        <f>[20]OP_STATEMENT!L10</f>
        <v>783.45874951401402</v>
      </c>
      <c r="G3" s="717">
        <f>[20]OP_STATEMENT!M10</f>
        <v>802.53723284475711</v>
      </c>
      <c r="H3" s="718">
        <f>[20]OP_STATEMENT!N10</f>
        <v>736.824775100122</v>
      </c>
    </row>
    <row r="4" spans="1:8" ht="13.5" thickBot="1">
      <c r="A4" s="716" t="s">
        <v>1608</v>
      </c>
      <c r="B4" s="717">
        <f>[20]OP_STATEMENT!H16</f>
        <v>85.175286200000002</v>
      </c>
      <c r="C4" s="717">
        <f>[20]OP_STATEMENT!I16</f>
        <v>661.87971375342477</v>
      </c>
      <c r="D4" s="717">
        <f>[20]OP_STATEMENT!J16</f>
        <v>730.25656945228002</v>
      </c>
      <c r="E4" s="717">
        <f>[20]OP_STATEMENT!K16</f>
        <v>755.87681552562935</v>
      </c>
      <c r="F4" s="717">
        <f>[20]OP_STATEMENT!L16</f>
        <v>783.45874951401402</v>
      </c>
      <c r="G4" s="717">
        <f>[20]OP_STATEMENT!M16</f>
        <v>802.53723284475711</v>
      </c>
      <c r="H4" s="718">
        <f>[20]OP_STATEMENT!N16</f>
        <v>736.824775100122</v>
      </c>
    </row>
    <row r="5" spans="1:8" ht="13.5" thickBot="1">
      <c r="A5" s="716" t="s">
        <v>1609</v>
      </c>
      <c r="B5" s="717">
        <f>[20]OP_STATEMENT!H40</f>
        <v>66.634538600000013</v>
      </c>
      <c r="C5" s="717">
        <f>[20]OP_STATEMENT!I40</f>
        <v>586.01515069097593</v>
      </c>
      <c r="D5" s="717">
        <f>[20]OP_STATEMENT!J40</f>
        <v>641.87271932096928</v>
      </c>
      <c r="E5" s="717">
        <f>[20]OP_STATEMENT!K40</f>
        <v>664.26656993916777</v>
      </c>
      <c r="F5" s="717">
        <f>[20]OP_STATEMENT!L40</f>
        <v>688.40839704274345</v>
      </c>
      <c r="G5" s="717">
        <f>[20]OP_STATEMENT!M40</f>
        <v>705.00251384794535</v>
      </c>
      <c r="H5" s="718">
        <f>[20]OP_STATEMENT!N40</f>
        <v>741.95526979767442</v>
      </c>
    </row>
    <row r="6" spans="1:8" ht="13.5" thickBot="1">
      <c r="A6" s="716" t="s">
        <v>1610</v>
      </c>
      <c r="B6" s="717">
        <f t="shared" ref="B6:G6" si="0">B4-B5</f>
        <v>18.540747599999989</v>
      </c>
      <c r="C6" s="717">
        <f t="shared" si="0"/>
        <v>75.864563062448838</v>
      </c>
      <c r="D6" s="717">
        <f t="shared" si="0"/>
        <v>88.383850131310737</v>
      </c>
      <c r="E6" s="717">
        <f t="shared" si="0"/>
        <v>91.610245586461588</v>
      </c>
      <c r="F6" s="717">
        <f t="shared" si="0"/>
        <v>95.050352471270571</v>
      </c>
      <c r="G6" s="717">
        <f t="shared" si="0"/>
        <v>97.534718996811762</v>
      </c>
      <c r="H6" s="718">
        <f>H4-H5</f>
        <v>-5.1304946975524217</v>
      </c>
    </row>
    <row r="7" spans="1:8" ht="13.5" thickBot="1">
      <c r="A7" s="716" t="s">
        <v>1611</v>
      </c>
      <c r="B7" s="717">
        <f t="shared" ref="B7:G7" si="1">B6/B4*100</f>
        <v>21.767754975855883</v>
      </c>
      <c r="C7" s="717">
        <f t="shared" si="1"/>
        <v>11.461986443462937</v>
      </c>
      <c r="D7" s="717">
        <f t="shared" si="1"/>
        <v>12.103122906186513</v>
      </c>
      <c r="E7" s="717">
        <f t="shared" si="1"/>
        <v>12.119732171274061</v>
      </c>
      <c r="F7" s="717">
        <f t="shared" si="1"/>
        <v>12.132145123177333</v>
      </c>
      <c r="G7" s="717">
        <f t="shared" si="1"/>
        <v>12.15329519990992</v>
      </c>
      <c r="H7" s="719">
        <f>H6/H4*100</f>
        <v>-0.69629779982021833</v>
      </c>
    </row>
    <row r="8" spans="1:8" ht="26.25" customHeight="1" thickBot="1">
      <c r="A8" s="720" t="s">
        <v>1612</v>
      </c>
      <c r="B8" s="717">
        <f>[20]OP_STATEMENT!H53</f>
        <v>5.122413700000001</v>
      </c>
      <c r="C8" s="717">
        <f>[20]OP_STATEMENT!I53</f>
        <v>27.798947977643842</v>
      </c>
      <c r="D8" s="717">
        <f>[20]OP_STATEMENT!J53</f>
        <v>31.401032486448038</v>
      </c>
      <c r="E8" s="717">
        <f>[20]OP_STATEMENT!K53</f>
        <v>33.258579883127688</v>
      </c>
      <c r="F8" s="717">
        <f>[20]OP_STATEMENT!L53</f>
        <v>35.255643728130629</v>
      </c>
      <c r="G8" s="717">
        <f>[20]OP_STATEMENT!M53</f>
        <v>36.916712710858825</v>
      </c>
      <c r="H8" s="718">
        <f>[20]OP_STATEMENT!N53</f>
        <v>5.8945982008009761</v>
      </c>
    </row>
    <row r="9" spans="1:8" ht="13.5" thickBot="1">
      <c r="A9" s="716" t="s">
        <v>1613</v>
      </c>
      <c r="B9" s="717">
        <f>[20]OP_STATEMENT!H56</f>
        <v>9.9813000000000009</v>
      </c>
      <c r="C9" s="717">
        <f>[20]OP_STATEMENT!I56</f>
        <v>21.316875</v>
      </c>
      <c r="D9" s="717">
        <f>[20]OP_STATEMENT!J56</f>
        <v>21.1875</v>
      </c>
      <c r="E9" s="717">
        <f>[20]OP_STATEMENT!K56</f>
        <v>19.3125</v>
      </c>
      <c r="F9" s="717">
        <f>[20]OP_STATEMENT!L56</f>
        <v>17.4375</v>
      </c>
      <c r="G9" s="717">
        <f>[20]OP_STATEMENT!M56</f>
        <v>15.5625</v>
      </c>
      <c r="H9" s="718" t="e">
        <f>[20]OP_STATEMENT!N56</f>
        <v>#REF!</v>
      </c>
    </row>
    <row r="10" spans="1:8" ht="13.5" thickBot="1">
      <c r="A10" s="716" t="s">
        <v>1614</v>
      </c>
      <c r="B10" s="717">
        <f t="shared" ref="B10:G10" si="2">B6-B8-B9</f>
        <v>3.437033899999987</v>
      </c>
      <c r="C10" s="717">
        <f t="shared" si="2"/>
        <v>26.748740084804997</v>
      </c>
      <c r="D10" s="717">
        <f t="shared" si="2"/>
        <v>35.795317644862699</v>
      </c>
      <c r="E10" s="717">
        <f t="shared" si="2"/>
        <v>39.0391657033339</v>
      </c>
      <c r="F10" s="717">
        <f t="shared" si="2"/>
        <v>42.357208743139942</v>
      </c>
      <c r="G10" s="717">
        <f t="shared" si="2"/>
        <v>45.055506285952937</v>
      </c>
      <c r="H10" s="718" t="e">
        <f>H6-H8-H9</f>
        <v>#REF!</v>
      </c>
    </row>
    <row r="11" spans="1:8" ht="13.5" thickBot="1">
      <c r="A11" s="716" t="s">
        <v>1615</v>
      </c>
      <c r="B11" s="717" t="s">
        <v>443</v>
      </c>
      <c r="C11" s="717" t="s">
        <v>443</v>
      </c>
      <c r="D11" s="717" t="s">
        <v>443</v>
      </c>
      <c r="E11" s="717" t="s">
        <v>443</v>
      </c>
      <c r="F11" s="717" t="s">
        <v>443</v>
      </c>
      <c r="G11" s="717" t="s">
        <v>443</v>
      </c>
      <c r="H11" s="721" t="s">
        <v>443</v>
      </c>
    </row>
    <row r="12" spans="1:8" ht="13.5" thickBot="1">
      <c r="A12" s="716" t="s">
        <v>1616</v>
      </c>
      <c r="B12" s="717">
        <f>[20]OP_STATEMENT!H68</f>
        <v>2.2370338999999921</v>
      </c>
      <c r="C12" s="717">
        <f>[20]OP_STATEMENT!I68</f>
        <v>24.348740084805019</v>
      </c>
      <c r="D12" s="717">
        <f>[20]OP_STATEMENT!J68</f>
        <v>33.395317644862736</v>
      </c>
      <c r="E12" s="717">
        <f>[20]OP_STATEMENT!K68</f>
        <v>36.63916570333388</v>
      </c>
      <c r="F12" s="717">
        <f>[20]OP_STATEMENT!L68</f>
        <v>39.957208743139951</v>
      </c>
      <c r="G12" s="717">
        <f>[20]OP_STATEMENT!M68</f>
        <v>42.655506285952903</v>
      </c>
      <c r="H12" s="718" t="e">
        <f>[20]OP_STATEMENT!N68</f>
        <v>#REF!</v>
      </c>
    </row>
    <row r="13" spans="1:8" ht="13.5" thickBot="1">
      <c r="A13" s="716" t="s">
        <v>1617</v>
      </c>
      <c r="B13" s="717">
        <f>[20]OP_STATEMENT!H69</f>
        <v>0</v>
      </c>
      <c r="C13" s="717">
        <f>[20]OP_STATEMENT!I69</f>
        <v>0</v>
      </c>
      <c r="D13" s="717">
        <f>[20]OP_STATEMENT!J69</f>
        <v>0</v>
      </c>
      <c r="E13" s="717">
        <f>[20]OP_STATEMENT!K69</f>
        <v>0</v>
      </c>
      <c r="F13" s="717">
        <f>[20]OP_STATEMENT!L69</f>
        <v>0</v>
      </c>
      <c r="G13" s="717">
        <f>[20]OP_STATEMENT!M69</f>
        <v>0</v>
      </c>
      <c r="H13" s="718" t="e">
        <f>[20]OP_STATEMENT!N69</f>
        <v>#REF!</v>
      </c>
    </row>
    <row r="14" spans="1:8" ht="13.5" thickBot="1">
      <c r="A14" s="716" t="s">
        <v>1618</v>
      </c>
      <c r="B14" s="717">
        <f>[20]OP_STATEMENT!H70</f>
        <v>2.2370338999999921</v>
      </c>
      <c r="C14" s="717">
        <f>[20]OP_STATEMENT!I70</f>
        <v>24.348740084805019</v>
      </c>
      <c r="D14" s="717">
        <f>[20]OP_STATEMENT!J70</f>
        <v>33.395317644862736</v>
      </c>
      <c r="E14" s="717">
        <f>[20]OP_STATEMENT!K70</f>
        <v>36.63916570333388</v>
      </c>
      <c r="F14" s="717">
        <f>[20]OP_STATEMENT!L70</f>
        <v>39.957208743139951</v>
      </c>
      <c r="G14" s="717">
        <f>[20]OP_STATEMENT!M70</f>
        <v>42.655506285952903</v>
      </c>
      <c r="H14" s="718" t="e">
        <f>[20]OP_STATEMENT!N70</f>
        <v>#REF!</v>
      </c>
    </row>
    <row r="15" spans="1:8" ht="13.5" thickBot="1">
      <c r="A15" s="716" t="s">
        <v>1619</v>
      </c>
      <c r="B15" s="717">
        <f>[20]OP_STATEMENT!H71</f>
        <v>0</v>
      </c>
      <c r="C15" s="717">
        <f>[20]OP_STATEMENT!I71</f>
        <v>0</v>
      </c>
      <c r="D15" s="717">
        <f>[20]OP_STATEMENT!J71</f>
        <v>5</v>
      </c>
      <c r="E15" s="717">
        <f>[20]OP_STATEMENT!K71</f>
        <v>10</v>
      </c>
      <c r="F15" s="717">
        <f>[20]OP_STATEMENT!L71</f>
        <v>10</v>
      </c>
      <c r="G15" s="717">
        <f>[20]OP_STATEMENT!M71</f>
        <v>10</v>
      </c>
      <c r="H15" s="718">
        <f>[20]OP_STATEMENT!N71</f>
        <v>32</v>
      </c>
    </row>
    <row r="16" spans="1:8" ht="13.5" thickBot="1">
      <c r="A16" s="716" t="s">
        <v>1620</v>
      </c>
      <c r="B16" s="717">
        <f>[20]OP_STATEMENT!H79</f>
        <v>2.2370338999999921</v>
      </c>
      <c r="C16" s="717">
        <f>[20]OP_STATEMENT!I79</f>
        <v>24.348740084805019</v>
      </c>
      <c r="D16" s="717">
        <f>[20]OP_STATEMENT!J79</f>
        <v>28.395317644862736</v>
      </c>
      <c r="E16" s="717">
        <f>[20]OP_STATEMENT!K79</f>
        <v>26.63916570333388</v>
      </c>
      <c r="F16" s="717">
        <f>[20]OP_STATEMENT!L79</f>
        <v>29.957208743139951</v>
      </c>
      <c r="G16" s="717">
        <f>[20]OP_STATEMENT!M79</f>
        <v>32.655506285952903</v>
      </c>
      <c r="H16" s="718" t="e">
        <f>[20]OP_STATEMENT!N79</f>
        <v>#REF!</v>
      </c>
    </row>
    <row r="17" spans="1:8" ht="13.5" thickBot="1">
      <c r="A17" s="716" t="s">
        <v>1621</v>
      </c>
      <c r="B17" s="717">
        <f>[20]OP_STATEMENT!H31</f>
        <v>9.7151599999999991</v>
      </c>
      <c r="C17" s="717">
        <f>[20]OP_STATEMENT!I31</f>
        <v>17.910710000000002</v>
      </c>
      <c r="D17" s="717">
        <f>[20]OP_STATEMENT!J31</f>
        <v>15.16093</v>
      </c>
      <c r="E17" s="717">
        <f>[20]OP_STATEMENT!K31</f>
        <v>12.907299999999999</v>
      </c>
      <c r="F17" s="717">
        <f>[20]OP_STATEMENT!L31</f>
        <v>11.020630000000001</v>
      </c>
      <c r="G17" s="717">
        <f>[20]OP_STATEMENT!M31</f>
        <v>9.42441</v>
      </c>
      <c r="H17" s="718">
        <f>[20]OP_STATEMENT!N31</f>
        <v>7.5586947651653587</v>
      </c>
    </row>
    <row r="18" spans="1:8" ht="13.5" thickBot="1">
      <c r="A18" s="716" t="s">
        <v>1622</v>
      </c>
      <c r="B18" s="717">
        <f t="shared" ref="B18:G18" si="3">B14+B17</f>
        <v>11.95219389999999</v>
      </c>
      <c r="C18" s="717">
        <f t="shared" si="3"/>
        <v>42.259450084805025</v>
      </c>
      <c r="D18" s="717">
        <f t="shared" si="3"/>
        <v>48.556247644862736</v>
      </c>
      <c r="E18" s="717">
        <f t="shared" si="3"/>
        <v>49.54646570333388</v>
      </c>
      <c r="F18" s="717">
        <f t="shared" si="3"/>
        <v>50.977838743139955</v>
      </c>
      <c r="G18" s="717">
        <f t="shared" si="3"/>
        <v>52.079916285952905</v>
      </c>
      <c r="H18" s="718" t="e">
        <f>H14+H17</f>
        <v>#REF!</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DDF8D-3C65-4065-A123-24141CB280CB}">
  <dimension ref="A1:K42"/>
  <sheetViews>
    <sheetView topLeftCell="A25" workbookViewId="0">
      <selection activeCell="C26" sqref="C26"/>
    </sheetView>
  </sheetViews>
  <sheetFormatPr defaultRowHeight="12.75"/>
  <cols>
    <col min="1" max="1" width="2" style="684" bestFit="1" customWidth="1"/>
    <col min="2" max="2" width="27" style="684" customWidth="1"/>
    <col min="3" max="3" width="10.7109375" style="684" bestFit="1" customWidth="1"/>
    <col min="4" max="4" width="9.5703125" style="684" bestFit="1" customWidth="1"/>
    <col min="5" max="8" width="9.28515625" style="684" bestFit="1" customWidth="1"/>
    <col min="9" max="9" width="0" style="684" hidden="1" customWidth="1"/>
    <col min="10" max="16384" width="9.140625" style="684"/>
  </cols>
  <sheetData>
    <row r="1" spans="1:11" ht="16.5" customHeight="1" thickBot="1">
      <c r="A1" s="1146"/>
      <c r="B1" s="1148" t="s">
        <v>1623</v>
      </c>
      <c r="C1" s="722">
        <v>2015</v>
      </c>
      <c r="D1" s="723">
        <v>2016</v>
      </c>
      <c r="E1" s="723">
        <v>2017</v>
      </c>
      <c r="F1" s="723">
        <v>2018</v>
      </c>
      <c r="G1" s="723">
        <v>2019</v>
      </c>
      <c r="H1" s="723">
        <v>2020</v>
      </c>
      <c r="I1" s="724" t="s">
        <v>1624</v>
      </c>
    </row>
    <row r="2" spans="1:11" ht="15.75" thickBot="1">
      <c r="A2" s="1147"/>
      <c r="B2" s="1149"/>
      <c r="C2" s="725" t="str">
        <f>Sheet6!B2</f>
        <v>(Provisional)</v>
      </c>
      <c r="D2" s="725" t="str">
        <f>Sheet6!C2</f>
        <v>(Estimated)</v>
      </c>
      <c r="E2" s="725" t="str">
        <f>Sheet6!D2</f>
        <v>(Projected)</v>
      </c>
      <c r="F2" s="725" t="str">
        <f>Sheet6!E2</f>
        <v>(Projected)</v>
      </c>
      <c r="G2" s="725" t="str">
        <f>Sheet6!F2</f>
        <v>(Projected)</v>
      </c>
      <c r="H2" s="725" t="str">
        <f>Sheet6!G2</f>
        <v>(Projected)</v>
      </c>
      <c r="I2" s="726" t="s">
        <v>1286</v>
      </c>
    </row>
    <row r="3" spans="1:11" ht="15.75" thickBot="1">
      <c r="A3" s="727">
        <v>1</v>
      </c>
      <c r="B3" s="728" t="s">
        <v>1410</v>
      </c>
      <c r="C3" s="728"/>
      <c r="D3" s="728"/>
      <c r="E3" s="728"/>
      <c r="F3" s="728"/>
      <c r="G3" s="728"/>
      <c r="H3" s="695"/>
      <c r="I3" s="729"/>
    </row>
    <row r="4" spans="1:11" ht="15.75" thickBot="1">
      <c r="A4" s="692"/>
      <c r="B4" s="730" t="s">
        <v>446</v>
      </c>
      <c r="C4" s="731">
        <f>+'B  S '!E11</f>
        <v>4263.8642876220001</v>
      </c>
      <c r="D4" s="731">
        <f>+'B  S '!F11</f>
        <v>4263.8642876220001</v>
      </c>
      <c r="E4" s="731">
        <f>+'B  S '!G11</f>
        <v>4358.8642876220001</v>
      </c>
      <c r="F4" s="731">
        <f>+'B  S '!H11</f>
        <v>4368.8642876220001</v>
      </c>
      <c r="G4" s="731">
        <f>+'B  S '!I11</f>
        <v>4488.8642876220001</v>
      </c>
      <c r="H4" s="731">
        <f>+'B  S '!J11</f>
        <v>4598.8642876220001</v>
      </c>
      <c r="I4" s="732">
        <f>[20]BS_ANLYSIS!Q98</f>
        <v>129.6411010905</v>
      </c>
    </row>
    <row r="5" spans="1:11" ht="15.75" thickBot="1">
      <c r="A5" s="727"/>
      <c r="B5" s="733" t="s">
        <v>106</v>
      </c>
      <c r="C5" s="731">
        <f>+'B  S '!E12</f>
        <v>452.19405969666178</v>
      </c>
      <c r="D5" s="731">
        <f>+'B  S '!F12</f>
        <v>904.38811939332356</v>
      </c>
      <c r="E5" s="731">
        <f>+'B  S '!G12</f>
        <v>1356.5821790899854</v>
      </c>
      <c r="F5" s="731">
        <f>+'B  S '!H12</f>
        <v>1808.7762387866471</v>
      </c>
      <c r="G5" s="731">
        <f>+'B  S '!I12</f>
        <v>2260.9702984833089</v>
      </c>
      <c r="H5" s="731">
        <f>+'B  S '!J12</f>
        <v>2713.1643581799708</v>
      </c>
      <c r="I5" s="732">
        <f>[20]BS_ANLYSIS!Q100</f>
        <v>82.756917268308271</v>
      </c>
    </row>
    <row r="6" spans="1:11" ht="15.75" thickBot="1">
      <c r="A6" s="692"/>
      <c r="B6" s="730" t="s">
        <v>447</v>
      </c>
      <c r="C6" s="731">
        <f t="shared" ref="C6:H6" si="0">C4-C5</f>
        <v>3811.6702279253382</v>
      </c>
      <c r="D6" s="731">
        <f t="shared" si="0"/>
        <v>3359.4761682286767</v>
      </c>
      <c r="E6" s="731">
        <f t="shared" si="0"/>
        <v>3002.2821085320147</v>
      </c>
      <c r="F6" s="731">
        <f t="shared" si="0"/>
        <v>2560.0880488353532</v>
      </c>
      <c r="G6" s="731">
        <f t="shared" si="0"/>
        <v>2227.8939891386913</v>
      </c>
      <c r="H6" s="731">
        <f t="shared" si="0"/>
        <v>1885.6999294420293</v>
      </c>
      <c r="I6" s="732">
        <f>I4-I5</f>
        <v>46.88418382219173</v>
      </c>
    </row>
    <row r="7" spans="1:11" ht="15.75" thickBot="1">
      <c r="A7" s="727">
        <v>2</v>
      </c>
      <c r="B7" s="728" t="s">
        <v>354</v>
      </c>
      <c r="C7" s="734"/>
      <c r="D7" s="734"/>
      <c r="E7" s="734"/>
      <c r="F7" s="734"/>
      <c r="G7" s="734"/>
      <c r="H7" s="734"/>
      <c r="I7" s="735"/>
    </row>
    <row r="8" spans="1:11" ht="15.75" thickBot="1">
      <c r="A8" s="692"/>
      <c r="B8" s="730" t="s">
        <v>1625</v>
      </c>
      <c r="C8" s="731">
        <f>+'B  S '!E16</f>
        <v>630.93352350053522</v>
      </c>
      <c r="D8" s="731">
        <f>+'B  S '!F16</f>
        <v>1022.4849993371206</v>
      </c>
      <c r="E8" s="731">
        <f>+'B  S '!G16</f>
        <v>1155.8786878414492</v>
      </c>
      <c r="F8" s="731">
        <f>+'B  S '!H16</f>
        <v>1304.4236196726636</v>
      </c>
      <c r="G8" s="731">
        <f>+'B  S '!I16</f>
        <v>1430.8906260733204</v>
      </c>
      <c r="H8" s="731">
        <f>+'B  S '!J16</f>
        <v>1515.07882997043</v>
      </c>
      <c r="I8" s="731">
        <f>+'B  S '!K16</f>
        <v>1654.8794261904779</v>
      </c>
    </row>
    <row r="9" spans="1:11" ht="15.75" thickBot="1">
      <c r="A9" s="727"/>
      <c r="B9" s="733" t="s">
        <v>417</v>
      </c>
      <c r="C9" s="731">
        <f>+'B  S '!E17</f>
        <v>37</v>
      </c>
      <c r="D9" s="731">
        <f>+'B  S '!F17</f>
        <v>39.626625865384618</v>
      </c>
      <c r="E9" s="731">
        <f>+'B  S '!G17</f>
        <v>44.388704098557703</v>
      </c>
      <c r="F9" s="731">
        <f>+'B  S '!H17</f>
        <v>49.320782331730769</v>
      </c>
      <c r="G9" s="731">
        <f>+'B  S '!I17</f>
        <v>60.95361017307691</v>
      </c>
      <c r="H9" s="731">
        <f>+'B  S '!J17</f>
        <v>77.577322038461546</v>
      </c>
      <c r="I9" s="736">
        <f>[20]BS!L38</f>
        <v>104.38350980585061</v>
      </c>
    </row>
    <row r="10" spans="1:11" ht="15.75" thickBot="1">
      <c r="A10" s="692"/>
      <c r="B10" s="730" t="s">
        <v>1626</v>
      </c>
      <c r="C10" s="731" t="e">
        <f>+BS_ANLYSIS!J122</f>
        <v>#REF!</v>
      </c>
      <c r="D10" s="731" t="e">
        <f>+BS_ANLYSIS!K122</f>
        <v>#REF!</v>
      </c>
      <c r="E10" s="731" t="e">
        <f>+BS_ANLYSIS!L122</f>
        <v>#REF!</v>
      </c>
      <c r="F10" s="731" t="e">
        <f>+BS_ANLYSIS!M122</f>
        <v>#REF!</v>
      </c>
      <c r="G10" s="731" t="e">
        <f>+BS_ANLYSIS!N122</f>
        <v>#REF!</v>
      </c>
      <c r="H10" s="731" t="e">
        <f>+BS_ANLYSIS!O122</f>
        <v>#REF!</v>
      </c>
      <c r="I10" s="736">
        <f>SUM([20]BS!L40,[20]BS!L36,[20]BS!L34)</f>
        <v>125.44391999999999</v>
      </c>
    </row>
    <row r="11" spans="1:11" ht="15.75" thickBot="1">
      <c r="A11" s="727"/>
      <c r="B11" s="733" t="s">
        <v>1627</v>
      </c>
      <c r="C11" s="731" t="e">
        <f t="shared" ref="C11:H11" si="1">C10+C9+C8</f>
        <v>#REF!</v>
      </c>
      <c r="D11" s="731" t="e">
        <f t="shared" si="1"/>
        <v>#REF!</v>
      </c>
      <c r="E11" s="731" t="e">
        <f t="shared" si="1"/>
        <v>#REF!</v>
      </c>
      <c r="F11" s="731" t="e">
        <f t="shared" si="1"/>
        <v>#REF!</v>
      </c>
      <c r="G11" s="731" t="e">
        <f t="shared" si="1"/>
        <v>#REF!</v>
      </c>
      <c r="H11" s="731" t="e">
        <f t="shared" si="1"/>
        <v>#REF!</v>
      </c>
      <c r="I11" s="736">
        <f>I10+I9+I8</f>
        <v>1884.7068559963286</v>
      </c>
    </row>
    <row r="12" spans="1:11" ht="15.75" thickBot="1">
      <c r="A12" s="692"/>
      <c r="B12" s="730" t="s">
        <v>176</v>
      </c>
      <c r="C12" s="731"/>
      <c r="D12" s="731"/>
      <c r="E12" s="731"/>
      <c r="F12" s="731"/>
      <c r="G12" s="731"/>
      <c r="H12" s="731"/>
      <c r="I12" s="736">
        <f>[20]BS!L32</f>
        <v>50.730481795986186</v>
      </c>
    </row>
    <row r="13" spans="1:11" ht="15.75" thickBot="1">
      <c r="A13" s="692"/>
      <c r="B13" s="730" t="s">
        <v>1627</v>
      </c>
      <c r="C13" s="731" t="e">
        <f>C12+C11</f>
        <v>#REF!</v>
      </c>
      <c r="D13" s="731" t="e">
        <f t="shared" ref="D13:I13" si="2">D12+D11</f>
        <v>#REF!</v>
      </c>
      <c r="E13" s="731" t="e">
        <f t="shared" si="2"/>
        <v>#REF!</v>
      </c>
      <c r="F13" s="731" t="e">
        <f t="shared" si="2"/>
        <v>#REF!</v>
      </c>
      <c r="G13" s="731" t="e">
        <f t="shared" si="2"/>
        <v>#REF!</v>
      </c>
      <c r="H13" s="731" t="e">
        <f t="shared" si="2"/>
        <v>#REF!</v>
      </c>
      <c r="I13" s="736">
        <f t="shared" si="2"/>
        <v>1935.4373377923148</v>
      </c>
      <c r="K13" s="702" t="e">
        <f>C6+C13</f>
        <v>#REF!</v>
      </c>
    </row>
    <row r="14" spans="1:11" ht="15.75" thickBot="1">
      <c r="A14" s="692">
        <v>3</v>
      </c>
      <c r="B14" s="737" t="s">
        <v>360</v>
      </c>
      <c r="C14" s="738"/>
      <c r="D14" s="738"/>
      <c r="E14" s="738"/>
      <c r="F14" s="738"/>
      <c r="G14" s="738"/>
      <c r="H14" s="738"/>
      <c r="I14" s="693"/>
    </row>
    <row r="15" spans="1:11" ht="15.75" thickBot="1">
      <c r="A15" s="692"/>
      <c r="B15" s="730" t="s">
        <v>1628</v>
      </c>
      <c r="C15" s="738">
        <v>0</v>
      </c>
      <c r="D15" s="738">
        <v>0</v>
      </c>
      <c r="E15" s="738">
        <v>0</v>
      </c>
      <c r="F15" s="738">
        <v>0</v>
      </c>
      <c r="G15" s="738">
        <v>0</v>
      </c>
      <c r="H15" s="738">
        <v>0</v>
      </c>
      <c r="I15" s="693">
        <v>0</v>
      </c>
    </row>
    <row r="16" spans="1:11" ht="15.75" thickBot="1">
      <c r="A16" s="692"/>
      <c r="B16" s="730" t="s">
        <v>1629</v>
      </c>
      <c r="C16" s="731" t="e">
        <f>+BS_ANLYSIS!J23</f>
        <v>#REF!</v>
      </c>
      <c r="D16" s="731" t="e">
        <f>+BS_ANLYSIS!K23</f>
        <v>#REF!</v>
      </c>
      <c r="E16" s="731" t="e">
        <f>+BS_ANLYSIS!L23</f>
        <v>#REF!</v>
      </c>
      <c r="F16" s="731" t="e">
        <f>+BS_ANLYSIS!M23</f>
        <v>#REF!</v>
      </c>
      <c r="G16" s="731" t="e">
        <f>+BS_ANLYSIS!N23</f>
        <v>#REF!</v>
      </c>
      <c r="H16" s="731" t="e">
        <f>+BS_ANLYSIS!O23</f>
        <v>#REF!</v>
      </c>
      <c r="I16" s="732">
        <v>0</v>
      </c>
    </row>
    <row r="17" spans="1:11" ht="15.75" thickBot="1">
      <c r="A17" s="692"/>
      <c r="B17" s="730" t="s">
        <v>1630</v>
      </c>
      <c r="C17" s="731">
        <v>0</v>
      </c>
      <c r="D17" s="731">
        <v>0</v>
      </c>
      <c r="E17" s="731">
        <v>0</v>
      </c>
      <c r="F17" s="731">
        <v>0</v>
      </c>
      <c r="G17" s="731">
        <v>0</v>
      </c>
      <c r="H17" s="731">
        <v>0</v>
      </c>
      <c r="I17" s="732">
        <v>0</v>
      </c>
    </row>
    <row r="18" spans="1:11" ht="15.75" thickBot="1">
      <c r="A18" s="692"/>
      <c r="B18" s="730" t="s">
        <v>1631</v>
      </c>
      <c r="C18" s="738"/>
      <c r="D18" s="738"/>
      <c r="E18" s="738"/>
      <c r="F18" s="738"/>
      <c r="G18" s="738"/>
      <c r="H18" s="738"/>
      <c r="I18" s="693"/>
    </row>
    <row r="19" spans="1:11" ht="15.75" thickBot="1">
      <c r="A19" s="692"/>
      <c r="B19" s="730" t="s">
        <v>1632</v>
      </c>
      <c r="C19" s="738" t="e">
        <f>+BS_ANLYSIS!J35+BS_ANLYSIS!J39</f>
        <v>#REF!</v>
      </c>
      <c r="D19" s="738" t="e">
        <f>+BS_ANLYSIS!K35+BS_ANLYSIS!K39</f>
        <v>#REF!</v>
      </c>
      <c r="E19" s="738" t="e">
        <f>+BS_ANLYSIS!L35+BS_ANLYSIS!L39</f>
        <v>#REF!</v>
      </c>
      <c r="F19" s="738" t="e">
        <f>+BS_ANLYSIS!M35+BS_ANLYSIS!M39</f>
        <v>#REF!</v>
      </c>
      <c r="G19" s="738" t="e">
        <f>+BS_ANLYSIS!N35+BS_ANLYSIS!N39</f>
        <v>#REF!</v>
      </c>
      <c r="H19" s="738" t="e">
        <f>+BS_ANLYSIS!O35+BS_ANLYSIS!O39</f>
        <v>#REF!</v>
      </c>
      <c r="I19" s="739">
        <f>[20]BS!L24</f>
        <v>7</v>
      </c>
    </row>
    <row r="20" spans="1:11" ht="15.75" thickBot="1">
      <c r="A20" s="692"/>
      <c r="B20" s="730" t="s">
        <v>1627</v>
      </c>
      <c r="C20" s="731" t="e">
        <f t="shared" ref="C20:H20" si="3">SUM(C15:C19)</f>
        <v>#REF!</v>
      </c>
      <c r="D20" s="731" t="e">
        <f t="shared" si="3"/>
        <v>#REF!</v>
      </c>
      <c r="E20" s="731" t="e">
        <f t="shared" si="3"/>
        <v>#REF!</v>
      </c>
      <c r="F20" s="731" t="e">
        <f t="shared" si="3"/>
        <v>#REF!</v>
      </c>
      <c r="G20" s="731" t="e">
        <f t="shared" si="3"/>
        <v>#REF!</v>
      </c>
      <c r="H20" s="731" t="e">
        <f t="shared" si="3"/>
        <v>#REF!</v>
      </c>
      <c r="I20" s="736">
        <f>I19</f>
        <v>7</v>
      </c>
    </row>
    <row r="21" spans="1:11" ht="15.75" thickBot="1">
      <c r="A21" s="692"/>
      <c r="B21" s="730" t="s">
        <v>1633</v>
      </c>
      <c r="C21" s="731">
        <v>0</v>
      </c>
      <c r="D21" s="731">
        <v>0</v>
      </c>
      <c r="E21" s="731">
        <v>0</v>
      </c>
      <c r="F21" s="731">
        <v>0</v>
      </c>
      <c r="G21" s="731">
        <v>0</v>
      </c>
      <c r="H21" s="731">
        <v>0</v>
      </c>
      <c r="I21" s="736">
        <f>[20]BS!L20</f>
        <v>125</v>
      </c>
    </row>
    <row r="22" spans="1:11" ht="15.75" thickBot="1">
      <c r="A22" s="692"/>
      <c r="B22" s="730" t="s">
        <v>1627</v>
      </c>
      <c r="C22" s="731" t="e">
        <f>C21+C20</f>
        <v>#REF!</v>
      </c>
      <c r="D22" s="731" t="e">
        <f t="shared" ref="D22:I22" si="4">D21+D20</f>
        <v>#REF!</v>
      </c>
      <c r="E22" s="731" t="e">
        <f t="shared" si="4"/>
        <v>#REF!</v>
      </c>
      <c r="F22" s="731" t="e">
        <f t="shared" si="4"/>
        <v>#REF!</v>
      </c>
      <c r="G22" s="731" t="e">
        <f t="shared" si="4"/>
        <v>#REF!</v>
      </c>
      <c r="H22" s="731" t="e">
        <f t="shared" si="4"/>
        <v>#REF!</v>
      </c>
      <c r="I22" s="736">
        <f t="shared" si="4"/>
        <v>132</v>
      </c>
    </row>
    <row r="23" spans="1:11" ht="15.75" thickBot="1">
      <c r="A23" s="692"/>
      <c r="B23" s="737" t="s">
        <v>1634</v>
      </c>
      <c r="C23" s="731" t="e">
        <f>C13-C22</f>
        <v>#REF!</v>
      </c>
      <c r="D23" s="731" t="e">
        <f t="shared" ref="D23:I23" si="5">D13-D22</f>
        <v>#REF!</v>
      </c>
      <c r="E23" s="731" t="e">
        <f t="shared" si="5"/>
        <v>#REF!</v>
      </c>
      <c r="F23" s="731" t="e">
        <f t="shared" si="5"/>
        <v>#REF!</v>
      </c>
      <c r="G23" s="731" t="e">
        <f t="shared" si="5"/>
        <v>#REF!</v>
      </c>
      <c r="H23" s="731" t="e">
        <f t="shared" si="5"/>
        <v>#REF!</v>
      </c>
      <c r="I23" s="736">
        <f t="shared" si="5"/>
        <v>1803.4373377923148</v>
      </c>
      <c r="K23" s="702" t="e">
        <f>C23+C6</f>
        <v>#REF!</v>
      </c>
    </row>
    <row r="24" spans="1:11" ht="15.75" thickBot="1">
      <c r="A24" s="692"/>
      <c r="B24" s="730" t="s">
        <v>1635</v>
      </c>
      <c r="C24" s="731" t="e">
        <f t="shared" ref="C24:H24" si="6">C13/C22</f>
        <v>#REF!</v>
      </c>
      <c r="D24" s="731" t="e">
        <f t="shared" si="6"/>
        <v>#REF!</v>
      </c>
      <c r="E24" s="731" t="e">
        <f t="shared" si="6"/>
        <v>#REF!</v>
      </c>
      <c r="F24" s="731" t="e">
        <f t="shared" si="6"/>
        <v>#REF!</v>
      </c>
      <c r="G24" s="731" t="e">
        <f t="shared" si="6"/>
        <v>#REF!</v>
      </c>
      <c r="H24" s="731" t="e">
        <f t="shared" si="6"/>
        <v>#REF!</v>
      </c>
      <c r="I24" s="732">
        <f>I13/I22</f>
        <v>14.662404074184202</v>
      </c>
    </row>
    <row r="25" spans="1:11" ht="15.75" thickBot="1">
      <c r="A25" s="692"/>
      <c r="B25" s="730" t="s">
        <v>1636</v>
      </c>
      <c r="C25" s="738" t="e">
        <f>C11/C22</f>
        <v>#REF!</v>
      </c>
      <c r="D25" s="738" t="e">
        <f t="shared" ref="D25:I25" si="7">D11/D22</f>
        <v>#REF!</v>
      </c>
      <c r="E25" s="738" t="e">
        <f t="shared" si="7"/>
        <v>#REF!</v>
      </c>
      <c r="F25" s="738" t="e">
        <f t="shared" si="7"/>
        <v>#REF!</v>
      </c>
      <c r="G25" s="738" t="e">
        <f t="shared" si="7"/>
        <v>#REF!</v>
      </c>
      <c r="H25" s="738" t="e">
        <f t="shared" si="7"/>
        <v>#REF!</v>
      </c>
      <c r="I25" s="738">
        <f t="shared" si="7"/>
        <v>14.27808224239643</v>
      </c>
    </row>
    <row r="26" spans="1:11" ht="30" thickBot="1">
      <c r="A26" s="740">
        <v>5</v>
      </c>
      <c r="B26" s="741" t="s">
        <v>1637</v>
      </c>
      <c r="C26" s="742" t="e">
        <f>+BS_ANLYSIS!J159</f>
        <v>#REF!</v>
      </c>
      <c r="D26" s="742" t="e">
        <f>+BS_ANLYSIS!K159</f>
        <v>#REF!</v>
      </c>
      <c r="E26" s="742" t="e">
        <f>+BS_ANLYSIS!L159</f>
        <v>#REF!</v>
      </c>
      <c r="F26" s="742" t="e">
        <f>+BS_ANLYSIS!M159</f>
        <v>#REF!</v>
      </c>
      <c r="G26" s="742" t="e">
        <f>+BS_ANLYSIS!N159</f>
        <v>#REF!</v>
      </c>
      <c r="H26" s="742" t="e">
        <f>+BS_ANLYSIS!O159</f>
        <v>#REF!</v>
      </c>
      <c r="I26" s="743">
        <f>[20]BS!L44</f>
        <v>19.454999999999998</v>
      </c>
    </row>
    <row r="27" spans="1:11" ht="15.75" thickBot="1">
      <c r="A27" s="744"/>
      <c r="B27" s="688" t="s">
        <v>87</v>
      </c>
      <c r="C27" s="745" t="e">
        <f t="shared" ref="C27:H27" si="8">C26+C23+C6</f>
        <v>#REF!</v>
      </c>
      <c r="D27" s="745" t="e">
        <f t="shared" si="8"/>
        <v>#REF!</v>
      </c>
      <c r="E27" s="745" t="e">
        <f t="shared" si="8"/>
        <v>#REF!</v>
      </c>
      <c r="F27" s="745" t="e">
        <f t="shared" si="8"/>
        <v>#REF!</v>
      </c>
      <c r="G27" s="745" t="e">
        <f t="shared" si="8"/>
        <v>#REF!</v>
      </c>
      <c r="H27" s="745" t="e">
        <f t="shared" si="8"/>
        <v>#REF!</v>
      </c>
      <c r="I27" s="746">
        <f>I26+I23+I6</f>
        <v>1869.7765216145065</v>
      </c>
    </row>
    <row r="28" spans="1:11" ht="15.75" thickBot="1">
      <c r="A28" s="692"/>
      <c r="B28" s="737" t="s">
        <v>1638</v>
      </c>
      <c r="C28" s="738"/>
      <c r="D28" s="738"/>
      <c r="E28" s="738"/>
      <c r="F28" s="738"/>
      <c r="G28" s="738"/>
      <c r="H28" s="738"/>
      <c r="I28" s="693"/>
    </row>
    <row r="29" spans="1:11" ht="15.75" thickBot="1">
      <c r="A29" s="692">
        <v>6</v>
      </c>
      <c r="B29" s="737" t="s">
        <v>1639</v>
      </c>
      <c r="C29" s="738"/>
      <c r="D29" s="738"/>
      <c r="E29" s="738"/>
      <c r="F29" s="738"/>
      <c r="G29" s="738"/>
      <c r="H29" s="738"/>
      <c r="I29" s="693"/>
    </row>
    <row r="30" spans="1:11" ht="15.75" thickBot="1">
      <c r="A30" s="692"/>
      <c r="B30" s="730" t="s">
        <v>1590</v>
      </c>
      <c r="C30" s="731" t="e">
        <f>+BS_ANLYSIS!J52</f>
        <v>#REF!</v>
      </c>
      <c r="D30" s="731" t="e">
        <f>+BS_ANLYSIS!K52</f>
        <v>#REF!</v>
      </c>
      <c r="E30" s="731" t="e">
        <f>+BS_ANLYSIS!L52</f>
        <v>#REF!</v>
      </c>
      <c r="F30" s="731" t="e">
        <f>+BS_ANLYSIS!M52</f>
        <v>#REF!</v>
      </c>
      <c r="G30" s="731" t="e">
        <f>+BS_ANLYSIS!N52</f>
        <v>#REF!</v>
      </c>
      <c r="H30" s="731" t="e">
        <f>+BS_ANLYSIS!O52</f>
        <v>#REF!</v>
      </c>
      <c r="I30" s="736" t="e">
        <f>[20]BS!L18</f>
        <v>#REF!</v>
      </c>
    </row>
    <row r="31" spans="1:11" ht="15.75" thickBot="1">
      <c r="A31" s="692"/>
      <c r="B31" s="730" t="s">
        <v>277</v>
      </c>
      <c r="C31" s="731" t="e">
        <f>+BS_ANLYSIS!J59</f>
        <v>#REF!</v>
      </c>
      <c r="D31" s="731" t="e">
        <f>+BS_ANLYSIS!K59</f>
        <v>#REF!</v>
      </c>
      <c r="E31" s="731" t="e">
        <f>+BS_ANLYSIS!L59</f>
        <v>#REF!</v>
      </c>
      <c r="F31" s="731" t="e">
        <f>+BS_ANLYSIS!M59</f>
        <v>#REF!</v>
      </c>
      <c r="G31" s="731" t="e">
        <f>+BS_ANLYSIS!N59</f>
        <v>#REF!</v>
      </c>
      <c r="H31" s="731" t="e">
        <f>+BS_ANLYSIS!O59</f>
        <v>#REF!</v>
      </c>
      <c r="I31" s="736">
        <f>[20]BS!L16</f>
        <v>0</v>
      </c>
    </row>
    <row r="32" spans="1:11" ht="15.75" thickBot="1">
      <c r="A32" s="692"/>
      <c r="B32" s="730" t="s">
        <v>1627</v>
      </c>
      <c r="C32" s="731" t="e">
        <f>C31+C30</f>
        <v>#REF!</v>
      </c>
      <c r="D32" s="731" t="e">
        <f t="shared" ref="D32:I32" si="9">D31+D30</f>
        <v>#REF!</v>
      </c>
      <c r="E32" s="731" t="e">
        <f t="shared" si="9"/>
        <v>#REF!</v>
      </c>
      <c r="F32" s="731" t="e">
        <f t="shared" si="9"/>
        <v>#REF!</v>
      </c>
      <c r="G32" s="731" t="e">
        <f t="shared" si="9"/>
        <v>#REF!</v>
      </c>
      <c r="H32" s="731" t="e">
        <f t="shared" si="9"/>
        <v>#REF!</v>
      </c>
      <c r="I32" s="736" t="e">
        <f t="shared" si="9"/>
        <v>#REF!</v>
      </c>
    </row>
    <row r="33" spans="1:9" ht="30" thickBot="1">
      <c r="A33" s="692">
        <v>7</v>
      </c>
      <c r="B33" s="737" t="s">
        <v>1640</v>
      </c>
      <c r="C33" s="738"/>
      <c r="D33" s="738"/>
      <c r="E33" s="738"/>
      <c r="F33" s="738"/>
      <c r="G33" s="738"/>
      <c r="H33" s="738"/>
      <c r="I33" s="693"/>
    </row>
    <row r="34" spans="1:9" ht="15.75" thickBot="1">
      <c r="A34" s="692"/>
      <c r="B34" s="730" t="s">
        <v>1641</v>
      </c>
      <c r="C34" s="731" t="e">
        <f>+BS_ANLYSIS!J70</f>
        <v>#REF!</v>
      </c>
      <c r="D34" s="731" t="e">
        <f>+BS_ANLYSIS!K70</f>
        <v>#REF!</v>
      </c>
      <c r="E34" s="731" t="e">
        <f>+BS_ANLYSIS!L70</f>
        <v>#REF!</v>
      </c>
      <c r="F34" s="731" t="e">
        <f>+BS_ANLYSIS!M70</f>
        <v>#REF!</v>
      </c>
      <c r="G34" s="731" t="e">
        <f>+BS_ANLYSIS!N70</f>
        <v>#REF!</v>
      </c>
      <c r="H34" s="731" t="e">
        <f>+BS_ANLYSIS!O70</f>
        <v>#REF!</v>
      </c>
      <c r="I34" s="736">
        <f>[20]BS!L12</f>
        <v>98.668320000000008</v>
      </c>
    </row>
    <row r="35" spans="1:9" ht="30.75" thickBot="1">
      <c r="A35" s="692"/>
      <c r="B35" s="730" t="s">
        <v>1642</v>
      </c>
      <c r="C35" s="731"/>
      <c r="D35" s="731"/>
      <c r="E35" s="731"/>
      <c r="F35" s="731"/>
      <c r="G35" s="731"/>
      <c r="H35" s="731"/>
      <c r="I35" s="732"/>
    </row>
    <row r="36" spans="1:9" ht="15.75" thickBot="1">
      <c r="A36" s="692"/>
      <c r="B36" s="730" t="s">
        <v>1643</v>
      </c>
      <c r="C36" s="731" t="e">
        <f>+BS_ANLYSIS!J78</f>
        <v>#REF!</v>
      </c>
      <c r="D36" s="731" t="e">
        <f>+BS_ANLYSIS!K78</f>
        <v>#REF!</v>
      </c>
      <c r="E36" s="731" t="e">
        <f>+BS_ANLYSIS!L78</f>
        <v>#REF!</v>
      </c>
      <c r="F36" s="731" t="e">
        <f>+BS_ANLYSIS!M78</f>
        <v>#REF!</v>
      </c>
      <c r="G36" s="731" t="e">
        <f>+BS_ANLYSIS!N78</f>
        <v>#REF!</v>
      </c>
      <c r="H36" s="731" t="e">
        <f>+BS_ANLYSIS!O78</f>
        <v>#REF!</v>
      </c>
      <c r="I36" s="736" t="e">
        <f>[20]BS!L14</f>
        <v>#REF!</v>
      </c>
    </row>
    <row r="37" spans="1:9" ht="15.75" thickBot="1">
      <c r="A37" s="692"/>
      <c r="B37" s="730" t="s">
        <v>1627</v>
      </c>
      <c r="C37" s="731" t="e">
        <f>C36+C34</f>
        <v>#REF!</v>
      </c>
      <c r="D37" s="731" t="e">
        <f t="shared" ref="D37:I37" si="10">D36+D34</f>
        <v>#REF!</v>
      </c>
      <c r="E37" s="731" t="e">
        <f t="shared" si="10"/>
        <v>#REF!</v>
      </c>
      <c r="F37" s="731" t="e">
        <f t="shared" si="10"/>
        <v>#REF!</v>
      </c>
      <c r="G37" s="731" t="e">
        <f t="shared" si="10"/>
        <v>#REF!</v>
      </c>
      <c r="H37" s="731" t="e">
        <f t="shared" si="10"/>
        <v>#REF!</v>
      </c>
      <c r="I37" s="736" t="e">
        <f t="shared" si="10"/>
        <v>#REF!</v>
      </c>
    </row>
    <row r="38" spans="1:9" ht="15.75" thickBot="1">
      <c r="A38" s="692">
        <v>8</v>
      </c>
      <c r="B38" s="749" t="s">
        <v>1535</v>
      </c>
      <c r="C38" s="731"/>
      <c r="D38" s="731"/>
      <c r="E38" s="731"/>
      <c r="F38" s="731"/>
      <c r="G38" s="731"/>
      <c r="H38" s="731"/>
      <c r="I38" s="693"/>
    </row>
    <row r="39" spans="1:9" ht="15.75" thickBot="1">
      <c r="A39" s="747"/>
      <c r="B39" s="749" t="s">
        <v>1095</v>
      </c>
      <c r="C39" s="731" t="e">
        <f t="shared" ref="C39:H39" si="11">+C37+C38</f>
        <v>#REF!</v>
      </c>
      <c r="D39" s="731" t="e">
        <f t="shared" si="11"/>
        <v>#REF!</v>
      </c>
      <c r="E39" s="731" t="e">
        <f t="shared" si="11"/>
        <v>#REF!</v>
      </c>
      <c r="F39" s="731" t="e">
        <f t="shared" si="11"/>
        <v>#REF!</v>
      </c>
      <c r="G39" s="731" t="e">
        <f t="shared" si="11"/>
        <v>#REF!</v>
      </c>
      <c r="H39" s="731" t="e">
        <f t="shared" si="11"/>
        <v>#REF!</v>
      </c>
      <c r="I39" s="748"/>
    </row>
    <row r="40" spans="1:9" ht="15.75" thickBot="1">
      <c r="A40" s="692"/>
      <c r="B40" s="749" t="s">
        <v>421</v>
      </c>
      <c r="C40" s="731" t="e">
        <f t="shared" ref="C40:H40" si="12">+C6+C13+C26</f>
        <v>#REF!</v>
      </c>
      <c r="D40" s="731" t="e">
        <f t="shared" si="12"/>
        <v>#REF!</v>
      </c>
      <c r="E40" s="731" t="e">
        <f t="shared" si="12"/>
        <v>#REF!</v>
      </c>
      <c r="F40" s="731" t="e">
        <f t="shared" si="12"/>
        <v>#REF!</v>
      </c>
      <c r="G40" s="731" t="e">
        <f t="shared" si="12"/>
        <v>#REF!</v>
      </c>
      <c r="H40" s="731" t="e">
        <f t="shared" si="12"/>
        <v>#REF!</v>
      </c>
      <c r="I40" s="736" t="e">
        <f>I37+I32</f>
        <v>#REF!</v>
      </c>
    </row>
    <row r="41" spans="1:9" ht="15" thickBot="1">
      <c r="B41" s="749" t="s">
        <v>429</v>
      </c>
      <c r="C41" s="731" t="e">
        <f t="shared" ref="C41:H41" si="13">+C22+C32+C37</f>
        <v>#REF!</v>
      </c>
      <c r="D41" s="731" t="e">
        <f t="shared" si="13"/>
        <v>#REF!</v>
      </c>
      <c r="E41" s="731" t="e">
        <f t="shared" si="13"/>
        <v>#REF!</v>
      </c>
      <c r="F41" s="731" t="e">
        <f t="shared" si="13"/>
        <v>#REF!</v>
      </c>
      <c r="G41" s="731" t="e">
        <f t="shared" si="13"/>
        <v>#REF!</v>
      </c>
      <c r="H41" s="731" t="e">
        <f t="shared" si="13"/>
        <v>#REF!</v>
      </c>
    </row>
    <row r="42" spans="1:9">
      <c r="C42" s="702" t="e">
        <f>+C40-C41</f>
        <v>#REF!</v>
      </c>
    </row>
  </sheetData>
  <mergeCells count="2">
    <mergeCell ref="A1:A2"/>
    <mergeCell ref="B1:B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DC3A-7454-4E09-8DAF-822D992199E0}">
  <sheetPr>
    <pageSetUpPr fitToPage="1"/>
  </sheetPr>
  <dimension ref="A2:N31"/>
  <sheetViews>
    <sheetView workbookViewId="0">
      <selection activeCell="I8" sqref="I8"/>
    </sheetView>
  </sheetViews>
  <sheetFormatPr defaultRowHeight="12.75"/>
  <cols>
    <col min="1" max="1" width="2.5703125" bestFit="1" customWidth="1"/>
    <col min="2" max="2" width="22.28515625" bestFit="1" customWidth="1"/>
    <col min="3" max="3" width="10.140625" bestFit="1" customWidth="1"/>
    <col min="4" max="4" width="17.85546875" bestFit="1" customWidth="1"/>
    <col min="5" max="5" width="13.7109375" bestFit="1" customWidth="1"/>
    <col min="6" max="6" width="13.42578125" bestFit="1" customWidth="1"/>
    <col min="7" max="7" width="11.42578125" bestFit="1" customWidth="1"/>
    <col min="8" max="8" width="6" bestFit="1" customWidth="1"/>
    <col min="9" max="9" width="13.42578125" bestFit="1" customWidth="1"/>
    <col min="11" max="11" width="19.5703125" bestFit="1" customWidth="1"/>
    <col min="12" max="12" width="17.42578125" bestFit="1" customWidth="1"/>
    <col min="13" max="13" width="13.42578125" customWidth="1"/>
    <col min="14" max="14" width="12.85546875" bestFit="1" customWidth="1"/>
  </cols>
  <sheetData>
    <row r="2" spans="1:14">
      <c r="B2" s="1" t="s">
        <v>1644</v>
      </c>
    </row>
    <row r="4" spans="1:14" s="2" customFormat="1">
      <c r="A4" s="4"/>
      <c r="B4" s="4" t="s">
        <v>1645</v>
      </c>
      <c r="C4" s="4" t="s">
        <v>1646</v>
      </c>
      <c r="D4" s="4" t="s">
        <v>1647</v>
      </c>
      <c r="E4" s="4" t="s">
        <v>1648</v>
      </c>
      <c r="F4" s="4" t="s">
        <v>1649</v>
      </c>
      <c r="I4" s="17" t="s">
        <v>1650</v>
      </c>
      <c r="J4" s="2">
        <f>(F5+F6+F7)*250</f>
        <v>6787500</v>
      </c>
    </row>
    <row r="5" spans="1:14">
      <c r="A5" s="9" t="s">
        <v>249</v>
      </c>
      <c r="B5" s="9" t="s">
        <v>1651</v>
      </c>
      <c r="C5" s="12">
        <v>41044</v>
      </c>
      <c r="D5" s="9" t="s">
        <v>1652</v>
      </c>
      <c r="E5" s="8">
        <v>26.4</v>
      </c>
      <c r="F5" s="11">
        <v>10545</v>
      </c>
      <c r="L5" s="2" t="s">
        <v>1653</v>
      </c>
    </row>
    <row r="6" spans="1:14">
      <c r="A6" s="9" t="s">
        <v>253</v>
      </c>
      <c r="B6" s="9" t="s">
        <v>1654</v>
      </c>
      <c r="C6" s="12">
        <v>41044</v>
      </c>
      <c r="D6" s="9" t="s">
        <v>1655</v>
      </c>
      <c r="E6" s="8">
        <v>22.25</v>
      </c>
      <c r="F6" s="11">
        <v>8895</v>
      </c>
      <c r="L6" s="1" t="s">
        <v>1656</v>
      </c>
      <c r="M6" s="2"/>
    </row>
    <row r="7" spans="1:14">
      <c r="A7" s="9" t="s">
        <v>256</v>
      </c>
      <c r="B7" s="9" t="s">
        <v>1657</v>
      </c>
      <c r="C7" s="12">
        <v>41044</v>
      </c>
      <c r="D7" s="9" t="s">
        <v>1652</v>
      </c>
      <c r="E7" s="8">
        <v>19.3</v>
      </c>
      <c r="F7" s="11">
        <f>7710</f>
        <v>7710</v>
      </c>
      <c r="L7" s="2" t="s">
        <v>1658</v>
      </c>
      <c r="M7" s="2" t="s">
        <v>1659</v>
      </c>
      <c r="N7" s="2" t="s">
        <v>1660</v>
      </c>
    </row>
    <row r="8" spans="1:14">
      <c r="A8" s="9"/>
      <c r="B8" s="9"/>
      <c r="C8" s="12"/>
      <c r="D8" s="9"/>
      <c r="E8" s="9"/>
      <c r="F8" s="9"/>
      <c r="K8" s="7" t="s">
        <v>808</v>
      </c>
      <c r="L8">
        <v>227.2</v>
      </c>
      <c r="M8">
        <v>278</v>
      </c>
    </row>
    <row r="9" spans="1:14">
      <c r="A9" s="9"/>
      <c r="B9" s="9"/>
      <c r="C9" s="9"/>
      <c r="D9" s="9"/>
      <c r="E9" s="9"/>
      <c r="F9" s="9"/>
      <c r="K9" s="7" t="s">
        <v>1661</v>
      </c>
      <c r="L9">
        <v>227.2</v>
      </c>
      <c r="M9">
        <v>278</v>
      </c>
      <c r="N9">
        <v>39.96</v>
      </c>
    </row>
    <row r="10" spans="1:14">
      <c r="K10" s="7" t="s">
        <v>1662</v>
      </c>
      <c r="L10">
        <v>227.2</v>
      </c>
      <c r="M10">
        <v>278</v>
      </c>
    </row>
    <row r="11" spans="1:14">
      <c r="B11" s="1" t="s">
        <v>1663</v>
      </c>
      <c r="K11" s="7" t="s">
        <v>1664</v>
      </c>
      <c r="L11">
        <v>227.2</v>
      </c>
      <c r="M11">
        <v>278</v>
      </c>
    </row>
    <row r="12" spans="1:14">
      <c r="K12" s="7" t="s">
        <v>1665</v>
      </c>
      <c r="L12">
        <v>227.2</v>
      </c>
      <c r="M12">
        <v>278</v>
      </c>
    </row>
    <row r="13" spans="1:14" s="2" customFormat="1">
      <c r="A13" s="4"/>
      <c r="B13" s="4" t="s">
        <v>1666</v>
      </c>
      <c r="C13" s="4" t="s">
        <v>1646</v>
      </c>
      <c r="D13" s="4" t="s">
        <v>1647</v>
      </c>
      <c r="E13" s="4" t="s">
        <v>1648</v>
      </c>
      <c r="F13" s="4" t="s">
        <v>1667</v>
      </c>
      <c r="G13" s="4" t="s">
        <v>1668</v>
      </c>
      <c r="H13" s="4" t="s">
        <v>87</v>
      </c>
      <c r="I13" s="4" t="s">
        <v>1649</v>
      </c>
      <c r="K13" s="7" t="s">
        <v>1669</v>
      </c>
      <c r="L13">
        <v>189.2</v>
      </c>
      <c r="M13">
        <v>278</v>
      </c>
      <c r="N13"/>
    </row>
    <row r="14" spans="1:14">
      <c r="A14" s="9" t="s">
        <v>249</v>
      </c>
      <c r="B14" s="9" t="s">
        <v>1670</v>
      </c>
      <c r="C14" s="12">
        <v>41054</v>
      </c>
      <c r="D14" s="9" t="s">
        <v>1652</v>
      </c>
      <c r="E14" s="8">
        <v>26.4</v>
      </c>
      <c r="F14" s="13">
        <f>E14*8.5%</f>
        <v>2.2440000000000002</v>
      </c>
      <c r="G14" s="13">
        <f>E14*8%</f>
        <v>2.1120000000000001</v>
      </c>
      <c r="H14" s="8">
        <f>E14+F14+G14</f>
        <v>30.756</v>
      </c>
      <c r="I14" s="11">
        <v>10545</v>
      </c>
      <c r="K14" s="7" t="s">
        <v>1671</v>
      </c>
      <c r="L14" s="2">
        <v>0</v>
      </c>
      <c r="M14">
        <v>278</v>
      </c>
      <c r="N14" s="2"/>
    </row>
    <row r="15" spans="1:14">
      <c r="A15" s="9" t="s">
        <v>253</v>
      </c>
      <c r="B15" s="9" t="s">
        <v>1672</v>
      </c>
      <c r="C15" s="12">
        <v>41054</v>
      </c>
      <c r="D15" s="9" t="s">
        <v>1655</v>
      </c>
      <c r="E15" s="8">
        <v>22.25</v>
      </c>
      <c r="F15" s="13">
        <f>E15*8.5%</f>
        <v>1.8912500000000001</v>
      </c>
      <c r="G15" s="13">
        <f>E15*8%</f>
        <v>1.78</v>
      </c>
      <c r="H15" s="8">
        <f>E15+F15+G15</f>
        <v>25.921250000000001</v>
      </c>
      <c r="I15" s="11">
        <v>8895</v>
      </c>
      <c r="K15" s="7" t="s">
        <v>1673</v>
      </c>
      <c r="M15">
        <v>278</v>
      </c>
    </row>
    <row r="16" spans="1:14">
      <c r="A16" s="9" t="s">
        <v>256</v>
      </c>
      <c r="B16" s="9" t="s">
        <v>1674</v>
      </c>
      <c r="C16" s="12">
        <v>41054</v>
      </c>
      <c r="D16" s="9" t="s">
        <v>1652</v>
      </c>
      <c r="E16" s="8">
        <v>19.3</v>
      </c>
      <c r="F16" s="13">
        <f>E16*8.5%</f>
        <v>1.6405000000000001</v>
      </c>
      <c r="G16" s="13">
        <f>E16*8%</f>
        <v>1.544</v>
      </c>
      <c r="H16" s="8">
        <f>E16+F16+G16</f>
        <v>22.484500000000001</v>
      </c>
      <c r="I16" s="11">
        <f>7710</f>
        <v>7710</v>
      </c>
      <c r="K16" s="7" t="s">
        <v>1675</v>
      </c>
      <c r="M16">
        <v>278</v>
      </c>
    </row>
    <row r="17" spans="1:14">
      <c r="A17" s="9"/>
      <c r="B17" s="9"/>
      <c r="C17" s="12"/>
      <c r="D17" s="9"/>
      <c r="E17" s="9"/>
      <c r="F17" s="9"/>
      <c r="G17" s="9"/>
      <c r="H17" s="9"/>
      <c r="I17" s="9"/>
      <c r="K17" s="7" t="s">
        <v>1676</v>
      </c>
      <c r="M17">
        <v>259.5</v>
      </c>
    </row>
    <row r="18" spans="1:14" ht="13.5" thickBot="1">
      <c r="A18" s="9"/>
      <c r="B18" s="9"/>
      <c r="C18" s="9"/>
      <c r="D18" s="9"/>
      <c r="E18" s="9"/>
      <c r="F18" s="9"/>
      <c r="G18" s="9"/>
      <c r="H18" s="9"/>
      <c r="I18" s="9"/>
      <c r="L18" s="16">
        <f>SUM(L8:L17)</f>
        <v>1325.2</v>
      </c>
      <c r="M18" s="16">
        <f>SUM(M8:M17)</f>
        <v>2761.5</v>
      </c>
      <c r="N18" s="16">
        <f>SUM(N8:N17)</f>
        <v>39.96</v>
      </c>
    </row>
    <row r="19" spans="1:14" ht="13.5" thickTop="1"/>
    <row r="20" spans="1:14">
      <c r="K20" s="7" t="s">
        <v>1677</v>
      </c>
      <c r="L20" s="7">
        <v>10.7639</v>
      </c>
      <c r="M20" t="s">
        <v>1678</v>
      </c>
    </row>
    <row r="21" spans="1:14">
      <c r="B21" s="1" t="s">
        <v>1679</v>
      </c>
    </row>
    <row r="22" spans="1:14">
      <c r="K22" s="7" t="s">
        <v>1680</v>
      </c>
      <c r="L22" s="3">
        <f>L18*$L$20</f>
        <v>14264.32028</v>
      </c>
      <c r="M22" s="3">
        <f>M18*$L$20</f>
        <v>29724.509849999999</v>
      </c>
      <c r="N22" s="3">
        <f>N18*$L$20</f>
        <v>430.12544400000002</v>
      </c>
    </row>
    <row r="23" spans="1:14" s="2" customFormat="1" ht="27.75" customHeight="1">
      <c r="A23" s="4"/>
      <c r="B23" s="4" t="s">
        <v>1666</v>
      </c>
      <c r="C23" s="4" t="s">
        <v>1646</v>
      </c>
      <c r="D23" s="4" t="s">
        <v>1681</v>
      </c>
      <c r="E23" s="15" t="s">
        <v>1682</v>
      </c>
      <c r="F23" s="4"/>
      <c r="L23" s="2" t="s">
        <v>1683</v>
      </c>
      <c r="M23" s="2" t="s">
        <v>1684</v>
      </c>
    </row>
    <row r="24" spans="1:14">
      <c r="A24" s="9" t="s">
        <v>249</v>
      </c>
      <c r="B24" s="9" t="s">
        <v>1685</v>
      </c>
      <c r="C24" s="12">
        <v>39745</v>
      </c>
      <c r="D24" s="9" t="s">
        <v>1686</v>
      </c>
      <c r="E24" s="8">
        <v>4600</v>
      </c>
      <c r="F24" s="11"/>
    </row>
    <row r="25" spans="1:14">
      <c r="A25" s="9" t="s">
        <v>253</v>
      </c>
      <c r="B25" s="14" t="s">
        <v>1687</v>
      </c>
      <c r="C25" s="12">
        <v>39636</v>
      </c>
      <c r="D25" s="9" t="s">
        <v>1688</v>
      </c>
      <c r="E25" s="8">
        <v>5000</v>
      </c>
      <c r="F25" s="8">
        <v>5</v>
      </c>
      <c r="L25" s="3">
        <f>SUM(E24:E26)</f>
        <v>13500</v>
      </c>
      <c r="M25" s="3">
        <f>SUM(F5:F7)</f>
        <v>27150</v>
      </c>
    </row>
    <row r="26" spans="1:14">
      <c r="A26" s="9" t="s">
        <v>256</v>
      </c>
      <c r="B26" s="14" t="s">
        <v>1689</v>
      </c>
      <c r="C26" s="12">
        <v>39647</v>
      </c>
      <c r="D26" s="14" t="s">
        <v>1690</v>
      </c>
      <c r="E26" s="8">
        <v>3900</v>
      </c>
      <c r="F26" s="8">
        <v>13.95</v>
      </c>
      <c r="K26" s="7"/>
      <c r="M26" s="3"/>
    </row>
    <row r="27" spans="1:14">
      <c r="A27" s="9"/>
      <c r="B27" s="9"/>
      <c r="C27" s="12"/>
      <c r="D27" s="9"/>
      <c r="E27" s="9"/>
      <c r="F27" s="9"/>
      <c r="K27" s="7" t="s">
        <v>1691</v>
      </c>
      <c r="L27" s="5">
        <f>L22-L25</f>
        <v>764.32027999999991</v>
      </c>
      <c r="M27" s="5">
        <f>M22-M25</f>
        <v>2574.5098499999986</v>
      </c>
      <c r="N27" s="7" t="s">
        <v>1692</v>
      </c>
    </row>
    <row r="28" spans="1:14">
      <c r="A28" s="9"/>
      <c r="B28" s="9"/>
      <c r="C28" s="9"/>
      <c r="D28" s="9"/>
      <c r="E28" s="9"/>
      <c r="F28" s="9"/>
    </row>
    <row r="29" spans="1:14">
      <c r="K29" s="7" t="s">
        <v>1691</v>
      </c>
    </row>
    <row r="30" spans="1:14">
      <c r="K30" s="7" t="s">
        <v>1693</v>
      </c>
      <c r="L30" s="3">
        <f>((L18-L8)*L20)</f>
        <v>11818.762199999999</v>
      </c>
      <c r="M30">
        <f>((M18-M8)*L20)</f>
        <v>26732.145649999999</v>
      </c>
    </row>
    <row r="31" spans="1:14">
      <c r="L31" s="5">
        <f>L30-L25</f>
        <v>-1681.2378000000008</v>
      </c>
      <c r="M31" s="5">
        <f>M30-M25</f>
        <v>-417.85435000000143</v>
      </c>
    </row>
  </sheetData>
  <pageMargins left="0.70866141732283472" right="0.70866141732283472" top="0.74803149606299213" bottom="0.74803149606299213" header="0.31496062992125984" footer="0.31496062992125984"/>
  <pageSetup paperSize="9" scale="48" orientation="portrait"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2099-BAA5-42E3-82D4-C1F2909053AD}">
  <dimension ref="A1:I9"/>
  <sheetViews>
    <sheetView workbookViewId="0">
      <selection activeCell="U23" sqref="U23"/>
    </sheetView>
  </sheetViews>
  <sheetFormatPr defaultRowHeight="12.75"/>
  <cols>
    <col min="1" max="1" width="18.28515625" bestFit="1" customWidth="1"/>
    <col min="3" max="3" width="11.85546875" customWidth="1"/>
    <col min="4" max="4" width="10.5703125" bestFit="1" customWidth="1"/>
    <col min="5" max="9" width="10.5703125" hidden="1" customWidth="1"/>
    <col min="10" max="10" width="0" hidden="1" customWidth="1"/>
  </cols>
  <sheetData>
    <row r="1" spans="1:9" ht="29.25" customHeight="1" thickBot="1">
      <c r="A1" s="654" t="s">
        <v>1694</v>
      </c>
      <c r="B1" s="658"/>
      <c r="C1" s="661">
        <v>41729</v>
      </c>
      <c r="D1" s="662">
        <v>42094</v>
      </c>
      <c r="E1" s="655">
        <v>42460</v>
      </c>
      <c r="F1" s="655">
        <v>42825</v>
      </c>
      <c r="G1" s="655">
        <v>43921</v>
      </c>
      <c r="H1" s="655">
        <v>44286</v>
      </c>
      <c r="I1" s="655">
        <v>44651</v>
      </c>
    </row>
    <row r="2" spans="1:9" ht="29.25" thickBot="1">
      <c r="A2" s="654"/>
      <c r="B2" s="658"/>
      <c r="C2" s="663" t="s">
        <v>1695</v>
      </c>
      <c r="D2" s="656" t="s">
        <v>1695</v>
      </c>
      <c r="E2" s="656" t="s">
        <v>1695</v>
      </c>
      <c r="F2" s="656" t="s">
        <v>1695</v>
      </c>
      <c r="G2" s="656" t="s">
        <v>1695</v>
      </c>
      <c r="H2" s="656" t="s">
        <v>1695</v>
      </c>
      <c r="I2" s="657" t="str">
        <f>H2</f>
        <v>PROJECTED</v>
      </c>
    </row>
    <row r="3" spans="1:9" ht="15.75" thickBot="1">
      <c r="A3" s="654" t="s">
        <v>1696</v>
      </c>
      <c r="B3" s="658"/>
      <c r="C3" s="664" t="s">
        <v>443</v>
      </c>
      <c r="D3" s="659" t="s">
        <v>443</v>
      </c>
      <c r="E3" s="659" t="e">
        <f>OP_STATEMENT!I17</f>
        <v>#REF!</v>
      </c>
      <c r="F3" s="659" t="e">
        <f>OP_STATEMENT!J17</f>
        <v>#REF!</v>
      </c>
      <c r="G3" s="659" t="e">
        <f>OP_STATEMENT!K17</f>
        <v>#REF!</v>
      </c>
      <c r="H3" s="659" t="e">
        <f>OP_STATEMENT!L17</f>
        <v>#REF!</v>
      </c>
      <c r="I3" s="659" t="e">
        <f>OP_STATEMENT!M17</f>
        <v>#REF!</v>
      </c>
    </row>
    <row r="4" spans="1:9" ht="15.75" customHeight="1" thickBot="1">
      <c r="A4" s="654" t="s">
        <v>20</v>
      </c>
      <c r="B4" s="658"/>
      <c r="C4" s="664" t="s">
        <v>443</v>
      </c>
      <c r="D4" s="659" t="s">
        <v>443</v>
      </c>
      <c r="E4" s="659" t="e">
        <f>OP_STATEMENT!I81</f>
        <v>#REF!</v>
      </c>
      <c r="F4" s="659" t="e">
        <f>OP_STATEMENT!J81</f>
        <v>#REF!</v>
      </c>
      <c r="G4" s="659" t="e">
        <f>OP_STATEMENT!K81</f>
        <v>#REF!</v>
      </c>
      <c r="H4" s="659" t="e">
        <f>OP_STATEMENT!L81</f>
        <v>#REF!</v>
      </c>
      <c r="I4" s="659" t="e">
        <f>OP_STATEMENT!M81</f>
        <v>#REF!</v>
      </c>
    </row>
    <row r="5" spans="1:9" ht="15.75" customHeight="1" thickBot="1">
      <c r="A5" s="654" t="s">
        <v>1697</v>
      </c>
      <c r="B5" s="658"/>
      <c r="C5" s="664" t="s">
        <v>443</v>
      </c>
      <c r="D5" s="659" t="s">
        <v>443</v>
      </c>
      <c r="E5" s="659">
        <f>'P  L '!F66</f>
        <v>871.77026816025159</v>
      </c>
      <c r="F5" s="659">
        <f>'P  L '!G66</f>
        <v>972.55826263326594</v>
      </c>
      <c r="G5" s="659">
        <f>'P  L '!H66</f>
        <v>1078.9150543708997</v>
      </c>
      <c r="H5" s="659">
        <f>'P  L '!I66</f>
        <v>1185.9714981669397</v>
      </c>
      <c r="I5" s="659">
        <f>'P  L '!J66</f>
        <v>1307.8296952289934</v>
      </c>
    </row>
    <row r="6" spans="1:9" ht="15.75" customHeight="1" thickBot="1">
      <c r="A6" s="654" t="s">
        <v>1698</v>
      </c>
      <c r="B6" s="658"/>
      <c r="C6" s="665">
        <f>12065000/100000</f>
        <v>120.65</v>
      </c>
      <c r="D6" s="660">
        <f>'[21]BS &amp; PL'!$I$13/100000</f>
        <v>219</v>
      </c>
      <c r="E6" s="660" t="e">
        <f>BS_ANLYSIS!L166</f>
        <v>#REF!</v>
      </c>
      <c r="F6" s="660" t="e">
        <f>BS_ANLYSIS!M166</f>
        <v>#REF!</v>
      </c>
      <c r="G6" s="660" t="e">
        <f>BS_ANLYSIS!N166</f>
        <v>#REF!</v>
      </c>
      <c r="H6" s="660" t="e">
        <f>BS_ANLYSIS!O166</f>
        <v>#REF!</v>
      </c>
      <c r="I6" s="660" t="e">
        <f>BS_ANLYSIS!P166</f>
        <v>#REF!</v>
      </c>
    </row>
    <row r="7" spans="1:9" ht="15.75" customHeight="1" thickBot="1">
      <c r="A7" s="654" t="s">
        <v>1699</v>
      </c>
      <c r="B7" s="658"/>
      <c r="C7" s="665">
        <f>18700000/100000</f>
        <v>187</v>
      </c>
      <c r="D7" s="660">
        <f>'[21]BS &amp; PL'!$I$15/100000</f>
        <v>181.64482000000001</v>
      </c>
      <c r="E7" s="660" t="e">
        <f>BS_ANLYSIS!L63</f>
        <v>#REF!</v>
      </c>
      <c r="F7" s="660" t="e">
        <f>BS_ANLYSIS!M63</f>
        <v>#REF!</v>
      </c>
      <c r="G7" s="660" t="e">
        <f>BS_ANLYSIS!N63</f>
        <v>#REF!</v>
      </c>
      <c r="H7" s="660" t="e">
        <f>BS_ANLYSIS!O63</f>
        <v>#REF!</v>
      </c>
      <c r="I7" s="660" t="e">
        <f>BS_ANLYSIS!P63</f>
        <v>#REF!</v>
      </c>
    </row>
    <row r="8" spans="1:9" ht="15.75" customHeight="1" thickBot="1">
      <c r="A8" s="654" t="s">
        <v>43</v>
      </c>
      <c r="B8" s="658"/>
      <c r="C8" s="665">
        <f>(767095.1+8086000)/8943278</f>
        <v>0.98991612471400303</v>
      </c>
      <c r="D8" s="660" t="e">
        <f>BS_ANLYSIS!K172</f>
        <v>#REF!</v>
      </c>
      <c r="E8" s="660" t="e">
        <f>BS_ANLYSIS!L172</f>
        <v>#REF!</v>
      </c>
      <c r="F8" s="660" t="e">
        <f>BS_ANLYSIS!M172</f>
        <v>#REF!</v>
      </c>
      <c r="G8" s="660" t="e">
        <f>BS_ANLYSIS!N172</f>
        <v>#REF!</v>
      </c>
      <c r="H8" s="660" t="e">
        <f>BS_ANLYSIS!O172</f>
        <v>#REF!</v>
      </c>
      <c r="I8" s="660" t="e">
        <f>BS_ANLYSIS!P172</f>
        <v>#REF!</v>
      </c>
    </row>
    <row r="9" spans="1:9" ht="15.75" customHeight="1" thickBot="1">
      <c r="A9" s="654" t="s">
        <v>449</v>
      </c>
      <c r="B9" s="658"/>
      <c r="C9" s="660">
        <f>C7/C6</f>
        <v>1.5499378367177785</v>
      </c>
      <c r="D9" s="660">
        <v>5.3999999999999999E-2</v>
      </c>
      <c r="E9" s="660" t="e">
        <f>BS_ANLYSIS!L174</f>
        <v>#REF!</v>
      </c>
      <c r="F9" s="660" t="e">
        <f>BS_ANLYSIS!M174</f>
        <v>#REF!</v>
      </c>
      <c r="G9" s="660" t="e">
        <f>BS_ANLYSIS!N174</f>
        <v>#REF!</v>
      </c>
      <c r="H9" s="660" t="e">
        <f>BS_ANLYSIS!O174</f>
        <v>#REF!</v>
      </c>
      <c r="I9" s="660" t="e">
        <f>BS_ANLYSIS!P174</f>
        <v>#REF!</v>
      </c>
    </row>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1EB50-7818-4FF7-8B5D-8C2B54B11243}">
  <dimension ref="A2:C49"/>
  <sheetViews>
    <sheetView workbookViewId="0">
      <selection activeCell="E44" sqref="E44"/>
    </sheetView>
  </sheetViews>
  <sheetFormatPr defaultRowHeight="12.75"/>
  <cols>
    <col min="1" max="1" width="32.85546875" bestFit="1" customWidth="1"/>
    <col min="2" max="2" width="24.140625" bestFit="1" customWidth="1"/>
    <col min="3" max="3" width="31.140625" bestFit="1" customWidth="1"/>
  </cols>
  <sheetData>
    <row r="2" spans="1:3">
      <c r="A2" s="1" t="s">
        <v>1700</v>
      </c>
    </row>
    <row r="3" spans="1:3" ht="15">
      <c r="A3" s="775" t="s">
        <v>1701</v>
      </c>
    </row>
    <row r="5" spans="1:3">
      <c r="A5" s="1011" t="s">
        <v>1702</v>
      </c>
      <c r="B5" s="998" t="s">
        <v>123</v>
      </c>
      <c r="C5" s="1013" t="s">
        <v>1703</v>
      </c>
    </row>
    <row r="6" spans="1:3">
      <c r="A6" s="83"/>
      <c r="B6" s="296"/>
      <c r="C6" s="303"/>
    </row>
    <row r="7" spans="1:3" ht="63.75">
      <c r="A7" s="776" t="s">
        <v>142</v>
      </c>
      <c r="B7" s="777" t="s">
        <v>1704</v>
      </c>
      <c r="C7" s="778" t="s">
        <v>1705</v>
      </c>
    </row>
    <row r="8" spans="1:3" ht="76.5">
      <c r="A8" s="776" t="s">
        <v>143</v>
      </c>
      <c r="B8" s="779" t="s">
        <v>1706</v>
      </c>
      <c r="C8" s="778" t="s">
        <v>1707</v>
      </c>
    </row>
    <row r="9" spans="1:3" ht="51">
      <c r="A9" s="780" t="s">
        <v>144</v>
      </c>
      <c r="B9" s="777" t="s">
        <v>1708</v>
      </c>
      <c r="C9" s="778" t="s">
        <v>1709</v>
      </c>
    </row>
    <row r="10" spans="1:3" ht="51">
      <c r="A10" s="780" t="s">
        <v>697</v>
      </c>
      <c r="B10" s="777" t="s">
        <v>1710</v>
      </c>
      <c r="C10" s="778" t="s">
        <v>1711</v>
      </c>
    </row>
    <row r="11" spans="1:3" ht="102">
      <c r="A11" s="780" t="s">
        <v>698</v>
      </c>
      <c r="B11" s="779" t="s">
        <v>1712</v>
      </c>
      <c r="C11" s="778" t="s">
        <v>1713</v>
      </c>
    </row>
    <row r="12" spans="1:3" ht="51">
      <c r="A12" s="780" t="s">
        <v>145</v>
      </c>
      <c r="B12" s="779" t="s">
        <v>1714</v>
      </c>
      <c r="C12" s="778" t="s">
        <v>1715</v>
      </c>
    </row>
    <row r="13" spans="1:3" ht="38.25">
      <c r="A13" s="781" t="s">
        <v>146</v>
      </c>
      <c r="B13" s="777" t="s">
        <v>1716</v>
      </c>
      <c r="C13" s="778" t="s">
        <v>1717</v>
      </c>
    </row>
    <row r="14" spans="1:3">
      <c r="A14" s="80" t="s">
        <v>148</v>
      </c>
      <c r="B14" s="782"/>
      <c r="C14" s="312"/>
    </row>
    <row r="15" spans="1:3">
      <c r="A15" s="80"/>
      <c r="B15" s="782"/>
      <c r="C15" s="312"/>
    </row>
    <row r="16" spans="1:3">
      <c r="A16" s="83" t="s">
        <v>149</v>
      </c>
      <c r="B16" s="296" t="s">
        <v>1718</v>
      </c>
      <c r="C16" s="303" t="s">
        <v>1719</v>
      </c>
    </row>
    <row r="17" spans="1:3">
      <c r="A17" s="83" t="s">
        <v>143</v>
      </c>
      <c r="B17" s="296" t="s">
        <v>1718</v>
      </c>
      <c r="C17" s="303" t="s">
        <v>1719</v>
      </c>
    </row>
    <row r="18" spans="1:3">
      <c r="A18" s="432" t="s">
        <v>144</v>
      </c>
      <c r="B18" s="296" t="s">
        <v>1718</v>
      </c>
      <c r="C18" s="303" t="s">
        <v>1719</v>
      </c>
    </row>
    <row r="19" spans="1:3">
      <c r="A19" s="432" t="str">
        <f>A10</f>
        <v>Fitness Centre</v>
      </c>
      <c r="B19" s="296" t="s">
        <v>1718</v>
      </c>
      <c r="C19" s="303" t="s">
        <v>1719</v>
      </c>
    </row>
    <row r="20" spans="1:3">
      <c r="A20" s="432" t="str">
        <f>A11</f>
        <v>Game Parlour</v>
      </c>
      <c r="B20" s="296" t="s">
        <v>1718</v>
      </c>
      <c r="C20" s="303" t="s">
        <v>1719</v>
      </c>
    </row>
    <row r="21" spans="1:3">
      <c r="A21" s="432" t="s">
        <v>145</v>
      </c>
      <c r="B21" s="296" t="s">
        <v>1718</v>
      </c>
      <c r="C21" s="303" t="s">
        <v>1719</v>
      </c>
    </row>
    <row r="22" spans="1:3">
      <c r="A22" s="83" t="s">
        <v>146</v>
      </c>
      <c r="B22" s="296" t="s">
        <v>1718</v>
      </c>
      <c r="C22" s="303" t="s">
        <v>1719</v>
      </c>
    </row>
    <row r="23" spans="1:3">
      <c r="A23" s="83"/>
      <c r="B23" s="296"/>
      <c r="C23" s="303"/>
    </row>
    <row r="24" spans="1:3" ht="13.5" thickBot="1">
      <c r="A24" s="81" t="s">
        <v>1720</v>
      </c>
      <c r="B24" s="783" t="str">
        <f>B5</f>
        <v>Basis</v>
      </c>
      <c r="C24" s="784" t="str">
        <f>C5</f>
        <v>Projections' assumption</v>
      </c>
    </row>
    <row r="25" spans="1:3" ht="13.5" thickTop="1">
      <c r="A25" s="83"/>
      <c r="B25" s="296"/>
      <c r="C25" s="303"/>
    </row>
    <row r="26" spans="1:3">
      <c r="A26" s="77" t="s">
        <v>151</v>
      </c>
      <c r="B26" s="785"/>
      <c r="C26" s="605"/>
    </row>
    <row r="27" spans="1:3">
      <c r="A27" s="77"/>
      <c r="B27" s="785"/>
      <c r="C27" s="605"/>
    </row>
    <row r="28" spans="1:3">
      <c r="A28" s="83" t="s">
        <v>154</v>
      </c>
      <c r="B28" s="786" t="s">
        <v>155</v>
      </c>
      <c r="C28" s="875" t="s">
        <v>1721</v>
      </c>
    </row>
    <row r="29" spans="1:3">
      <c r="A29" s="83" t="s">
        <v>156</v>
      </c>
      <c r="B29" s="786" t="s">
        <v>157</v>
      </c>
      <c r="C29" s="875" t="s">
        <v>1722</v>
      </c>
    </row>
    <row r="30" spans="1:3" ht="25.5">
      <c r="A30" s="781" t="s">
        <v>158</v>
      </c>
      <c r="B30" s="806" t="s">
        <v>1723</v>
      </c>
      <c r="C30" s="805" t="s">
        <v>1724</v>
      </c>
    </row>
    <row r="31" spans="1:3">
      <c r="A31" s="83" t="s">
        <v>161</v>
      </c>
      <c r="B31" s="786" t="s">
        <v>1725</v>
      </c>
      <c r="C31" s="875"/>
    </row>
    <row r="32" spans="1:3">
      <c r="A32" s="83" t="s">
        <v>162</v>
      </c>
      <c r="B32" s="786" t="s">
        <v>163</v>
      </c>
      <c r="C32" s="875" t="s">
        <v>1726</v>
      </c>
    </row>
    <row r="33" spans="1:3">
      <c r="A33" s="83" t="s">
        <v>164</v>
      </c>
      <c r="B33" s="786" t="s">
        <v>149</v>
      </c>
      <c r="C33" s="875" t="s">
        <v>1727</v>
      </c>
    </row>
    <row r="34" spans="1:3">
      <c r="A34" s="83" t="s">
        <v>166</v>
      </c>
      <c r="B34" s="786" t="s">
        <v>149</v>
      </c>
      <c r="C34" s="875" t="s">
        <v>1728</v>
      </c>
    </row>
    <row r="35" spans="1:3">
      <c r="A35" s="83" t="s">
        <v>168</v>
      </c>
      <c r="B35" s="786" t="s">
        <v>159</v>
      </c>
      <c r="C35" s="875" t="s">
        <v>1729</v>
      </c>
    </row>
    <row r="36" spans="1:3">
      <c r="A36" s="83" t="s">
        <v>169</v>
      </c>
      <c r="B36" s="786" t="s">
        <v>159</v>
      </c>
      <c r="C36" s="875" t="s">
        <v>1730</v>
      </c>
    </row>
    <row r="37" spans="1:3">
      <c r="A37" s="83" t="s">
        <v>170</v>
      </c>
      <c r="B37" s="786" t="s">
        <v>159</v>
      </c>
      <c r="C37" s="875" t="s">
        <v>1731</v>
      </c>
    </row>
    <row r="38" spans="1:3">
      <c r="A38" s="83" t="s">
        <v>171</v>
      </c>
      <c r="B38" s="786" t="s">
        <v>159</v>
      </c>
      <c r="C38" s="875" t="s">
        <v>1729</v>
      </c>
    </row>
    <row r="39" spans="1:3">
      <c r="A39" s="77" t="s">
        <v>1732</v>
      </c>
      <c r="B39" s="788"/>
      <c r="C39" s="789"/>
    </row>
    <row r="40" spans="1:3">
      <c r="A40" s="83" t="s">
        <v>173</v>
      </c>
      <c r="B40" s="786" t="s">
        <v>159</v>
      </c>
      <c r="C40" s="875" t="s">
        <v>1733</v>
      </c>
    </row>
    <row r="41" spans="1:3">
      <c r="A41" s="83" t="s">
        <v>174</v>
      </c>
      <c r="B41" s="786" t="s">
        <v>159</v>
      </c>
      <c r="C41" s="875" t="s">
        <v>1726</v>
      </c>
    </row>
    <row r="42" spans="1:3">
      <c r="A42" s="432" t="s">
        <v>175</v>
      </c>
      <c r="B42" s="786" t="s">
        <v>159</v>
      </c>
      <c r="C42" s="875" t="s">
        <v>1734</v>
      </c>
    </row>
    <row r="43" spans="1:3">
      <c r="A43" s="83" t="s">
        <v>176</v>
      </c>
      <c r="B43" s="786" t="s">
        <v>159</v>
      </c>
      <c r="C43" s="875" t="s">
        <v>1735</v>
      </c>
    </row>
    <row r="44" spans="1:3">
      <c r="A44" s="83" t="s">
        <v>177</v>
      </c>
      <c r="B44" s="786" t="s">
        <v>159</v>
      </c>
      <c r="C44" s="875" t="s">
        <v>1726</v>
      </c>
    </row>
    <row r="45" spans="1:3">
      <c r="A45" s="83" t="s">
        <v>107</v>
      </c>
      <c r="B45" s="296" t="s">
        <v>1736</v>
      </c>
      <c r="C45" s="303" t="s">
        <v>1737</v>
      </c>
    </row>
    <row r="46" spans="1:3">
      <c r="A46" s="83"/>
      <c r="B46" s="296"/>
      <c r="C46" s="303"/>
    </row>
    <row r="47" spans="1:3">
      <c r="A47" s="83"/>
      <c r="B47" s="786"/>
      <c r="C47" s="303"/>
    </row>
    <row r="48" spans="1:3" ht="25.5">
      <c r="A48" s="781" t="s">
        <v>106</v>
      </c>
      <c r="B48" s="777" t="s">
        <v>1738</v>
      </c>
      <c r="C48" s="790" t="s">
        <v>1739</v>
      </c>
    </row>
    <row r="49" spans="1:3">
      <c r="A49" s="87"/>
      <c r="B49" s="304"/>
      <c r="C49" s="1007"/>
    </row>
  </sheetData>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3E49-DDA6-40B3-A996-4F7E5257CCEF}">
  <dimension ref="A3:J19"/>
  <sheetViews>
    <sheetView workbookViewId="0">
      <selection activeCell="G20" sqref="G20"/>
    </sheetView>
  </sheetViews>
  <sheetFormatPr defaultRowHeight="12.75"/>
  <cols>
    <col min="1" max="1" width="26.28515625" bestFit="1" customWidth="1"/>
    <col min="2" max="2" width="22.140625" bestFit="1" customWidth="1"/>
    <col min="3" max="3" width="18.42578125" bestFit="1" customWidth="1"/>
    <col min="4" max="4" width="17" customWidth="1"/>
  </cols>
  <sheetData>
    <row r="3" spans="1:4">
      <c r="A3" s="1" t="s">
        <v>1740</v>
      </c>
    </row>
    <row r="4" spans="1:4" ht="15">
      <c r="A4" s="775" t="s">
        <v>1741</v>
      </c>
      <c r="B4" s="775"/>
      <c r="C4" s="775"/>
      <c r="D4" s="775"/>
    </row>
    <row r="5" spans="1:4" ht="15">
      <c r="A5" s="775"/>
      <c r="B5" s="775"/>
      <c r="C5" s="775"/>
      <c r="D5" s="775"/>
    </row>
    <row r="6" spans="1:4" ht="30">
      <c r="A6" s="791" t="s">
        <v>1742</v>
      </c>
      <c r="B6" s="792" t="s">
        <v>1743</v>
      </c>
      <c r="C6" s="792" t="s">
        <v>1744</v>
      </c>
      <c r="D6" s="793" t="s">
        <v>1745</v>
      </c>
    </row>
    <row r="7" spans="1:4">
      <c r="A7" s="799" t="s">
        <v>1746</v>
      </c>
      <c r="B7" s="9" t="s">
        <v>1747</v>
      </c>
      <c r="C7" s="9">
        <v>1</v>
      </c>
      <c r="D7" s="800">
        <f>40000*12</f>
        <v>480000</v>
      </c>
    </row>
    <row r="8" spans="1:4">
      <c r="A8" s="794" t="s">
        <v>1748</v>
      </c>
      <c r="B8" s="788" t="s">
        <v>1749</v>
      </c>
      <c r="C8" s="788">
        <v>2</v>
      </c>
      <c r="D8" s="787">
        <f>25000*12</f>
        <v>300000</v>
      </c>
    </row>
    <row r="9" spans="1:4">
      <c r="A9" s="801"/>
      <c r="B9" s="802" t="s">
        <v>1750</v>
      </c>
      <c r="C9" s="803">
        <v>2</v>
      </c>
      <c r="D9" s="804">
        <f>25000*12</f>
        <v>300000</v>
      </c>
    </row>
    <row r="10" spans="1:4">
      <c r="A10" s="794" t="s">
        <v>1751</v>
      </c>
      <c r="B10" s="795" t="s">
        <v>1752</v>
      </c>
      <c r="C10" s="788">
        <v>10</v>
      </c>
      <c r="D10" s="787">
        <f>10000*12*C10</f>
        <v>1200000</v>
      </c>
    </row>
    <row r="11" spans="1:4">
      <c r="A11" s="794"/>
      <c r="B11" s="795" t="s">
        <v>1753</v>
      </c>
      <c r="C11" s="788">
        <v>2</v>
      </c>
      <c r="D11" s="787">
        <f>8000*C11*12</f>
        <v>192000</v>
      </c>
    </row>
    <row r="12" spans="1:4">
      <c r="A12" s="794"/>
      <c r="B12" s="795" t="s">
        <v>1754</v>
      </c>
      <c r="C12" s="788">
        <v>1</v>
      </c>
      <c r="D12" s="787">
        <f>8000*12</f>
        <v>96000</v>
      </c>
    </row>
    <row r="13" spans="1:4">
      <c r="A13" s="801"/>
      <c r="B13" s="802" t="s">
        <v>1755</v>
      </c>
      <c r="C13" s="803">
        <v>2</v>
      </c>
      <c r="D13" s="804">
        <f>10000*12</f>
        <v>120000</v>
      </c>
    </row>
    <row r="14" spans="1:4">
      <c r="A14" s="794" t="s">
        <v>1756</v>
      </c>
      <c r="B14" s="795" t="s">
        <v>1757</v>
      </c>
      <c r="C14" s="788">
        <v>6</v>
      </c>
      <c r="D14" s="787">
        <f>11000*12*C14</f>
        <v>792000</v>
      </c>
    </row>
    <row r="15" spans="1:4">
      <c r="A15" s="794"/>
      <c r="B15" s="795" t="s">
        <v>1758</v>
      </c>
      <c r="C15" s="788">
        <v>92</v>
      </c>
      <c r="D15" s="787">
        <f>6000*12*C15</f>
        <v>6624000</v>
      </c>
    </row>
    <row r="16" spans="1:4">
      <c r="A16" s="794"/>
      <c r="B16" s="788" t="s">
        <v>1759</v>
      </c>
      <c r="C16" s="788">
        <v>4</v>
      </c>
      <c r="D16" s="787">
        <f>7000*12*C16</f>
        <v>336000</v>
      </c>
    </row>
    <row r="17" spans="1:10">
      <c r="A17" s="794"/>
      <c r="B17" s="788" t="s">
        <v>1760</v>
      </c>
      <c r="C17" s="788">
        <v>24</v>
      </c>
      <c r="D17" s="787">
        <f>6000*12*C17</f>
        <v>1728000</v>
      </c>
    </row>
    <row r="18" spans="1:10" ht="15">
      <c r="A18" s="796" t="s">
        <v>347</v>
      </c>
      <c r="B18" s="797"/>
      <c r="C18" s="797">
        <f>SUM(C7:C17)</f>
        <v>146</v>
      </c>
      <c r="D18" s="798">
        <f>SUM(D7:D17)</f>
        <v>12168000</v>
      </c>
    </row>
    <row r="19" spans="1:10">
      <c r="J19" s="3"/>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58368-0954-4A23-BEC3-601093F4A415}">
  <dimension ref="A1:E46"/>
  <sheetViews>
    <sheetView topLeftCell="A37" workbookViewId="0">
      <selection activeCell="G35" sqref="G35"/>
    </sheetView>
  </sheetViews>
  <sheetFormatPr defaultRowHeight="12.75"/>
  <cols>
    <col min="1" max="1" width="7.28515625" bestFit="1" customWidth="1"/>
    <col min="2" max="2" width="48.140625" customWidth="1"/>
    <col min="3" max="3" width="10.85546875" bestFit="1" customWidth="1"/>
    <col min="4" max="4" width="12.85546875" customWidth="1"/>
    <col min="5" max="5" width="11.42578125" bestFit="1" customWidth="1"/>
  </cols>
  <sheetData>
    <row r="1" spans="1:5" ht="13.5" thickBot="1"/>
    <row r="2" spans="1:5">
      <c r="A2" s="1166" t="s">
        <v>1761</v>
      </c>
      <c r="B2" s="1168" t="s">
        <v>1762</v>
      </c>
      <c r="C2" s="1168" t="s">
        <v>1763</v>
      </c>
      <c r="D2" s="1170" t="s">
        <v>1764</v>
      </c>
      <c r="E2" s="1172" t="s">
        <v>1765</v>
      </c>
    </row>
    <row r="3" spans="1:5">
      <c r="A3" s="1167"/>
      <c r="B3" s="1169"/>
      <c r="C3" s="1169"/>
      <c r="D3" s="1171"/>
      <c r="E3" s="1173"/>
    </row>
    <row r="4" spans="1:5" ht="15">
      <c r="A4" s="807">
        <v>1</v>
      </c>
      <c r="B4" s="808" t="s">
        <v>1766</v>
      </c>
      <c r="C4" s="809">
        <v>30</v>
      </c>
      <c r="D4" s="810">
        <v>0.9</v>
      </c>
      <c r="E4" s="811">
        <f>C4*D4</f>
        <v>27</v>
      </c>
    </row>
    <row r="5" spans="1:5" ht="15">
      <c r="A5" s="807">
        <v>2</v>
      </c>
      <c r="B5" s="812" t="s">
        <v>1767</v>
      </c>
      <c r="C5" s="809">
        <v>40</v>
      </c>
      <c r="D5" s="810">
        <v>0.6</v>
      </c>
      <c r="E5" s="811">
        <f>C5*D5</f>
        <v>24</v>
      </c>
    </row>
    <row r="6" spans="1:5" ht="15">
      <c r="A6" s="813">
        <v>3</v>
      </c>
      <c r="B6" s="814" t="s">
        <v>1768</v>
      </c>
      <c r="C6" s="809">
        <v>66</v>
      </c>
      <c r="D6" s="810">
        <v>0.6</v>
      </c>
      <c r="E6" s="811">
        <f>C6*D6</f>
        <v>39.6</v>
      </c>
    </row>
    <row r="7" spans="1:5" ht="15">
      <c r="A7" s="813">
        <v>4</v>
      </c>
      <c r="B7" s="812" t="s">
        <v>1769</v>
      </c>
      <c r="C7" s="809">
        <v>40</v>
      </c>
      <c r="D7" s="810">
        <v>0.6</v>
      </c>
      <c r="E7" s="811">
        <f>C7*D7</f>
        <v>24</v>
      </c>
    </row>
    <row r="8" spans="1:5" ht="27.75">
      <c r="A8" s="813">
        <v>5</v>
      </c>
      <c r="B8" s="812" t="s">
        <v>1770</v>
      </c>
      <c r="C8" s="809">
        <v>63.2</v>
      </c>
      <c r="D8" s="815">
        <v>0.6</v>
      </c>
      <c r="E8" s="811">
        <f>C8*D8</f>
        <v>37.92</v>
      </c>
    </row>
    <row r="9" spans="1:5" ht="15">
      <c r="A9" s="813"/>
      <c r="B9" s="812"/>
      <c r="C9" s="809"/>
      <c r="D9" s="810"/>
      <c r="E9" s="811"/>
    </row>
    <row r="10" spans="1:5" ht="15">
      <c r="A10" s="807">
        <v>6</v>
      </c>
      <c r="B10" s="812" t="s">
        <v>1771</v>
      </c>
      <c r="C10" s="816">
        <v>15</v>
      </c>
      <c r="D10" s="817">
        <v>0.8</v>
      </c>
      <c r="E10" s="811">
        <f>C10*D10</f>
        <v>12</v>
      </c>
    </row>
    <row r="11" spans="1:5" ht="14.25">
      <c r="A11" s="818"/>
      <c r="B11" s="819"/>
      <c r="C11" s="809"/>
      <c r="D11" s="810"/>
      <c r="E11" s="811"/>
    </row>
    <row r="12" spans="1:5" ht="15">
      <c r="A12" s="807">
        <v>7</v>
      </c>
      <c r="B12" s="812" t="s">
        <v>1772</v>
      </c>
      <c r="C12" s="816"/>
      <c r="D12" s="817"/>
      <c r="E12" s="811"/>
    </row>
    <row r="13" spans="1:5" ht="14.25">
      <c r="A13" s="818">
        <v>7.1</v>
      </c>
      <c r="B13" s="820" t="s">
        <v>1773</v>
      </c>
      <c r="C13" s="809">
        <v>120</v>
      </c>
      <c r="D13" s="810">
        <v>0.7</v>
      </c>
      <c r="E13" s="811">
        <f>C13*D13</f>
        <v>84</v>
      </c>
    </row>
    <row r="14" spans="1:5" ht="14.25">
      <c r="A14" s="818">
        <v>7.2</v>
      </c>
      <c r="B14" s="820" t="s">
        <v>1774</v>
      </c>
      <c r="C14" s="809">
        <v>20</v>
      </c>
      <c r="D14" s="810">
        <v>0.6</v>
      </c>
      <c r="E14" s="811">
        <f>C14*D14</f>
        <v>12</v>
      </c>
    </row>
    <row r="15" spans="1:5" ht="28.5">
      <c r="A15" s="818">
        <v>7.3</v>
      </c>
      <c r="B15" s="820" t="s">
        <v>1775</v>
      </c>
      <c r="C15" s="809">
        <v>20</v>
      </c>
      <c r="D15" s="810"/>
      <c r="E15" s="811">
        <f>C15*D15</f>
        <v>0</v>
      </c>
    </row>
    <row r="16" spans="1:5" ht="15">
      <c r="A16" s="807"/>
      <c r="B16" s="812"/>
      <c r="C16" s="809"/>
      <c r="D16" s="810"/>
      <c r="E16" s="811"/>
    </row>
    <row r="17" spans="1:5" ht="15">
      <c r="A17" s="807">
        <v>8</v>
      </c>
      <c r="B17" s="812" t="s">
        <v>1776</v>
      </c>
      <c r="C17" s="809"/>
      <c r="D17" s="810"/>
      <c r="E17" s="811"/>
    </row>
    <row r="18" spans="1:5" ht="14.25">
      <c r="A18" s="818">
        <v>8.1999999999999993</v>
      </c>
      <c r="B18" s="820" t="s">
        <v>1777</v>
      </c>
      <c r="C18" s="809">
        <v>15</v>
      </c>
      <c r="D18" s="810">
        <v>0.7</v>
      </c>
      <c r="E18" s="811">
        <f t="shared" ref="E18:E25" si="0">C18*D18</f>
        <v>10.5</v>
      </c>
    </row>
    <row r="19" spans="1:5" ht="14.25">
      <c r="A19" s="818">
        <v>8.3000000000000007</v>
      </c>
      <c r="B19" s="820" t="s">
        <v>1778</v>
      </c>
      <c r="C19" s="809">
        <v>18</v>
      </c>
      <c r="D19" s="810">
        <v>0.4</v>
      </c>
      <c r="E19" s="811">
        <f t="shared" si="0"/>
        <v>7.2</v>
      </c>
    </row>
    <row r="20" spans="1:5" ht="14.25">
      <c r="A20" s="818">
        <v>8.4</v>
      </c>
      <c r="B20" s="820" t="s">
        <v>1779</v>
      </c>
      <c r="C20" s="809">
        <v>25</v>
      </c>
      <c r="D20" s="810">
        <v>0.6</v>
      </c>
      <c r="E20" s="811">
        <f t="shared" si="0"/>
        <v>15</v>
      </c>
    </row>
    <row r="21" spans="1:5" ht="14.25">
      <c r="A21" s="818">
        <v>8.5</v>
      </c>
      <c r="B21" s="820" t="s">
        <v>1780</v>
      </c>
      <c r="C21" s="809">
        <v>30</v>
      </c>
      <c r="D21" s="810">
        <v>0.6</v>
      </c>
      <c r="E21" s="811">
        <f t="shared" si="0"/>
        <v>18</v>
      </c>
    </row>
    <row r="22" spans="1:5" ht="14.25">
      <c r="A22" s="818">
        <v>8.6</v>
      </c>
      <c r="B22" s="820" t="s">
        <v>1781</v>
      </c>
      <c r="C22" s="809">
        <v>30</v>
      </c>
      <c r="D22" s="810">
        <v>0.7</v>
      </c>
      <c r="E22" s="811">
        <f t="shared" si="0"/>
        <v>21</v>
      </c>
    </row>
    <row r="23" spans="1:5" ht="14.25">
      <c r="A23" s="818">
        <v>8.6999999999999993</v>
      </c>
      <c r="B23" s="820" t="s">
        <v>1782</v>
      </c>
      <c r="C23" s="809">
        <v>40</v>
      </c>
      <c r="D23" s="810">
        <v>0</v>
      </c>
      <c r="E23" s="811">
        <f t="shared" si="0"/>
        <v>0</v>
      </c>
    </row>
    <row r="24" spans="1:5" ht="14.25">
      <c r="A24" s="818">
        <v>8.8000000000000007</v>
      </c>
      <c r="B24" s="821" t="s">
        <v>1783</v>
      </c>
      <c r="C24" s="809">
        <v>40</v>
      </c>
      <c r="D24" s="810">
        <v>0</v>
      </c>
      <c r="E24" s="811">
        <f t="shared" si="0"/>
        <v>0</v>
      </c>
    </row>
    <row r="25" spans="1:5" ht="14.25">
      <c r="A25" s="818">
        <v>8.9</v>
      </c>
      <c r="B25" s="821" t="s">
        <v>1784</v>
      </c>
      <c r="C25" s="809">
        <v>10</v>
      </c>
      <c r="D25" s="810">
        <v>0.6</v>
      </c>
      <c r="E25" s="811">
        <f t="shared" si="0"/>
        <v>6</v>
      </c>
    </row>
    <row r="26" spans="1:5" ht="14.25">
      <c r="A26" s="818"/>
      <c r="B26" s="821"/>
      <c r="C26" s="809"/>
      <c r="D26" s="810"/>
      <c r="E26" s="811"/>
    </row>
    <row r="27" spans="1:5" ht="15">
      <c r="A27" s="807">
        <v>9</v>
      </c>
      <c r="B27" s="808" t="s">
        <v>1785</v>
      </c>
      <c r="C27" s="809"/>
      <c r="D27" s="810"/>
      <c r="E27" s="811"/>
    </row>
    <row r="28" spans="1:5" ht="14.25">
      <c r="A28" s="818">
        <v>9.1</v>
      </c>
      <c r="B28" s="820" t="s">
        <v>1786</v>
      </c>
      <c r="C28" s="809">
        <v>30</v>
      </c>
      <c r="D28" s="810">
        <v>0.9</v>
      </c>
      <c r="E28" s="811">
        <f>C28*D28</f>
        <v>27</v>
      </c>
    </row>
    <row r="29" spans="1:5" ht="14.25">
      <c r="A29" s="818"/>
      <c r="B29" s="822"/>
      <c r="C29" s="809"/>
      <c r="D29" s="810"/>
      <c r="E29" s="823"/>
    </row>
    <row r="30" spans="1:5" ht="15">
      <c r="A30" s="807">
        <v>10</v>
      </c>
      <c r="B30" s="808" t="s">
        <v>1787</v>
      </c>
      <c r="C30" s="809">
        <v>10</v>
      </c>
      <c r="D30" s="810">
        <v>0.8</v>
      </c>
      <c r="E30" s="811">
        <f>C30*D30</f>
        <v>8</v>
      </c>
    </row>
    <row r="31" spans="1:5" ht="15">
      <c r="A31" s="807"/>
      <c r="B31" s="824"/>
      <c r="C31" s="809"/>
      <c r="D31" s="825"/>
      <c r="E31" s="811"/>
    </row>
    <row r="32" spans="1:5" ht="15">
      <c r="A32" s="818"/>
      <c r="B32" s="824" t="s">
        <v>1788</v>
      </c>
      <c r="C32" s="826">
        <f>SUM(C4:C30)</f>
        <v>662.2</v>
      </c>
      <c r="D32" s="827"/>
      <c r="E32" s="828">
        <f>SUM(E4:E30)</f>
        <v>373.21999999999997</v>
      </c>
    </row>
    <row r="33" spans="1:5" ht="28.5">
      <c r="A33" s="818"/>
      <c r="B33" s="829" t="s">
        <v>1789</v>
      </c>
      <c r="C33" s="826"/>
      <c r="D33" s="830"/>
      <c r="E33" s="831">
        <f>E32*0.8</f>
        <v>298.57599999999996</v>
      </c>
    </row>
    <row r="34" spans="1:5" ht="15">
      <c r="A34" s="832"/>
      <c r="B34" s="1163"/>
      <c r="C34" s="1164"/>
      <c r="D34" s="1165"/>
      <c r="E34" s="833"/>
    </row>
    <row r="35" spans="1:5" ht="15">
      <c r="A35" s="834" t="s">
        <v>1790</v>
      </c>
      <c r="B35" s="1157" t="s">
        <v>1791</v>
      </c>
      <c r="C35" s="1158"/>
      <c r="D35" s="1159"/>
      <c r="E35" s="833"/>
    </row>
    <row r="36" spans="1:5" ht="14.25">
      <c r="A36" s="818" t="s">
        <v>1288</v>
      </c>
      <c r="B36" s="1150" t="s">
        <v>1792</v>
      </c>
      <c r="C36" s="1151"/>
      <c r="D36" s="1152"/>
      <c r="E36" s="811">
        <f>E33/0.95</f>
        <v>314.29052631578946</v>
      </c>
    </row>
    <row r="37" spans="1:5" ht="15">
      <c r="A37" s="835" t="s">
        <v>1290</v>
      </c>
      <c r="B37" s="1150" t="s">
        <v>1793</v>
      </c>
      <c r="C37" s="1151"/>
      <c r="D37" s="1152"/>
      <c r="E37" s="842">
        <f>ROUND(E36/0.8,-2)</f>
        <v>400</v>
      </c>
    </row>
    <row r="38" spans="1:5" ht="15">
      <c r="A38" s="836" t="s">
        <v>1794</v>
      </c>
      <c r="B38" s="1160" t="s">
        <v>1795</v>
      </c>
      <c r="C38" s="1161"/>
      <c r="D38" s="1162"/>
      <c r="E38" s="837"/>
    </row>
    <row r="39" spans="1:5" ht="15">
      <c r="A39" s="832"/>
      <c r="B39" s="1163"/>
      <c r="C39" s="1164"/>
      <c r="D39" s="1165"/>
      <c r="E39" s="833"/>
    </row>
    <row r="40" spans="1:5" ht="15">
      <c r="A40" s="834" t="s">
        <v>514</v>
      </c>
      <c r="B40" s="1157" t="s">
        <v>1796</v>
      </c>
      <c r="C40" s="1158"/>
      <c r="D40" s="1159"/>
      <c r="E40" s="823"/>
    </row>
    <row r="41" spans="1:5" ht="14.25">
      <c r="A41" s="818" t="s">
        <v>1288</v>
      </c>
      <c r="B41" s="1150" t="s">
        <v>1797</v>
      </c>
      <c r="C41" s="1151"/>
      <c r="D41" s="1152"/>
      <c r="E41" s="833">
        <f>E33</f>
        <v>298.57599999999996</v>
      </c>
    </row>
    <row r="42" spans="1:5" ht="14.25">
      <c r="A42" s="818" t="s">
        <v>1290</v>
      </c>
      <c r="B42" s="1150" t="s">
        <v>1798</v>
      </c>
      <c r="C42" s="1151"/>
      <c r="D42" s="1152"/>
      <c r="E42" s="811">
        <v>40</v>
      </c>
    </row>
    <row r="43" spans="1:5" ht="14.25">
      <c r="A43" s="818" t="s">
        <v>1439</v>
      </c>
      <c r="B43" s="1150" t="s">
        <v>1799</v>
      </c>
      <c r="C43" s="1151"/>
      <c r="D43" s="1152"/>
      <c r="E43" s="833">
        <f>SUM(E41:E42)</f>
        <v>338.57599999999996</v>
      </c>
    </row>
    <row r="44" spans="1:5" ht="14.25">
      <c r="A44" s="818" t="s">
        <v>1441</v>
      </c>
      <c r="B44" s="1153" t="s">
        <v>1800</v>
      </c>
      <c r="C44" s="1154"/>
      <c r="D44" s="1155"/>
      <c r="E44" s="838">
        <f>E43/0.8</f>
        <v>423.21999999999991</v>
      </c>
    </row>
    <row r="45" spans="1:5" ht="15">
      <c r="A45" s="818" t="s">
        <v>1445</v>
      </c>
      <c r="B45" s="1150" t="s">
        <v>1801</v>
      </c>
      <c r="C45" s="1151"/>
      <c r="D45" s="1152"/>
      <c r="E45" s="839">
        <f>E44/0.85</f>
        <v>497.90588235294109</v>
      </c>
    </row>
    <row r="46" spans="1:5" ht="15.75" thickBot="1">
      <c r="A46" s="840"/>
      <c r="B46" s="1156" t="s">
        <v>1802</v>
      </c>
      <c r="C46" s="1156"/>
      <c r="D46" s="1156"/>
      <c r="E46" s="841"/>
    </row>
  </sheetData>
  <mergeCells count="18">
    <mergeCell ref="B34:D34"/>
    <mergeCell ref="A2:A3"/>
    <mergeCell ref="B2:B3"/>
    <mergeCell ref="C2:C3"/>
    <mergeCell ref="D2:D3"/>
    <mergeCell ref="E2:E3"/>
    <mergeCell ref="B46:D46"/>
    <mergeCell ref="B35:D35"/>
    <mergeCell ref="B36:D36"/>
    <mergeCell ref="B37:D37"/>
    <mergeCell ref="B38:D38"/>
    <mergeCell ref="B39:D39"/>
    <mergeCell ref="B40:D40"/>
    <mergeCell ref="B41:D41"/>
    <mergeCell ref="B42:D42"/>
    <mergeCell ref="B43:D43"/>
    <mergeCell ref="B44:D44"/>
    <mergeCell ref="B45:D45"/>
  </mergeCell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89D3-B5E5-4DA1-B9CF-7B57009D0340}">
  <dimension ref="A3:S38"/>
  <sheetViews>
    <sheetView topLeftCell="A21" workbookViewId="0">
      <selection activeCell="I27" sqref="I27"/>
    </sheetView>
  </sheetViews>
  <sheetFormatPr defaultRowHeight="12.75"/>
  <cols>
    <col min="1" max="1" width="14.85546875" bestFit="1" customWidth="1"/>
    <col min="2" max="3" width="11.140625" bestFit="1" customWidth="1"/>
    <col min="4" max="4" width="56" customWidth="1"/>
  </cols>
  <sheetData>
    <row r="3" spans="1:4">
      <c r="A3" s="936" t="s">
        <v>481</v>
      </c>
      <c r="B3" s="936" t="s">
        <v>1803</v>
      </c>
      <c r="C3" s="936" t="s">
        <v>1804</v>
      </c>
      <c r="D3" s="936"/>
    </row>
    <row r="4" spans="1:4">
      <c r="A4" s="936" t="s">
        <v>486</v>
      </c>
      <c r="B4" s="936">
        <v>7427.52</v>
      </c>
      <c r="C4" s="935" t="s">
        <v>1805</v>
      </c>
      <c r="D4" s="936"/>
    </row>
    <row r="5" spans="1:4">
      <c r="A5" s="936" t="s">
        <v>1806</v>
      </c>
      <c r="B5" s="936">
        <v>7297.6</v>
      </c>
      <c r="C5" s="935" t="s">
        <v>1805</v>
      </c>
      <c r="D5" s="936"/>
    </row>
    <row r="6" spans="1:4">
      <c r="A6" s="936" t="s">
        <v>1807</v>
      </c>
      <c r="B6" s="936">
        <v>7558.31</v>
      </c>
      <c r="C6" s="935" t="s">
        <v>1805</v>
      </c>
      <c r="D6" s="936"/>
    </row>
    <row r="7" spans="1:4">
      <c r="A7" s="936" t="s">
        <v>1808</v>
      </c>
      <c r="B7" s="936">
        <v>8023.74</v>
      </c>
      <c r="C7" s="935" t="s">
        <v>1805</v>
      </c>
      <c r="D7" s="936"/>
    </row>
    <row r="8" spans="1:4">
      <c r="A8" s="936" t="s">
        <v>1809</v>
      </c>
      <c r="B8" s="936">
        <v>8055.82</v>
      </c>
      <c r="C8" s="935" t="s">
        <v>1805</v>
      </c>
      <c r="D8" s="936"/>
    </row>
    <row r="9" spans="1:4">
      <c r="A9" s="936" t="s">
        <v>1810</v>
      </c>
      <c r="B9" s="936">
        <v>7496.09</v>
      </c>
      <c r="C9" s="935" t="s">
        <v>1805</v>
      </c>
      <c r="D9" s="936"/>
    </row>
    <row r="10" spans="1:4">
      <c r="A10" s="936" t="s">
        <v>1811</v>
      </c>
      <c r="B10" s="936">
        <v>6326.38</v>
      </c>
      <c r="C10" s="935" t="s">
        <v>1805</v>
      </c>
      <c r="D10" s="936"/>
    </row>
    <row r="11" spans="1:4">
      <c r="A11" s="936"/>
      <c r="B11" s="936"/>
      <c r="C11" s="936"/>
      <c r="D11" s="936"/>
    </row>
    <row r="17" spans="1:19">
      <c r="A17" t="s">
        <v>1812</v>
      </c>
    </row>
    <row r="18" spans="1:19" ht="54.75" customHeight="1">
      <c r="A18" s="947" t="s">
        <v>1813</v>
      </c>
      <c r="B18" s="947" t="s">
        <v>1814</v>
      </c>
      <c r="C18" s="947" t="s">
        <v>1815</v>
      </c>
      <c r="D18" s="947" t="s">
        <v>1816</v>
      </c>
      <c r="L18" s="940"/>
      <c r="M18" s="940"/>
      <c r="N18" s="940"/>
      <c r="O18" s="941"/>
      <c r="P18" s="940"/>
      <c r="Q18" s="940"/>
      <c r="R18" s="940"/>
      <c r="S18" s="941"/>
    </row>
    <row r="19" spans="1:19" ht="25.5">
      <c r="A19" s="939">
        <v>1</v>
      </c>
      <c r="B19" s="948" t="s">
        <v>1817</v>
      </c>
      <c r="C19" s="939">
        <v>0</v>
      </c>
      <c r="D19" s="949" t="s">
        <v>1818</v>
      </c>
      <c r="L19" s="942"/>
      <c r="M19" s="942"/>
      <c r="N19" s="942"/>
      <c r="O19" s="943"/>
      <c r="P19" s="942"/>
      <c r="Q19" s="942"/>
      <c r="R19" s="942"/>
      <c r="S19" s="943"/>
    </row>
    <row r="20" spans="1:19" ht="94.5" customHeight="1">
      <c r="A20" s="939">
        <f>A19+1</f>
        <v>2</v>
      </c>
      <c r="B20" s="948" t="s">
        <v>1819</v>
      </c>
      <c r="C20" s="939">
        <v>0</v>
      </c>
      <c r="D20" s="949" t="s">
        <v>1820</v>
      </c>
      <c r="L20" s="942"/>
      <c r="M20" s="942"/>
      <c r="N20" s="942"/>
      <c r="O20" s="944"/>
      <c r="P20" s="942"/>
      <c r="Q20" s="942"/>
      <c r="R20" s="942"/>
      <c r="S20" s="944"/>
    </row>
    <row r="21" spans="1:19" ht="85.5" customHeight="1">
      <c r="A21" s="939">
        <f t="shared" ref="A21:A28" si="0">A20+1</f>
        <v>3</v>
      </c>
      <c r="B21" s="948" t="s">
        <v>1821</v>
      </c>
      <c r="C21" s="939">
        <v>8</v>
      </c>
      <c r="D21" s="949" t="s">
        <v>1822</v>
      </c>
      <c r="L21" s="940"/>
      <c r="M21" s="940"/>
      <c r="N21" s="940"/>
      <c r="O21" s="945"/>
      <c r="P21" s="940"/>
      <c r="Q21" s="940"/>
      <c r="R21" s="940"/>
      <c r="S21" s="945"/>
    </row>
    <row r="22" spans="1:19" ht="102">
      <c r="A22" s="939">
        <f t="shared" si="0"/>
        <v>4</v>
      </c>
      <c r="B22" s="948" t="s">
        <v>1823</v>
      </c>
      <c r="C22" s="939">
        <v>0</v>
      </c>
      <c r="D22" s="949" t="s">
        <v>1824</v>
      </c>
      <c r="L22" s="942"/>
      <c r="M22" s="942"/>
      <c r="N22" s="942"/>
      <c r="O22" s="943"/>
      <c r="P22" s="942"/>
      <c r="Q22" s="942"/>
      <c r="R22" s="942"/>
      <c r="S22" s="943"/>
    </row>
    <row r="23" spans="1:19" ht="22.5" customHeight="1">
      <c r="A23" s="939">
        <v>5</v>
      </c>
      <c r="B23" s="948" t="s">
        <v>1825</v>
      </c>
      <c r="C23" s="939">
        <v>30</v>
      </c>
      <c r="D23" s="948" t="s">
        <v>1826</v>
      </c>
      <c r="L23" s="942"/>
      <c r="M23" s="942"/>
      <c r="N23" s="942"/>
      <c r="O23" s="944"/>
      <c r="P23" s="942"/>
      <c r="Q23" s="942"/>
      <c r="R23" s="942"/>
      <c r="S23" s="944"/>
    </row>
    <row r="24" spans="1:19" ht="15" customHeight="1">
      <c r="A24" s="939">
        <f t="shared" si="0"/>
        <v>6</v>
      </c>
      <c r="B24" s="948" t="s">
        <v>1827</v>
      </c>
      <c r="C24" s="939">
        <v>32</v>
      </c>
      <c r="D24" s="939"/>
      <c r="L24" s="940"/>
      <c r="M24" s="940"/>
      <c r="N24" s="940"/>
      <c r="O24" s="945"/>
      <c r="P24" s="940"/>
      <c r="Q24" s="940"/>
      <c r="R24" s="940"/>
      <c r="S24" s="945"/>
    </row>
    <row r="25" spans="1:19" ht="14.25" customHeight="1">
      <c r="A25" s="939">
        <f t="shared" si="0"/>
        <v>7</v>
      </c>
      <c r="B25" s="948" t="s">
        <v>1828</v>
      </c>
      <c r="C25" s="939">
        <v>30</v>
      </c>
      <c r="D25" s="948" t="s">
        <v>1826</v>
      </c>
      <c r="L25" s="942"/>
      <c r="M25" s="942"/>
      <c r="N25" s="942"/>
      <c r="O25" s="943"/>
      <c r="P25" s="942"/>
      <c r="Q25" s="942"/>
      <c r="R25" s="942"/>
      <c r="S25" s="943"/>
    </row>
    <row r="26" spans="1:19" ht="15" customHeight="1">
      <c r="A26" s="939">
        <f t="shared" si="0"/>
        <v>8</v>
      </c>
      <c r="B26" s="948" t="s">
        <v>1829</v>
      </c>
      <c r="C26" s="939">
        <v>32</v>
      </c>
      <c r="D26" s="939"/>
      <c r="L26" s="942"/>
      <c r="M26" s="942"/>
      <c r="N26" s="942"/>
      <c r="O26" s="944"/>
      <c r="P26" s="942"/>
      <c r="Q26" s="942"/>
      <c r="R26" s="942"/>
      <c r="S26" s="944"/>
    </row>
    <row r="27" spans="1:19" ht="15" customHeight="1">
      <c r="A27" s="939">
        <f t="shared" si="0"/>
        <v>9</v>
      </c>
      <c r="B27" s="948" t="s">
        <v>1830</v>
      </c>
      <c r="C27" s="939">
        <v>31</v>
      </c>
      <c r="D27" s="948" t="s">
        <v>1831</v>
      </c>
      <c r="L27" s="940"/>
      <c r="M27" s="940"/>
      <c r="N27" s="940"/>
      <c r="O27" s="945"/>
      <c r="P27" s="940"/>
      <c r="Q27" s="940"/>
      <c r="R27" s="940"/>
      <c r="S27" s="945"/>
    </row>
    <row r="28" spans="1:19" ht="15" customHeight="1">
      <c r="A28" s="939">
        <f t="shared" si="0"/>
        <v>10</v>
      </c>
      <c r="B28" s="948" t="s">
        <v>1832</v>
      </c>
      <c r="C28" s="939">
        <v>32</v>
      </c>
      <c r="D28" s="939"/>
      <c r="L28" s="940"/>
      <c r="M28" s="940"/>
      <c r="N28" s="940"/>
      <c r="O28" s="940"/>
      <c r="P28" s="940"/>
      <c r="Q28" s="940"/>
      <c r="R28" s="940"/>
      <c r="S28" s="940"/>
    </row>
    <row r="29" spans="1:19" ht="21">
      <c r="A29" s="938"/>
      <c r="L29" s="940"/>
      <c r="M29" s="940"/>
      <c r="N29" s="940"/>
      <c r="O29" s="946"/>
      <c r="P29" s="940"/>
      <c r="Q29" s="940"/>
      <c r="R29" s="940"/>
      <c r="S29" s="946"/>
    </row>
    <row r="30" spans="1:19" ht="21">
      <c r="A30" s="938"/>
      <c r="L30" s="940"/>
      <c r="M30" s="940"/>
      <c r="N30" s="940"/>
      <c r="O30" s="940"/>
      <c r="P30" s="940"/>
      <c r="Q30" s="940"/>
      <c r="R30" s="940"/>
      <c r="S30" s="940"/>
    </row>
    <row r="31" spans="1:19" ht="21">
      <c r="A31" s="938"/>
      <c r="L31" s="940"/>
      <c r="M31" s="940"/>
      <c r="N31" s="940"/>
      <c r="O31" s="946"/>
      <c r="P31" s="940"/>
      <c r="Q31" s="940"/>
      <c r="R31" s="940"/>
      <c r="S31" s="946"/>
    </row>
    <row r="32" spans="1:19" ht="21">
      <c r="A32" s="938"/>
      <c r="L32" s="940"/>
      <c r="M32" s="940"/>
      <c r="N32" s="940"/>
      <c r="O32" s="940"/>
      <c r="P32" s="940"/>
      <c r="Q32" s="940"/>
      <c r="R32" s="940"/>
      <c r="S32" s="940"/>
    </row>
    <row r="33" spans="1:19" ht="21">
      <c r="A33" s="938"/>
      <c r="L33" s="940"/>
      <c r="M33" s="940"/>
      <c r="N33" s="940"/>
      <c r="O33" s="946"/>
      <c r="P33" s="940"/>
      <c r="Q33" s="940"/>
      <c r="R33" s="940"/>
      <c r="S33" s="946"/>
    </row>
    <row r="34" spans="1:19" ht="21">
      <c r="A34" s="938"/>
      <c r="L34" s="940"/>
      <c r="M34" s="940"/>
      <c r="N34" s="940"/>
      <c r="O34" s="940"/>
      <c r="P34" s="940"/>
      <c r="Q34" s="940"/>
      <c r="R34" s="940"/>
      <c r="S34" s="940"/>
    </row>
    <row r="35" spans="1:19" ht="21">
      <c r="A35" s="938"/>
      <c r="L35" s="940"/>
      <c r="M35" s="940"/>
      <c r="N35" s="940"/>
      <c r="O35" s="940"/>
      <c r="P35" s="940"/>
      <c r="Q35" s="940"/>
      <c r="R35" s="940"/>
      <c r="S35" s="940"/>
    </row>
    <row r="36" spans="1:19" ht="15.75">
      <c r="A36" s="938"/>
      <c r="L36" s="946"/>
      <c r="M36" s="946"/>
      <c r="N36" s="946"/>
      <c r="O36" s="946"/>
      <c r="P36" s="946"/>
      <c r="Q36" s="946"/>
      <c r="R36" s="946"/>
      <c r="S36" s="946"/>
    </row>
    <row r="37" spans="1:19" ht="21">
      <c r="A37" s="938"/>
      <c r="L37" s="946"/>
      <c r="M37" s="940"/>
      <c r="N37" s="940"/>
      <c r="O37" s="946"/>
      <c r="P37" s="946"/>
      <c r="Q37" s="940"/>
      <c r="R37" s="940"/>
      <c r="S37" s="946"/>
    </row>
    <row r="38" spans="1:19">
      <c r="A38" s="938"/>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E97D-683D-4DB7-A6EC-889FC4BCE0FD}">
  <dimension ref="A3:L36"/>
  <sheetViews>
    <sheetView topLeftCell="A16" workbookViewId="0">
      <selection activeCell="J39" sqref="J39"/>
    </sheetView>
  </sheetViews>
  <sheetFormatPr defaultRowHeight="12.75"/>
  <cols>
    <col min="1" max="16384" width="9.140625" style="843"/>
  </cols>
  <sheetData>
    <row r="3" spans="1:11">
      <c r="F3" s="844" t="s">
        <v>1833</v>
      </c>
    </row>
    <row r="4" spans="1:11">
      <c r="F4" s="845" t="s">
        <v>1834</v>
      </c>
    </row>
    <row r="6" spans="1:11">
      <c r="E6" s="846" t="s">
        <v>1835</v>
      </c>
    </row>
    <row r="8" spans="1:11">
      <c r="A8" s="847" t="s">
        <v>1836</v>
      </c>
      <c r="B8" s="1174" t="s">
        <v>1837</v>
      </c>
      <c r="C8" s="1175"/>
      <c r="D8" s="1175"/>
      <c r="E8" s="1175"/>
      <c r="F8" s="1175"/>
      <c r="G8" s="1176"/>
      <c r="H8" s="848"/>
      <c r="I8" s="1177" t="s">
        <v>1838</v>
      </c>
      <c r="J8" s="1178"/>
      <c r="K8" s="849"/>
    </row>
    <row r="9" spans="1:11">
      <c r="A9" s="850"/>
      <c r="B9" s="1179"/>
      <c r="C9" s="1179"/>
      <c r="D9" s="1179"/>
      <c r="E9" s="1179"/>
      <c r="F9" s="1179"/>
      <c r="G9" s="1179"/>
      <c r="H9" s="851"/>
      <c r="I9" s="1180"/>
      <c r="J9" s="1181"/>
      <c r="K9" s="852"/>
    </row>
    <row r="10" spans="1:11">
      <c r="A10" s="850">
        <v>1</v>
      </c>
      <c r="B10" s="1179" t="s">
        <v>1839</v>
      </c>
      <c r="C10" s="1179"/>
      <c r="D10" s="1179"/>
      <c r="E10" s="1179"/>
      <c r="F10" s="1179"/>
      <c r="G10" s="1179"/>
      <c r="H10" s="853"/>
      <c r="I10" s="1182">
        <f>1500*0.8</f>
        <v>1200</v>
      </c>
      <c r="J10" s="1183"/>
      <c r="K10" s="854"/>
    </row>
    <row r="11" spans="1:11">
      <c r="A11" s="850"/>
      <c r="B11" s="1184" t="s">
        <v>347</v>
      </c>
      <c r="C11" s="1184"/>
      <c r="D11" s="1184"/>
      <c r="E11" s="1184"/>
      <c r="F11" s="1184"/>
      <c r="G11" s="1184"/>
      <c r="H11" s="853"/>
      <c r="I11" s="1185">
        <f>+I10</f>
        <v>1200</v>
      </c>
      <c r="J11" s="1186"/>
      <c r="K11" s="855"/>
    </row>
    <row r="15" spans="1:11">
      <c r="A15" s="856" t="s">
        <v>1840</v>
      </c>
    </row>
    <row r="16" spans="1:11">
      <c r="A16" s="843" t="s">
        <v>1841</v>
      </c>
      <c r="J16" s="843">
        <f>I11*16*365</f>
        <v>7008000</v>
      </c>
    </row>
    <row r="18" spans="1:12">
      <c r="A18" s="843" t="s">
        <v>1842</v>
      </c>
      <c r="J18" s="857">
        <f>8</f>
        <v>8</v>
      </c>
      <c r="K18" s="857"/>
    </row>
    <row r="19" spans="1:12">
      <c r="A19" s="843" t="s">
        <v>1843</v>
      </c>
      <c r="J19" s="857">
        <f>145</f>
        <v>145</v>
      </c>
    </row>
    <row r="20" spans="1:12">
      <c r="A20" s="843" t="s">
        <v>1844</v>
      </c>
      <c r="J20" s="857">
        <v>0.8</v>
      </c>
      <c r="K20" s="843" t="s">
        <v>1845</v>
      </c>
    </row>
    <row r="21" spans="1:12">
      <c r="J21" s="857"/>
    </row>
    <row r="22" spans="1:12" ht="21.75">
      <c r="J22" s="858" t="s">
        <v>1846</v>
      </c>
    </row>
    <row r="23" spans="1:12">
      <c r="A23" s="843" t="s">
        <v>1847</v>
      </c>
      <c r="J23" s="857">
        <f>(J16*J18*J20)/100000</f>
        <v>448.512</v>
      </c>
    </row>
    <row r="24" spans="1:12">
      <c r="A24" s="843" t="s">
        <v>1848</v>
      </c>
    </row>
    <row r="25" spans="1:12">
      <c r="A25" s="843" t="s">
        <v>1849</v>
      </c>
      <c r="J25" s="857">
        <f>(61*20*2*365)/100000</f>
        <v>8.9060000000000006</v>
      </c>
    </row>
    <row r="26" spans="1:12" ht="13.5" thickBot="1">
      <c r="F26" s="859" t="s">
        <v>347</v>
      </c>
      <c r="J26" s="860">
        <f>SUM(J23:J25)</f>
        <v>457.41800000000001</v>
      </c>
    </row>
    <row r="27" spans="1:12" ht="13.5" thickTop="1"/>
    <row r="29" spans="1:12">
      <c r="E29" s="861" t="s">
        <v>1850</v>
      </c>
    </row>
    <row r="31" spans="1:12">
      <c r="A31" s="1187" t="s">
        <v>193</v>
      </c>
      <c r="B31" s="1187"/>
      <c r="C31" s="1187"/>
      <c r="D31" s="1187"/>
      <c r="E31" s="1020" t="s">
        <v>1851</v>
      </c>
      <c r="F31" s="1020" t="s">
        <v>1852</v>
      </c>
      <c r="G31" s="1020" t="s">
        <v>1853</v>
      </c>
      <c r="H31" s="1020" t="s">
        <v>1854</v>
      </c>
      <c r="I31" s="1020" t="s">
        <v>1855</v>
      </c>
      <c r="J31" s="853" t="s">
        <v>1856</v>
      </c>
      <c r="K31" s="862" t="s">
        <v>1857</v>
      </c>
      <c r="L31" s="862" t="s">
        <v>1858</v>
      </c>
    </row>
    <row r="32" spans="1:12">
      <c r="A32" s="1179" t="s">
        <v>1859</v>
      </c>
      <c r="B32" s="1179"/>
      <c r="C32" s="1179"/>
      <c r="D32" s="1179"/>
      <c r="E32" s="863">
        <f>'P  L '!D18</f>
        <v>0.4</v>
      </c>
      <c r="F32" s="863">
        <f>'P  L '!E18</f>
        <v>0.4</v>
      </c>
      <c r="G32" s="863">
        <f>'P  L '!F18</f>
        <v>0.45</v>
      </c>
      <c r="H32" s="863">
        <f>'P  L '!G18</f>
        <v>0.5</v>
      </c>
      <c r="I32" s="863">
        <f>'P  L '!H18</f>
        <v>0.55000000000000004</v>
      </c>
      <c r="J32" s="863">
        <f>'P  L '!I18</f>
        <v>0.60000000000000009</v>
      </c>
      <c r="K32" s="863">
        <f>'P  L '!J18</f>
        <v>0.65000000000000013</v>
      </c>
      <c r="L32" s="863">
        <f>'P  L '!K18</f>
        <v>0.70000000000000018</v>
      </c>
    </row>
    <row r="33" spans="1:12">
      <c r="A33" s="1179" t="s">
        <v>1860</v>
      </c>
      <c r="B33" s="1179"/>
      <c r="C33" s="1179"/>
      <c r="D33" s="1179"/>
      <c r="E33" s="864">
        <f>$J$26*E32</f>
        <v>182.96720000000002</v>
      </c>
      <c r="F33" s="864">
        <f t="shared" ref="F33:K33" si="0">$J$26*F32</f>
        <v>182.96720000000002</v>
      </c>
      <c r="G33" s="864">
        <f t="shared" si="0"/>
        <v>205.8381</v>
      </c>
      <c r="H33" s="864">
        <f t="shared" si="0"/>
        <v>228.709</v>
      </c>
      <c r="I33" s="864">
        <f t="shared" si="0"/>
        <v>251.57990000000004</v>
      </c>
      <c r="J33" s="865">
        <f t="shared" si="0"/>
        <v>274.45080000000007</v>
      </c>
      <c r="K33" s="866">
        <f t="shared" si="0"/>
        <v>297.32170000000008</v>
      </c>
      <c r="L33" s="866">
        <f>$J$26*L32</f>
        <v>320.19260000000008</v>
      </c>
    </row>
    <row r="34" spans="1:12">
      <c r="A34" s="1179" t="s">
        <v>1861</v>
      </c>
      <c r="B34" s="1179"/>
      <c r="C34" s="1179"/>
      <c r="D34" s="1179"/>
      <c r="E34" s="867">
        <f>(J19*12)/100000</f>
        <v>1.7399999999999999E-2</v>
      </c>
      <c r="F34" s="867">
        <f>(+J19*12)/100000</f>
        <v>1.7399999999999999E-2</v>
      </c>
      <c r="G34" s="867">
        <f t="shared" ref="G34:L34" si="1">F34</f>
        <v>1.7399999999999999E-2</v>
      </c>
      <c r="H34" s="867">
        <f t="shared" si="1"/>
        <v>1.7399999999999999E-2</v>
      </c>
      <c r="I34" s="867">
        <f t="shared" si="1"/>
        <v>1.7399999999999999E-2</v>
      </c>
      <c r="J34" s="868">
        <f t="shared" si="1"/>
        <v>1.7399999999999999E-2</v>
      </c>
      <c r="K34" s="869">
        <f t="shared" si="1"/>
        <v>1.7399999999999999E-2</v>
      </c>
      <c r="L34" s="869">
        <f t="shared" si="1"/>
        <v>1.7399999999999999E-2</v>
      </c>
    </row>
    <row r="35" spans="1:12">
      <c r="A35" s="1179"/>
      <c r="B35" s="1179"/>
      <c r="C35" s="1179"/>
      <c r="D35" s="1179"/>
      <c r="E35" s="850"/>
      <c r="F35" s="850"/>
      <c r="G35" s="850"/>
      <c r="H35" s="850"/>
      <c r="I35" s="850"/>
      <c r="J35" s="851"/>
      <c r="K35" s="870"/>
      <c r="L35" s="870"/>
    </row>
    <row r="36" spans="1:12">
      <c r="A36" s="1184" t="s">
        <v>1862</v>
      </c>
      <c r="B36" s="1184"/>
      <c r="C36" s="1184"/>
      <c r="D36" s="1184"/>
      <c r="E36" s="871">
        <f t="shared" ref="E36:L36" si="2">SUM(E33:E34)</f>
        <v>182.98460000000003</v>
      </c>
      <c r="F36" s="871">
        <f t="shared" si="2"/>
        <v>182.98460000000003</v>
      </c>
      <c r="G36" s="871">
        <f t="shared" si="2"/>
        <v>205.85550000000001</v>
      </c>
      <c r="H36" s="871">
        <f t="shared" si="2"/>
        <v>228.72640000000001</v>
      </c>
      <c r="I36" s="871">
        <f t="shared" si="2"/>
        <v>251.59730000000005</v>
      </c>
      <c r="J36" s="872">
        <f t="shared" si="2"/>
        <v>274.46820000000008</v>
      </c>
      <c r="K36" s="873">
        <f t="shared" si="2"/>
        <v>297.33910000000009</v>
      </c>
      <c r="L36" s="873">
        <f t="shared" si="2"/>
        <v>320.21000000000009</v>
      </c>
    </row>
  </sheetData>
  <mergeCells count="14">
    <mergeCell ref="A35:D35"/>
    <mergeCell ref="A36:D36"/>
    <mergeCell ref="B11:G11"/>
    <mergeCell ref="I11:J11"/>
    <mergeCell ref="A31:D31"/>
    <mergeCell ref="A32:D32"/>
    <mergeCell ref="A33:D33"/>
    <mergeCell ref="A34:D34"/>
    <mergeCell ref="B8:G8"/>
    <mergeCell ref="I8:J8"/>
    <mergeCell ref="B9:G9"/>
    <mergeCell ref="I9:J9"/>
    <mergeCell ref="B10:G10"/>
    <mergeCell ref="I10:J10"/>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FA1A-12BF-4C43-A849-E5C892C26F87}">
  <dimension ref="A1:J235"/>
  <sheetViews>
    <sheetView view="pageBreakPreview" topLeftCell="A116" zoomScaleNormal="100" zoomScaleSheetLayoutView="100" workbookViewId="0">
      <selection activeCell="G130" sqref="G130"/>
    </sheetView>
  </sheetViews>
  <sheetFormatPr defaultRowHeight="12.75"/>
  <cols>
    <col min="1" max="1" width="9.28515625" style="378" bestFit="1" customWidth="1"/>
    <col min="2" max="2" width="25.140625" style="378" customWidth="1"/>
    <col min="3" max="3" width="15.85546875" style="378" customWidth="1"/>
    <col min="4" max="4" width="14" style="378" customWidth="1"/>
    <col min="5" max="5" width="15.140625" style="378" customWidth="1"/>
    <col min="6" max="6" width="14.5703125" style="378" bestFit="1" customWidth="1"/>
    <col min="7" max="7" width="16.28515625" style="378" bestFit="1" customWidth="1"/>
    <col min="8" max="8" width="11.140625" style="378" bestFit="1" customWidth="1"/>
    <col min="9" max="9" width="11.7109375" style="378" bestFit="1" customWidth="1"/>
    <col min="10" max="16384" width="9.140625" style="378"/>
  </cols>
  <sheetData>
    <row r="1" spans="1:7">
      <c r="A1" s="1203" t="s">
        <v>1863</v>
      </c>
      <c r="B1" s="1203"/>
      <c r="C1" s="1203"/>
      <c r="D1" s="1203"/>
      <c r="E1" s="1203"/>
    </row>
    <row r="2" spans="1:7">
      <c r="A2" s="955" t="s">
        <v>480</v>
      </c>
      <c r="B2" s="955" t="s">
        <v>481</v>
      </c>
      <c r="C2" s="955" t="s">
        <v>482</v>
      </c>
      <c r="D2" s="955" t="s">
        <v>483</v>
      </c>
      <c r="E2" s="955" t="s">
        <v>484</v>
      </c>
    </row>
    <row r="3" spans="1:7">
      <c r="A3" s="956">
        <v>1</v>
      </c>
      <c r="B3" s="957" t="s">
        <v>485</v>
      </c>
      <c r="C3" s="956">
        <v>3110</v>
      </c>
      <c r="D3" s="956">
        <v>20502.775774919613</v>
      </c>
      <c r="E3" s="958">
        <f>C3*D3</f>
        <v>63763632.659999996</v>
      </c>
    </row>
    <row r="4" spans="1:7">
      <c r="A4" s="956">
        <f>A3+1</f>
        <v>2</v>
      </c>
      <c r="B4" s="957" t="s">
        <v>486</v>
      </c>
      <c r="C4" s="958">
        <v>3014</v>
      </c>
      <c r="D4" s="958">
        <v>12200.774163901791</v>
      </c>
      <c r="E4" s="958">
        <f t="shared" ref="E4:E12" si="0">C4*D4</f>
        <v>36773133.329999998</v>
      </c>
    </row>
    <row r="5" spans="1:7">
      <c r="A5" s="956">
        <f t="shared" ref="A5:A12" si="1">A4+1</f>
        <v>3</v>
      </c>
      <c r="B5" s="957" t="s">
        <v>487</v>
      </c>
      <c r="C5" s="958">
        <v>1039</v>
      </c>
      <c r="D5" s="958">
        <v>12198.307035611164</v>
      </c>
      <c r="E5" s="958">
        <f t="shared" si="0"/>
        <v>12674041.01</v>
      </c>
    </row>
    <row r="6" spans="1:7">
      <c r="A6" s="956">
        <f t="shared" si="1"/>
        <v>4</v>
      </c>
      <c r="B6" s="957" t="s">
        <v>488</v>
      </c>
      <c r="C6" s="958">
        <v>1892.8</v>
      </c>
      <c r="D6" s="958">
        <v>12202.907597210482</v>
      </c>
      <c r="E6" s="958">
        <f t="shared" si="0"/>
        <v>23097663.5</v>
      </c>
    </row>
    <row r="7" spans="1:7">
      <c r="A7" s="956">
        <f t="shared" si="1"/>
        <v>5</v>
      </c>
      <c r="B7" s="957" t="s">
        <v>489</v>
      </c>
      <c r="C7" s="958">
        <v>1430.91</v>
      </c>
      <c r="D7" s="958">
        <v>12197.339706899804</v>
      </c>
      <c r="E7" s="958">
        <f t="shared" si="0"/>
        <v>17453295.359999999</v>
      </c>
    </row>
    <row r="8" spans="1:7">
      <c r="A8" s="956">
        <f t="shared" si="1"/>
        <v>6</v>
      </c>
      <c r="B8" s="957" t="s">
        <v>490</v>
      </c>
      <c r="C8" s="958">
        <v>1365</v>
      </c>
      <c r="D8" s="958">
        <v>12343.413758241759</v>
      </c>
      <c r="E8" s="958">
        <f t="shared" si="0"/>
        <v>16848759.780000001</v>
      </c>
    </row>
    <row r="9" spans="1:7">
      <c r="A9" s="956">
        <f t="shared" si="1"/>
        <v>7</v>
      </c>
      <c r="B9" s="957" t="s">
        <v>491</v>
      </c>
      <c r="C9" s="958">
        <v>1430</v>
      </c>
      <c r="D9" s="958">
        <v>12355.442972027971</v>
      </c>
      <c r="E9" s="958">
        <f t="shared" si="0"/>
        <v>17668283.449999999</v>
      </c>
    </row>
    <row r="10" spans="1:7">
      <c r="A10" s="956">
        <f t="shared" si="1"/>
        <v>8</v>
      </c>
      <c r="B10" s="957" t="s">
        <v>492</v>
      </c>
      <c r="C10" s="958">
        <v>1430</v>
      </c>
      <c r="D10" s="958">
        <v>12355.442972027971</v>
      </c>
      <c r="E10" s="958">
        <f t="shared" si="0"/>
        <v>17668283.449999999</v>
      </c>
      <c r="F10" s="51"/>
    </row>
    <row r="11" spans="1:7">
      <c r="A11" s="956">
        <f t="shared" si="1"/>
        <v>9</v>
      </c>
      <c r="B11" s="957" t="s">
        <v>493</v>
      </c>
      <c r="C11" s="958">
        <v>1430</v>
      </c>
      <c r="D11" s="958">
        <v>12355.442972027971</v>
      </c>
      <c r="E11" s="958">
        <f t="shared" si="0"/>
        <v>17668283.449999999</v>
      </c>
      <c r="F11" s="51"/>
    </row>
    <row r="12" spans="1:7">
      <c r="A12" s="956">
        <f t="shared" si="1"/>
        <v>10</v>
      </c>
      <c r="B12" s="957" t="s">
        <v>494</v>
      </c>
      <c r="C12" s="958">
        <v>1430</v>
      </c>
      <c r="D12" s="958">
        <v>13103.636776223777</v>
      </c>
      <c r="E12" s="958">
        <f t="shared" si="0"/>
        <v>18738200.59</v>
      </c>
      <c r="F12" s="51"/>
    </row>
    <row r="13" spans="1:7">
      <c r="A13" s="956"/>
      <c r="B13" s="959" t="s">
        <v>87</v>
      </c>
      <c r="C13" s="960">
        <f>SUM(C3:C12)</f>
        <v>17571.71</v>
      </c>
      <c r="D13" s="960"/>
      <c r="E13" s="960">
        <f>SUM(E3:E12)</f>
        <v>242353576.57999998</v>
      </c>
      <c r="F13" s="400"/>
    </row>
    <row r="14" spans="1:7">
      <c r="A14" s="936"/>
      <c r="B14" s="936"/>
      <c r="C14" s="936"/>
      <c r="D14" s="936"/>
      <c r="E14" s="936"/>
    </row>
    <row r="15" spans="1:7" ht="13.5" thickBot="1">
      <c r="A15" s="934" t="s">
        <v>1434</v>
      </c>
      <c r="B15" s="934" t="s">
        <v>1864</v>
      </c>
      <c r="C15" s="936"/>
      <c r="D15" s="936"/>
      <c r="E15" s="961">
        <f>E13</f>
        <v>242353576.57999998</v>
      </c>
      <c r="F15" s="891"/>
      <c r="G15" s="400"/>
    </row>
    <row r="16" spans="1:7" ht="13.5" thickTop="1">
      <c r="A16" s="936"/>
      <c r="B16" s="936"/>
      <c r="C16" s="936"/>
      <c r="D16" s="936"/>
      <c r="E16" s="936"/>
    </row>
    <row r="17" spans="1:7">
      <c r="A17" s="936"/>
      <c r="B17" s="936"/>
      <c r="C17" s="936"/>
      <c r="D17" s="936"/>
      <c r="E17" s="936"/>
    </row>
    <row r="18" spans="1:7">
      <c r="A18" s="934" t="s">
        <v>498</v>
      </c>
      <c r="B18" s="934" t="s">
        <v>499</v>
      </c>
      <c r="C18" s="936"/>
      <c r="D18" s="936"/>
      <c r="E18" s="936"/>
    </row>
    <row r="19" spans="1:7">
      <c r="A19" s="936">
        <v>1</v>
      </c>
      <c r="B19" s="935" t="s">
        <v>500</v>
      </c>
      <c r="C19" s="936"/>
      <c r="D19" s="936"/>
      <c r="E19" s="936"/>
    </row>
    <row r="20" spans="1:7">
      <c r="A20" s="936"/>
      <c r="B20" s="935" t="s">
        <v>501</v>
      </c>
      <c r="C20" s="936"/>
      <c r="D20" s="936"/>
      <c r="E20" s="936"/>
    </row>
    <row r="21" spans="1:7" ht="13.5" thickBot="1">
      <c r="A21" s="936"/>
      <c r="B21" s="935" t="s">
        <v>502</v>
      </c>
      <c r="C21" s="936"/>
      <c r="D21" s="936"/>
      <c r="E21" s="961">
        <f>58590000</f>
        <v>58590000</v>
      </c>
      <c r="G21" s="400"/>
    </row>
    <row r="22" spans="1:7" ht="13.5" thickTop="1">
      <c r="A22" s="936"/>
      <c r="B22" s="936"/>
      <c r="C22" s="936"/>
      <c r="D22" s="936"/>
      <c r="E22" s="936"/>
    </row>
    <row r="23" spans="1:7">
      <c r="A23" s="934" t="s">
        <v>505</v>
      </c>
      <c r="B23" s="962" t="s">
        <v>506</v>
      </c>
      <c r="C23" s="963"/>
      <c r="D23" s="963"/>
      <c r="E23" s="963">
        <f>12117678.83</f>
        <v>12117678.83</v>
      </c>
    </row>
    <row r="24" spans="1:7">
      <c r="A24" s="936"/>
      <c r="B24" s="962" t="s">
        <v>508</v>
      </c>
      <c r="C24" s="963"/>
      <c r="D24" s="963"/>
      <c r="E24" s="963">
        <v>19388286.129999999</v>
      </c>
    </row>
    <row r="25" spans="1:7">
      <c r="A25" s="936"/>
      <c r="B25" s="962" t="s">
        <v>509</v>
      </c>
      <c r="C25" s="963"/>
      <c r="D25" s="963"/>
      <c r="E25" s="963">
        <v>6058839.4100000001</v>
      </c>
    </row>
    <row r="26" spans="1:7" ht="13.5" thickBot="1">
      <c r="A26" s="936"/>
      <c r="B26" s="962"/>
      <c r="C26" s="963"/>
      <c r="D26" s="963"/>
      <c r="E26" s="964">
        <f>SUM(E23:E25)</f>
        <v>37564804.370000005</v>
      </c>
    </row>
    <row r="27" spans="1:7" ht="13.5" thickTop="1">
      <c r="B27" s="84"/>
      <c r="C27" s="384"/>
      <c r="D27" s="384"/>
      <c r="E27" s="78"/>
    </row>
    <row r="28" spans="1:7">
      <c r="B28" s="84"/>
      <c r="C28" s="384"/>
      <c r="D28" s="384"/>
      <c r="E28" s="78"/>
    </row>
    <row r="29" spans="1:7">
      <c r="A29" s="914" t="s">
        <v>1865</v>
      </c>
      <c r="B29" s="1191" t="s">
        <v>1866</v>
      </c>
      <c r="C29" s="1189"/>
      <c r="D29" s="1189"/>
      <c r="E29" s="1189"/>
      <c r="F29" s="1190"/>
    </row>
    <row r="30" spans="1:7" ht="90">
      <c r="A30" s="906">
        <v>1</v>
      </c>
      <c r="B30" s="907" t="s">
        <v>1867</v>
      </c>
      <c r="C30" s="908" t="s">
        <v>1868</v>
      </c>
      <c r="D30" s="924">
        <v>220000</v>
      </c>
      <c r="E30" s="927">
        <v>72</v>
      </c>
      <c r="F30" s="908">
        <f t="shared" ref="F30:F35" si="2">D30*E30</f>
        <v>15840000</v>
      </c>
    </row>
    <row r="31" spans="1:7" ht="45">
      <c r="A31" s="916">
        <v>2</v>
      </c>
      <c r="B31" s="907" t="s">
        <v>1869</v>
      </c>
      <c r="C31" s="913" t="s">
        <v>1868</v>
      </c>
      <c r="D31" s="924">
        <v>220000</v>
      </c>
      <c r="E31" s="927">
        <v>10</v>
      </c>
      <c r="F31" s="908">
        <f t="shared" si="2"/>
        <v>2200000</v>
      </c>
    </row>
    <row r="32" spans="1:7" ht="45">
      <c r="A32" s="916">
        <v>3</v>
      </c>
      <c r="B32" s="907" t="s">
        <v>1870</v>
      </c>
      <c r="C32" s="913" t="s">
        <v>1871</v>
      </c>
      <c r="D32" s="924">
        <v>1</v>
      </c>
      <c r="E32" s="927">
        <v>600000</v>
      </c>
      <c r="F32" s="908">
        <f t="shared" si="2"/>
        <v>600000</v>
      </c>
    </row>
    <row r="33" spans="1:9" ht="66.75">
      <c r="A33" s="916">
        <v>4</v>
      </c>
      <c r="B33" s="907" t="s">
        <v>1872</v>
      </c>
      <c r="C33" s="913" t="s">
        <v>1868</v>
      </c>
      <c r="D33" s="924">
        <v>220000</v>
      </c>
      <c r="E33" s="927">
        <v>7</v>
      </c>
      <c r="F33" s="908">
        <f t="shared" si="2"/>
        <v>1540000</v>
      </c>
    </row>
    <row r="34" spans="1:9" ht="66.75">
      <c r="A34" s="916">
        <v>5</v>
      </c>
      <c r="B34" s="907" t="s">
        <v>1873</v>
      </c>
      <c r="C34" s="913" t="s">
        <v>1868</v>
      </c>
      <c r="D34" s="924">
        <v>220000</v>
      </c>
      <c r="E34" s="927">
        <v>6</v>
      </c>
      <c r="F34" s="908">
        <f t="shared" si="2"/>
        <v>1320000</v>
      </c>
    </row>
    <row r="35" spans="1:9" ht="56.25">
      <c r="A35" s="916">
        <v>6</v>
      </c>
      <c r="B35" s="907" t="s">
        <v>1874</v>
      </c>
      <c r="C35" s="913" t="s">
        <v>1875</v>
      </c>
      <c r="D35" s="924">
        <v>360000</v>
      </c>
      <c r="E35" s="927">
        <v>6</v>
      </c>
      <c r="F35" s="908">
        <f t="shared" si="2"/>
        <v>2160000</v>
      </c>
    </row>
    <row r="36" spans="1:9">
      <c r="A36" s="915"/>
      <c r="B36" s="915"/>
      <c r="C36" s="915"/>
      <c r="D36" s="915"/>
      <c r="E36" s="915"/>
      <c r="F36" s="928"/>
    </row>
    <row r="37" spans="1:9" ht="13.5" thickBot="1">
      <c r="A37" s="915"/>
      <c r="B37" s="1188" t="s">
        <v>1876</v>
      </c>
      <c r="C37" s="1189"/>
      <c r="D37" s="1189"/>
      <c r="E37" s="1190"/>
      <c r="F37" s="926">
        <f>SUM(F30:F36)</f>
        <v>23660000</v>
      </c>
    </row>
    <row r="38" spans="1:9" ht="13.5" thickTop="1"/>
    <row r="39" spans="1:9">
      <c r="A39" s="914" t="s">
        <v>1877</v>
      </c>
      <c r="B39" s="1191" t="s">
        <v>1878</v>
      </c>
      <c r="C39" s="1189"/>
      <c r="D39" s="1189"/>
      <c r="E39" s="1189"/>
      <c r="F39" s="1190"/>
    </row>
    <row r="40" spans="1:9">
      <c r="A40" s="915"/>
      <c r="B40" s="915"/>
      <c r="C40" s="915"/>
      <c r="D40" s="915"/>
      <c r="E40" s="915"/>
      <c r="F40" s="915"/>
    </row>
    <row r="41" spans="1:9" ht="99.75">
      <c r="A41" s="906">
        <v>1</v>
      </c>
      <c r="B41" s="907" t="s">
        <v>1879</v>
      </c>
      <c r="C41" s="908" t="s">
        <v>1868</v>
      </c>
      <c r="D41" s="924">
        <v>220000</v>
      </c>
      <c r="E41" s="909">
        <v>25</v>
      </c>
      <c r="F41" s="911">
        <f>D41*E41</f>
        <v>5500000</v>
      </c>
    </row>
    <row r="42" spans="1:9" ht="13.5" thickBot="1">
      <c r="A42" s="915"/>
      <c r="B42" s="1188" t="s">
        <v>1880</v>
      </c>
      <c r="C42" s="1189"/>
      <c r="D42" s="1189"/>
      <c r="E42" s="1190"/>
      <c r="F42" s="926">
        <f>SUM(F41)</f>
        <v>5500000</v>
      </c>
    </row>
    <row r="43" spans="1:9" ht="13.5" thickTop="1"/>
    <row r="44" spans="1:9">
      <c r="A44" s="1204" t="s">
        <v>333</v>
      </c>
      <c r="B44" s="1204"/>
      <c r="C44" s="1204"/>
      <c r="D44" s="1204"/>
      <c r="E44" s="1204"/>
      <c r="F44" s="1204"/>
      <c r="G44" s="1204"/>
      <c r="H44" s="1204"/>
      <c r="I44" s="1204"/>
    </row>
    <row r="45" spans="1:9" ht="25.5">
      <c r="A45" s="132" t="s">
        <v>1881</v>
      </c>
      <c r="B45" s="132" t="s">
        <v>1882</v>
      </c>
      <c r="C45" s="290" t="s">
        <v>1883</v>
      </c>
      <c r="D45" s="132" t="s">
        <v>1884</v>
      </c>
      <c r="E45" s="290" t="s">
        <v>1885</v>
      </c>
      <c r="F45" s="132" t="s">
        <v>1886</v>
      </c>
      <c r="G45" s="885" t="s">
        <v>1887</v>
      </c>
    </row>
    <row r="46" spans="1:9" ht="102">
      <c r="A46" s="884">
        <v>1</v>
      </c>
      <c r="B46" s="883" t="s">
        <v>1888</v>
      </c>
      <c r="C46" s="892">
        <v>1699152</v>
      </c>
      <c r="D46" s="893">
        <f t="shared" ref="D46:D51" si="3">C46*18%</f>
        <v>305847.36</v>
      </c>
      <c r="E46" s="893">
        <f t="shared" ref="E46:E51" si="4">C46+D46</f>
        <v>2004999.3599999999</v>
      </c>
      <c r="F46" s="893">
        <v>1</v>
      </c>
      <c r="G46" s="882">
        <f t="shared" ref="G46:G51" si="5">E46*F46</f>
        <v>2004999.3599999999</v>
      </c>
    </row>
    <row r="47" spans="1:9" ht="102">
      <c r="A47" s="884">
        <v>2</v>
      </c>
      <c r="B47" s="883" t="s">
        <v>1889</v>
      </c>
      <c r="C47" s="892">
        <v>1699152</v>
      </c>
      <c r="D47" s="893">
        <f t="shared" si="3"/>
        <v>305847.36</v>
      </c>
      <c r="E47" s="893">
        <f t="shared" si="4"/>
        <v>2004999.3599999999</v>
      </c>
      <c r="F47" s="893">
        <v>1</v>
      </c>
      <c r="G47" s="882">
        <f t="shared" si="5"/>
        <v>2004999.3599999999</v>
      </c>
    </row>
    <row r="48" spans="1:9" ht="102">
      <c r="A48" s="884">
        <v>3</v>
      </c>
      <c r="B48" s="883" t="s">
        <v>1890</v>
      </c>
      <c r="C48" s="892">
        <v>1699152</v>
      </c>
      <c r="D48" s="893">
        <f t="shared" si="3"/>
        <v>305847.36</v>
      </c>
      <c r="E48" s="893">
        <f t="shared" si="4"/>
        <v>2004999.3599999999</v>
      </c>
      <c r="F48" s="893">
        <v>1</v>
      </c>
      <c r="G48" s="882">
        <f t="shared" si="5"/>
        <v>2004999.3599999999</v>
      </c>
    </row>
    <row r="49" spans="1:7" ht="102">
      <c r="A49" s="884">
        <v>4</v>
      </c>
      <c r="B49" s="883" t="s">
        <v>1891</v>
      </c>
      <c r="C49" s="892">
        <v>1699152</v>
      </c>
      <c r="D49" s="893">
        <f t="shared" si="3"/>
        <v>305847.36</v>
      </c>
      <c r="E49" s="893">
        <f t="shared" si="4"/>
        <v>2004999.3599999999</v>
      </c>
      <c r="F49" s="893">
        <v>1</v>
      </c>
      <c r="G49" s="882">
        <f t="shared" si="5"/>
        <v>2004999.3599999999</v>
      </c>
    </row>
    <row r="50" spans="1:7" ht="102">
      <c r="A50" s="884">
        <v>5</v>
      </c>
      <c r="B50" s="883" t="s">
        <v>1892</v>
      </c>
      <c r="C50" s="892">
        <v>1699152</v>
      </c>
      <c r="D50" s="893">
        <f t="shared" si="3"/>
        <v>305847.36</v>
      </c>
      <c r="E50" s="893">
        <f t="shared" si="4"/>
        <v>2004999.3599999999</v>
      </c>
      <c r="F50" s="893">
        <v>1</v>
      </c>
      <c r="G50" s="882">
        <f t="shared" si="5"/>
        <v>2004999.3599999999</v>
      </c>
    </row>
    <row r="51" spans="1:7" ht="102">
      <c r="A51" s="884">
        <v>6</v>
      </c>
      <c r="B51" s="883" t="s">
        <v>1893</v>
      </c>
      <c r="C51" s="892">
        <v>1699152</v>
      </c>
      <c r="D51" s="893">
        <f t="shared" si="3"/>
        <v>305847.36</v>
      </c>
      <c r="E51" s="893">
        <f t="shared" si="4"/>
        <v>2004999.3599999999</v>
      </c>
      <c r="F51" s="893">
        <v>1</v>
      </c>
      <c r="G51" s="882">
        <f t="shared" si="5"/>
        <v>2004999.3599999999</v>
      </c>
    </row>
    <row r="52" spans="1:7" ht="13.5" thickBot="1">
      <c r="A52" s="884"/>
      <c r="B52" s="884"/>
      <c r="C52" s="884"/>
      <c r="D52" s="884"/>
      <c r="E52" s="132" t="s">
        <v>87</v>
      </c>
      <c r="F52" s="132">
        <f>SUM(F46:F51)</f>
        <v>6</v>
      </c>
      <c r="G52" s="158">
        <f>SUM(G46:G51)</f>
        <v>12029996.159999998</v>
      </c>
    </row>
    <row r="53" spans="1:7" ht="13.5" thickTop="1"/>
    <row r="54" spans="1:7">
      <c r="A54" s="132" t="s">
        <v>1894</v>
      </c>
      <c r="B54" s="132" t="s">
        <v>1895</v>
      </c>
      <c r="C54" s="132" t="s">
        <v>1896</v>
      </c>
      <c r="D54" s="132" t="s">
        <v>1897</v>
      </c>
      <c r="E54" s="132" t="s">
        <v>1898</v>
      </c>
      <c r="F54" s="132" t="s">
        <v>1899</v>
      </c>
      <c r="G54" s="132" t="s">
        <v>1900</v>
      </c>
    </row>
    <row r="55" spans="1:7">
      <c r="A55" s="884"/>
      <c r="B55" s="884" t="s">
        <v>1901</v>
      </c>
      <c r="C55" s="884"/>
      <c r="D55" s="884"/>
      <c r="E55" s="884"/>
      <c r="F55" s="884"/>
      <c r="G55" s="884"/>
    </row>
    <row r="56" spans="1:7">
      <c r="A56" s="884" t="s">
        <v>1902</v>
      </c>
      <c r="B56" s="884" t="s">
        <v>1903</v>
      </c>
      <c r="C56" s="884" t="s">
        <v>1904</v>
      </c>
      <c r="D56" s="884" t="s">
        <v>1905</v>
      </c>
      <c r="E56" s="884">
        <v>3</v>
      </c>
      <c r="F56" s="884">
        <v>30600</v>
      </c>
      <c r="G56" s="884">
        <v>91800</v>
      </c>
    </row>
    <row r="57" spans="1:7">
      <c r="A57" s="884" t="s">
        <v>1906</v>
      </c>
      <c r="B57" s="884" t="s">
        <v>1907</v>
      </c>
      <c r="C57" s="884" t="s">
        <v>1908</v>
      </c>
      <c r="D57" s="884" t="s">
        <v>1905</v>
      </c>
      <c r="E57" s="884">
        <v>1</v>
      </c>
      <c r="F57" s="884">
        <v>25200</v>
      </c>
      <c r="G57" s="884">
        <v>25200</v>
      </c>
    </row>
    <row r="58" spans="1:7">
      <c r="A58" s="884" t="s">
        <v>1909</v>
      </c>
      <c r="B58" s="884" t="s">
        <v>1910</v>
      </c>
      <c r="C58" s="884" t="s">
        <v>1904</v>
      </c>
      <c r="D58" s="884" t="s">
        <v>1905</v>
      </c>
      <c r="E58" s="884">
        <v>2</v>
      </c>
      <c r="F58" s="884">
        <v>30600</v>
      </c>
      <c r="G58" s="884">
        <v>61200</v>
      </c>
    </row>
    <row r="59" spans="1:7">
      <c r="A59" s="884" t="s">
        <v>1911</v>
      </c>
      <c r="B59" s="884" t="s">
        <v>1912</v>
      </c>
      <c r="C59" s="884" t="s">
        <v>1913</v>
      </c>
      <c r="D59" s="884" t="s">
        <v>1905</v>
      </c>
      <c r="E59" s="884">
        <v>1</v>
      </c>
      <c r="F59" s="884">
        <v>40500</v>
      </c>
      <c r="G59" s="884">
        <v>40500</v>
      </c>
    </row>
    <row r="60" spans="1:7">
      <c r="A60" s="884" t="s">
        <v>1914</v>
      </c>
      <c r="B60" s="884" t="s">
        <v>1915</v>
      </c>
      <c r="C60" s="884" t="s">
        <v>1916</v>
      </c>
      <c r="D60" s="884" t="s">
        <v>1905</v>
      </c>
      <c r="E60" s="884">
        <v>1</v>
      </c>
      <c r="F60" s="884">
        <v>45000</v>
      </c>
      <c r="G60" s="884">
        <v>45000</v>
      </c>
    </row>
    <row r="61" spans="1:7">
      <c r="A61" s="884" t="s">
        <v>1917</v>
      </c>
      <c r="B61" s="884" t="s">
        <v>1918</v>
      </c>
      <c r="C61" s="884" t="s">
        <v>1904</v>
      </c>
      <c r="D61" s="884" t="s">
        <v>1905</v>
      </c>
      <c r="E61" s="884">
        <v>10</v>
      </c>
      <c r="F61" s="884">
        <v>30600</v>
      </c>
      <c r="G61" s="884">
        <v>306000</v>
      </c>
    </row>
    <row r="62" spans="1:7">
      <c r="A62" s="884" t="s">
        <v>1919</v>
      </c>
      <c r="B62" s="884" t="s">
        <v>1920</v>
      </c>
      <c r="C62" s="884"/>
      <c r="D62" s="884" t="s">
        <v>1905</v>
      </c>
      <c r="E62" s="884">
        <v>2</v>
      </c>
      <c r="F62" s="884">
        <v>630000</v>
      </c>
      <c r="G62" s="884">
        <v>1260000</v>
      </c>
    </row>
    <row r="63" spans="1:7">
      <c r="A63" s="884" t="s">
        <v>1921</v>
      </c>
      <c r="B63" s="884" t="s">
        <v>1922</v>
      </c>
      <c r="C63" s="884" t="s">
        <v>1923</v>
      </c>
      <c r="D63" s="884" t="s">
        <v>1905</v>
      </c>
      <c r="E63" s="884">
        <v>1</v>
      </c>
      <c r="F63" s="884">
        <v>45000</v>
      </c>
      <c r="G63" s="884">
        <v>45000</v>
      </c>
    </row>
    <row r="64" spans="1:7">
      <c r="A64" s="884" t="s">
        <v>1924</v>
      </c>
      <c r="B64" s="884" t="s">
        <v>1925</v>
      </c>
      <c r="C64" s="884" t="s">
        <v>1926</v>
      </c>
      <c r="D64" s="884" t="s">
        <v>1905</v>
      </c>
      <c r="E64" s="884">
        <v>1</v>
      </c>
      <c r="F64" s="884">
        <v>11700</v>
      </c>
      <c r="G64" s="884">
        <v>11700</v>
      </c>
    </row>
    <row r="65" spans="1:7">
      <c r="A65" s="884" t="s">
        <v>1927</v>
      </c>
      <c r="B65" s="884" t="s">
        <v>1928</v>
      </c>
      <c r="C65" s="884" t="s">
        <v>1929</v>
      </c>
      <c r="D65" s="884" t="s">
        <v>1905</v>
      </c>
      <c r="E65" s="884">
        <v>2</v>
      </c>
      <c r="F65" s="884">
        <v>22500</v>
      </c>
      <c r="G65" s="884">
        <v>45000</v>
      </c>
    </row>
    <row r="66" spans="1:7">
      <c r="A66" s="884" t="s">
        <v>1930</v>
      </c>
      <c r="B66" s="884" t="s">
        <v>1931</v>
      </c>
      <c r="C66" s="884" t="s">
        <v>1929</v>
      </c>
      <c r="D66" s="884" t="s">
        <v>1905</v>
      </c>
      <c r="E66" s="884">
        <v>1</v>
      </c>
      <c r="F66" s="884">
        <v>20700</v>
      </c>
      <c r="G66" s="884">
        <v>20700</v>
      </c>
    </row>
    <row r="67" spans="1:7">
      <c r="A67" s="884" t="s">
        <v>1932</v>
      </c>
      <c r="B67" s="884" t="s">
        <v>1933</v>
      </c>
      <c r="C67" s="884" t="s">
        <v>1934</v>
      </c>
      <c r="D67" s="884" t="s">
        <v>1905</v>
      </c>
      <c r="E67" s="884">
        <v>1</v>
      </c>
      <c r="F67" s="884">
        <v>33900</v>
      </c>
      <c r="G67" s="884">
        <v>33900</v>
      </c>
    </row>
    <row r="68" spans="1:7">
      <c r="A68" s="884"/>
      <c r="B68" s="884" t="s">
        <v>1935</v>
      </c>
      <c r="C68" s="884"/>
      <c r="D68" s="884"/>
      <c r="E68" s="884"/>
      <c r="F68" s="884"/>
      <c r="G68" s="884"/>
    </row>
    <row r="69" spans="1:7">
      <c r="A69" s="884" t="s">
        <v>1936</v>
      </c>
      <c r="B69" s="884" t="s">
        <v>1937</v>
      </c>
      <c r="C69" s="884" t="s">
        <v>1938</v>
      </c>
      <c r="D69" s="884" t="s">
        <v>1905</v>
      </c>
      <c r="E69" s="884">
        <v>1</v>
      </c>
      <c r="F69" s="884">
        <v>90000</v>
      </c>
      <c r="G69" s="884">
        <v>90000</v>
      </c>
    </row>
    <row r="70" spans="1:7">
      <c r="A70" s="884" t="s">
        <v>1939</v>
      </c>
      <c r="B70" s="884" t="s">
        <v>1940</v>
      </c>
      <c r="C70" s="884" t="s">
        <v>1941</v>
      </c>
      <c r="D70" s="884" t="s">
        <v>1905</v>
      </c>
      <c r="E70" s="884">
        <v>1</v>
      </c>
      <c r="F70" s="884">
        <v>15100</v>
      </c>
      <c r="G70" s="884">
        <v>15100</v>
      </c>
    </row>
    <row r="71" spans="1:7">
      <c r="A71" s="884" t="s">
        <v>1942</v>
      </c>
      <c r="B71" s="884" t="s">
        <v>1943</v>
      </c>
      <c r="C71" s="884" t="s">
        <v>1944</v>
      </c>
      <c r="D71" s="884" t="s">
        <v>1905</v>
      </c>
      <c r="E71" s="884">
        <v>1</v>
      </c>
      <c r="F71" s="884">
        <v>30600</v>
      </c>
      <c r="G71" s="884">
        <v>30600</v>
      </c>
    </row>
    <row r="72" spans="1:7">
      <c r="A72" s="884" t="s">
        <v>1945</v>
      </c>
      <c r="B72" s="884" t="s">
        <v>1946</v>
      </c>
      <c r="C72" s="884" t="s">
        <v>1947</v>
      </c>
      <c r="D72" s="884" t="s">
        <v>1905</v>
      </c>
      <c r="E72" s="884">
        <v>1</v>
      </c>
      <c r="F72" s="884">
        <v>35000</v>
      </c>
      <c r="G72" s="884">
        <v>35000</v>
      </c>
    </row>
    <row r="73" spans="1:7">
      <c r="A73" s="884" t="s">
        <v>1948</v>
      </c>
      <c r="B73" s="884" t="s">
        <v>1949</v>
      </c>
      <c r="C73" s="884" t="s">
        <v>1950</v>
      </c>
      <c r="D73" s="884" t="s">
        <v>1905</v>
      </c>
      <c r="E73" s="884">
        <v>1</v>
      </c>
      <c r="F73" s="884">
        <v>9000</v>
      </c>
      <c r="G73" s="884">
        <v>9000</v>
      </c>
    </row>
    <row r="74" spans="1:7">
      <c r="A74" s="884"/>
      <c r="B74" s="884" t="s">
        <v>1951</v>
      </c>
      <c r="C74" s="884"/>
      <c r="D74" s="884"/>
      <c r="E74" s="884"/>
      <c r="F74" s="884"/>
      <c r="G74" s="884"/>
    </row>
    <row r="75" spans="1:7">
      <c r="A75" s="884" t="s">
        <v>1952</v>
      </c>
      <c r="B75" s="884" t="s">
        <v>1953</v>
      </c>
      <c r="C75" s="884" t="s">
        <v>1904</v>
      </c>
      <c r="D75" s="884" t="s">
        <v>1905</v>
      </c>
      <c r="E75" s="884">
        <v>1</v>
      </c>
      <c r="F75" s="884">
        <v>30600</v>
      </c>
      <c r="G75" s="884">
        <v>30600</v>
      </c>
    </row>
    <row r="76" spans="1:7">
      <c r="A76" s="884" t="s">
        <v>1954</v>
      </c>
      <c r="B76" s="884" t="s">
        <v>1955</v>
      </c>
      <c r="C76" s="884" t="s">
        <v>1956</v>
      </c>
      <c r="D76" s="884" t="s">
        <v>1905</v>
      </c>
      <c r="E76" s="884">
        <v>2</v>
      </c>
      <c r="F76" s="884">
        <v>30600</v>
      </c>
      <c r="G76" s="884">
        <v>61200</v>
      </c>
    </row>
    <row r="77" spans="1:7">
      <c r="A77" s="884" t="s">
        <v>1957</v>
      </c>
      <c r="B77" s="884" t="s">
        <v>1958</v>
      </c>
      <c r="C77" s="884" t="s">
        <v>1959</v>
      </c>
      <c r="D77" s="884" t="s">
        <v>1905</v>
      </c>
      <c r="E77" s="884">
        <v>1</v>
      </c>
      <c r="F77" s="884">
        <v>9000</v>
      </c>
      <c r="G77" s="884">
        <v>9000</v>
      </c>
    </row>
    <row r="78" spans="1:7">
      <c r="A78" s="884" t="s">
        <v>1960</v>
      </c>
      <c r="B78" s="884" t="s">
        <v>1961</v>
      </c>
      <c r="C78" s="884" t="s">
        <v>1962</v>
      </c>
      <c r="D78" s="884" t="s">
        <v>1905</v>
      </c>
      <c r="E78" s="884">
        <v>1</v>
      </c>
      <c r="F78" s="884">
        <v>117000</v>
      </c>
      <c r="G78" s="884">
        <v>117000</v>
      </c>
    </row>
    <row r="79" spans="1:7">
      <c r="A79" s="884" t="s">
        <v>1963</v>
      </c>
      <c r="B79" s="884" t="s">
        <v>1964</v>
      </c>
      <c r="C79" s="884" t="s">
        <v>1965</v>
      </c>
      <c r="D79" s="884" t="s">
        <v>1905</v>
      </c>
      <c r="E79" s="884">
        <v>2</v>
      </c>
      <c r="F79" s="884">
        <v>31000</v>
      </c>
      <c r="G79" s="884">
        <v>62000</v>
      </c>
    </row>
    <row r="80" spans="1:7">
      <c r="A80" s="884" t="s">
        <v>1966</v>
      </c>
      <c r="B80" s="884" t="s">
        <v>1967</v>
      </c>
      <c r="C80" s="884" t="s">
        <v>1968</v>
      </c>
      <c r="D80" s="884" t="s">
        <v>1905</v>
      </c>
      <c r="E80" s="884">
        <v>1</v>
      </c>
      <c r="F80" s="884">
        <v>55000</v>
      </c>
      <c r="G80" s="884">
        <v>55000</v>
      </c>
    </row>
    <row r="81" spans="1:7">
      <c r="A81" s="884" t="s">
        <v>1969</v>
      </c>
      <c r="B81" s="884" t="s">
        <v>1967</v>
      </c>
      <c r="C81" s="884" t="s">
        <v>1970</v>
      </c>
      <c r="D81" s="884" t="s">
        <v>1905</v>
      </c>
      <c r="E81" s="884">
        <v>1</v>
      </c>
      <c r="F81" s="884">
        <v>25200</v>
      </c>
      <c r="G81" s="884">
        <v>25200</v>
      </c>
    </row>
    <row r="82" spans="1:7">
      <c r="A82" s="884" t="s">
        <v>1971</v>
      </c>
      <c r="B82" s="884" t="s">
        <v>1964</v>
      </c>
      <c r="C82" s="884" t="s">
        <v>1972</v>
      </c>
      <c r="D82" s="884" t="s">
        <v>1905</v>
      </c>
      <c r="E82" s="884">
        <v>1</v>
      </c>
      <c r="F82" s="884">
        <v>30600</v>
      </c>
      <c r="G82" s="884">
        <v>30600</v>
      </c>
    </row>
    <row r="83" spans="1:7">
      <c r="A83" s="884" t="s">
        <v>1973</v>
      </c>
      <c r="B83" s="884" t="s">
        <v>1974</v>
      </c>
      <c r="C83" s="884" t="s">
        <v>1975</v>
      </c>
      <c r="D83" s="884" t="s">
        <v>1905</v>
      </c>
      <c r="E83" s="884">
        <v>1</v>
      </c>
      <c r="F83" s="884">
        <v>90000</v>
      </c>
      <c r="G83" s="884">
        <v>90000</v>
      </c>
    </row>
    <row r="84" spans="1:7">
      <c r="A84" s="884" t="s">
        <v>1976</v>
      </c>
      <c r="B84" s="884" t="s">
        <v>1977</v>
      </c>
      <c r="C84" s="884" t="s">
        <v>1978</v>
      </c>
      <c r="D84" s="884" t="s">
        <v>1905</v>
      </c>
      <c r="E84" s="884">
        <v>1</v>
      </c>
      <c r="F84" s="884">
        <v>117000</v>
      </c>
      <c r="G84" s="884">
        <v>117000</v>
      </c>
    </row>
    <row r="85" spans="1:7">
      <c r="A85" s="884" t="s">
        <v>1979</v>
      </c>
      <c r="B85" s="884" t="s">
        <v>1980</v>
      </c>
      <c r="C85" s="884" t="s">
        <v>1981</v>
      </c>
      <c r="D85" s="884" t="s">
        <v>1905</v>
      </c>
      <c r="E85" s="884">
        <v>1</v>
      </c>
      <c r="F85" s="884">
        <v>22600</v>
      </c>
      <c r="G85" s="884">
        <v>22600</v>
      </c>
    </row>
    <row r="86" spans="1:7">
      <c r="A86" s="884" t="s">
        <v>1982</v>
      </c>
      <c r="B86" s="884" t="s">
        <v>1983</v>
      </c>
      <c r="C86" s="884" t="s">
        <v>1984</v>
      </c>
      <c r="D86" s="884" t="s">
        <v>1905</v>
      </c>
      <c r="E86" s="884">
        <v>1</v>
      </c>
      <c r="F86" s="884">
        <v>20700</v>
      </c>
      <c r="G86" s="884">
        <v>20700</v>
      </c>
    </row>
    <row r="87" spans="1:7">
      <c r="A87" s="884" t="s">
        <v>1985</v>
      </c>
      <c r="B87" s="884" t="s">
        <v>1949</v>
      </c>
      <c r="C87" s="884" t="s">
        <v>1986</v>
      </c>
      <c r="D87" s="884" t="s">
        <v>1905</v>
      </c>
      <c r="E87" s="884">
        <v>15</v>
      </c>
      <c r="F87" s="884">
        <v>22500</v>
      </c>
      <c r="G87" s="884">
        <v>337500</v>
      </c>
    </row>
    <row r="88" spans="1:7">
      <c r="A88" s="884"/>
      <c r="B88" s="884" t="s">
        <v>1987</v>
      </c>
      <c r="C88" s="884"/>
      <c r="D88" s="884"/>
      <c r="E88" s="884"/>
      <c r="F88" s="884"/>
      <c r="G88" s="884"/>
    </row>
    <row r="89" spans="1:7">
      <c r="A89" s="884" t="s">
        <v>1988</v>
      </c>
      <c r="B89" s="884" t="s">
        <v>1989</v>
      </c>
      <c r="C89" s="884" t="s">
        <v>1990</v>
      </c>
      <c r="D89" s="884" t="s">
        <v>1905</v>
      </c>
      <c r="E89" s="884">
        <v>1</v>
      </c>
      <c r="F89" s="884">
        <v>63900</v>
      </c>
      <c r="G89" s="884">
        <v>63900</v>
      </c>
    </row>
    <row r="90" spans="1:7">
      <c r="A90" s="884" t="s">
        <v>1991</v>
      </c>
      <c r="B90" s="884" t="s">
        <v>1992</v>
      </c>
      <c r="C90" s="884" t="s">
        <v>1993</v>
      </c>
      <c r="D90" s="884" t="s">
        <v>1905</v>
      </c>
      <c r="E90" s="884">
        <v>1</v>
      </c>
      <c r="F90" s="884">
        <v>55800</v>
      </c>
      <c r="G90" s="884">
        <v>55800</v>
      </c>
    </row>
    <row r="91" spans="1:7">
      <c r="A91" s="884" t="s">
        <v>1994</v>
      </c>
      <c r="B91" s="884" t="s">
        <v>1925</v>
      </c>
      <c r="C91" s="884" t="s">
        <v>1995</v>
      </c>
      <c r="D91" s="884" t="s">
        <v>1905</v>
      </c>
      <c r="E91" s="884">
        <v>1</v>
      </c>
      <c r="F91" s="884">
        <v>9100</v>
      </c>
      <c r="G91" s="884">
        <v>9100</v>
      </c>
    </row>
    <row r="92" spans="1:7">
      <c r="A92" s="884" t="s">
        <v>1996</v>
      </c>
      <c r="B92" s="884" t="s">
        <v>1997</v>
      </c>
      <c r="C92" s="884"/>
      <c r="D92" s="884" t="s">
        <v>1905</v>
      </c>
      <c r="E92" s="884">
        <v>1</v>
      </c>
      <c r="F92" s="884">
        <v>25200</v>
      </c>
      <c r="G92" s="884">
        <v>25200</v>
      </c>
    </row>
    <row r="93" spans="1:7">
      <c r="A93" s="884"/>
      <c r="B93" s="884" t="s">
        <v>1998</v>
      </c>
      <c r="C93" s="884"/>
      <c r="D93" s="884"/>
      <c r="E93" s="884"/>
      <c r="F93" s="884"/>
      <c r="G93" s="884"/>
    </row>
    <row r="94" spans="1:7">
      <c r="A94" s="884" t="s">
        <v>1999</v>
      </c>
      <c r="B94" s="884" t="s">
        <v>2000</v>
      </c>
      <c r="C94" s="884" t="s">
        <v>2001</v>
      </c>
      <c r="D94" s="884" t="s">
        <v>1905</v>
      </c>
      <c r="E94" s="884">
        <v>3</v>
      </c>
      <c r="F94" s="884">
        <v>126000</v>
      </c>
      <c r="G94" s="884">
        <v>378000</v>
      </c>
    </row>
    <row r="95" spans="1:7">
      <c r="A95" s="884" t="s">
        <v>2002</v>
      </c>
      <c r="B95" s="884" t="s">
        <v>2003</v>
      </c>
      <c r="C95" s="884" t="s">
        <v>2004</v>
      </c>
      <c r="D95" s="884" t="s">
        <v>1905</v>
      </c>
      <c r="E95" s="884">
        <v>1</v>
      </c>
      <c r="F95" s="884">
        <v>23100</v>
      </c>
      <c r="G95" s="884">
        <v>23100</v>
      </c>
    </row>
    <row r="96" spans="1:7">
      <c r="A96" s="884" t="s">
        <v>2005</v>
      </c>
      <c r="B96" s="884" t="s">
        <v>2006</v>
      </c>
      <c r="C96" s="884" t="s">
        <v>2007</v>
      </c>
      <c r="D96" s="884" t="s">
        <v>1905</v>
      </c>
      <c r="E96" s="884">
        <v>3</v>
      </c>
      <c r="F96" s="884">
        <v>153000</v>
      </c>
      <c r="G96" s="884">
        <v>459000</v>
      </c>
    </row>
    <row r="97" spans="1:7">
      <c r="A97" s="884" t="s">
        <v>2008</v>
      </c>
      <c r="B97" s="884" t="s">
        <v>2006</v>
      </c>
      <c r="C97" s="884" t="s">
        <v>2009</v>
      </c>
      <c r="D97" s="884" t="s">
        <v>1905</v>
      </c>
      <c r="E97" s="884">
        <v>2</v>
      </c>
      <c r="F97" s="884">
        <v>90000</v>
      </c>
      <c r="G97" s="884">
        <v>180000</v>
      </c>
    </row>
    <row r="98" spans="1:7">
      <c r="A98" s="884" t="s">
        <v>2010</v>
      </c>
      <c r="B98" s="884" t="s">
        <v>2011</v>
      </c>
      <c r="C98" s="884" t="s">
        <v>2012</v>
      </c>
      <c r="D98" s="884" t="s">
        <v>1905</v>
      </c>
      <c r="E98" s="884">
        <v>1</v>
      </c>
      <c r="F98" s="884">
        <v>63000</v>
      </c>
      <c r="G98" s="884">
        <v>63000</v>
      </c>
    </row>
    <row r="99" spans="1:7">
      <c r="A99" s="884"/>
      <c r="B99" s="884" t="s">
        <v>2013</v>
      </c>
      <c r="C99" s="884"/>
      <c r="D99" s="884"/>
      <c r="E99" s="884"/>
      <c r="F99" s="884"/>
      <c r="G99" s="884"/>
    </row>
    <row r="100" spans="1:7">
      <c r="A100" s="884" t="s">
        <v>2014</v>
      </c>
      <c r="B100" s="884" t="s">
        <v>2015</v>
      </c>
      <c r="C100" s="884" t="s">
        <v>2016</v>
      </c>
      <c r="D100" s="884" t="s">
        <v>1905</v>
      </c>
      <c r="E100" s="884">
        <v>1</v>
      </c>
      <c r="F100" s="884">
        <v>45900</v>
      </c>
      <c r="G100" s="884">
        <v>45900</v>
      </c>
    </row>
    <row r="101" spans="1:7">
      <c r="A101" s="884" t="s">
        <v>2017</v>
      </c>
      <c r="B101" s="884" t="s">
        <v>2018</v>
      </c>
      <c r="C101" s="884" t="s">
        <v>2019</v>
      </c>
      <c r="D101" s="884" t="s">
        <v>1905</v>
      </c>
      <c r="E101" s="884">
        <v>2</v>
      </c>
      <c r="F101" s="884">
        <v>40500</v>
      </c>
      <c r="G101" s="884">
        <v>81000</v>
      </c>
    </row>
    <row r="102" spans="1:7">
      <c r="A102" s="884" t="s">
        <v>2020</v>
      </c>
      <c r="B102" s="884" t="s">
        <v>2021</v>
      </c>
      <c r="C102" s="884" t="s">
        <v>2022</v>
      </c>
      <c r="D102" s="884" t="s">
        <v>1905</v>
      </c>
      <c r="E102" s="884">
        <v>2</v>
      </c>
      <c r="F102" s="884">
        <v>18000</v>
      </c>
      <c r="G102" s="884">
        <v>36000</v>
      </c>
    </row>
    <row r="103" spans="1:7">
      <c r="A103" s="884" t="s">
        <v>2023</v>
      </c>
      <c r="B103" s="884" t="s">
        <v>2024</v>
      </c>
      <c r="C103" s="884" t="s">
        <v>2025</v>
      </c>
      <c r="D103" s="884" t="s">
        <v>1905</v>
      </c>
      <c r="E103" s="884">
        <v>4</v>
      </c>
      <c r="F103" s="884">
        <v>55000</v>
      </c>
      <c r="G103" s="884">
        <v>220000</v>
      </c>
    </row>
    <row r="104" spans="1:7">
      <c r="A104" s="884" t="s">
        <v>2026</v>
      </c>
      <c r="B104" s="884" t="s">
        <v>2027</v>
      </c>
      <c r="C104" s="884" t="s">
        <v>2028</v>
      </c>
      <c r="D104" s="884" t="s">
        <v>1905</v>
      </c>
      <c r="E104" s="884">
        <v>1</v>
      </c>
      <c r="F104" s="884">
        <v>9000</v>
      </c>
      <c r="G104" s="884">
        <v>9000</v>
      </c>
    </row>
    <row r="105" spans="1:7">
      <c r="A105" s="884" t="s">
        <v>2029</v>
      </c>
      <c r="B105" s="884" t="s">
        <v>2030</v>
      </c>
      <c r="C105" s="884" t="s">
        <v>2031</v>
      </c>
      <c r="D105" s="884" t="s">
        <v>1905</v>
      </c>
      <c r="E105" s="884">
        <v>1</v>
      </c>
      <c r="F105" s="884">
        <v>23900</v>
      </c>
      <c r="G105" s="884">
        <v>23900</v>
      </c>
    </row>
    <row r="106" spans="1:7">
      <c r="A106" s="884" t="s">
        <v>2032</v>
      </c>
      <c r="B106" s="884" t="s">
        <v>2033</v>
      </c>
      <c r="C106" s="884" t="s">
        <v>2034</v>
      </c>
      <c r="D106" s="884" t="s">
        <v>1905</v>
      </c>
      <c r="E106" s="884">
        <v>1</v>
      </c>
      <c r="F106" s="884">
        <v>28100</v>
      </c>
      <c r="G106" s="884">
        <v>28100</v>
      </c>
    </row>
    <row r="107" spans="1:7">
      <c r="A107" s="884" t="s">
        <v>2035</v>
      </c>
      <c r="B107" s="884" t="s">
        <v>2036</v>
      </c>
      <c r="C107" s="884" t="s">
        <v>2037</v>
      </c>
      <c r="D107" s="884" t="s">
        <v>1905</v>
      </c>
      <c r="E107" s="884">
        <v>2</v>
      </c>
      <c r="F107" s="884">
        <v>6300</v>
      </c>
      <c r="G107" s="884">
        <v>12600</v>
      </c>
    </row>
    <row r="108" spans="1:7">
      <c r="A108" s="884" t="s">
        <v>2038</v>
      </c>
      <c r="B108" s="884" t="s">
        <v>2033</v>
      </c>
      <c r="C108" s="884" t="s">
        <v>2025</v>
      </c>
      <c r="D108" s="884" t="s">
        <v>1905</v>
      </c>
      <c r="E108" s="884">
        <v>1</v>
      </c>
      <c r="F108" s="884">
        <v>23100</v>
      </c>
      <c r="G108" s="884">
        <v>23100</v>
      </c>
    </row>
    <row r="109" spans="1:7">
      <c r="A109" s="884" t="s">
        <v>2039</v>
      </c>
      <c r="B109" s="884" t="s">
        <v>2040</v>
      </c>
      <c r="C109" s="884" t="s">
        <v>2041</v>
      </c>
      <c r="D109" s="884" t="s">
        <v>1905</v>
      </c>
      <c r="E109" s="884">
        <v>1</v>
      </c>
      <c r="F109" s="884">
        <v>45900</v>
      </c>
      <c r="G109" s="884">
        <v>45900</v>
      </c>
    </row>
    <row r="110" spans="1:7">
      <c r="A110" s="884" t="s">
        <v>2042</v>
      </c>
      <c r="B110" s="884" t="s">
        <v>2043</v>
      </c>
      <c r="C110" s="884" t="s">
        <v>2041</v>
      </c>
      <c r="D110" s="884" t="s">
        <v>1905</v>
      </c>
      <c r="E110" s="884">
        <v>1</v>
      </c>
      <c r="F110" s="884">
        <v>30600</v>
      </c>
      <c r="G110" s="884">
        <v>30600</v>
      </c>
    </row>
    <row r="111" spans="1:7">
      <c r="A111" s="884" t="s">
        <v>2044</v>
      </c>
      <c r="B111" s="884" t="s">
        <v>2033</v>
      </c>
      <c r="C111" s="884" t="s">
        <v>2045</v>
      </c>
      <c r="D111" s="884" t="s">
        <v>1905</v>
      </c>
      <c r="E111" s="884">
        <v>1</v>
      </c>
      <c r="F111" s="884">
        <v>17000</v>
      </c>
      <c r="G111" s="884">
        <v>17000</v>
      </c>
    </row>
    <row r="112" spans="1:7">
      <c r="A112" s="884" t="s">
        <v>2046</v>
      </c>
      <c r="B112" s="884" t="s">
        <v>2033</v>
      </c>
      <c r="C112" s="884" t="s">
        <v>2047</v>
      </c>
      <c r="D112" s="884" t="s">
        <v>1905</v>
      </c>
      <c r="E112" s="884">
        <v>1</v>
      </c>
      <c r="F112" s="884">
        <v>16900</v>
      </c>
      <c r="G112" s="884">
        <v>16900</v>
      </c>
    </row>
    <row r="113" spans="1:7">
      <c r="A113" s="884" t="s">
        <v>2048</v>
      </c>
      <c r="B113" s="884" t="s">
        <v>2049</v>
      </c>
      <c r="C113" s="884" t="s">
        <v>2050</v>
      </c>
      <c r="D113" s="884" t="s">
        <v>1905</v>
      </c>
      <c r="E113" s="884">
        <v>1</v>
      </c>
      <c r="F113" s="884">
        <v>55800</v>
      </c>
      <c r="G113" s="884">
        <v>55800</v>
      </c>
    </row>
    <row r="114" spans="1:7">
      <c r="A114" s="884" t="s">
        <v>2051</v>
      </c>
      <c r="B114" s="884" t="s">
        <v>2052</v>
      </c>
      <c r="C114" s="884" t="s">
        <v>2053</v>
      </c>
      <c r="D114" s="884" t="s">
        <v>1905</v>
      </c>
      <c r="E114" s="884">
        <v>8</v>
      </c>
      <c r="F114" s="884">
        <v>90000</v>
      </c>
      <c r="G114" s="884">
        <v>720000</v>
      </c>
    </row>
    <row r="115" spans="1:7">
      <c r="A115" s="884" t="s">
        <v>2054</v>
      </c>
      <c r="B115" s="884" t="s">
        <v>2055</v>
      </c>
      <c r="C115" s="884" t="s">
        <v>2056</v>
      </c>
      <c r="D115" s="884" t="s">
        <v>1905</v>
      </c>
      <c r="E115" s="884">
        <v>1</v>
      </c>
      <c r="F115" s="884">
        <v>40500</v>
      </c>
      <c r="G115" s="884">
        <v>40500</v>
      </c>
    </row>
    <row r="116" spans="1:7">
      <c r="A116" s="884" t="s">
        <v>2057</v>
      </c>
      <c r="B116" s="884" t="s">
        <v>2058</v>
      </c>
      <c r="C116" s="884" t="s">
        <v>2059</v>
      </c>
      <c r="D116" s="884" t="s">
        <v>1905</v>
      </c>
      <c r="E116" s="884">
        <v>1</v>
      </c>
      <c r="F116" s="884">
        <v>22500</v>
      </c>
      <c r="G116" s="884">
        <v>22500</v>
      </c>
    </row>
    <row r="117" spans="1:7">
      <c r="A117" s="884" t="s">
        <v>2060</v>
      </c>
      <c r="B117" s="884" t="s">
        <v>2061</v>
      </c>
      <c r="C117" s="884" t="s">
        <v>2062</v>
      </c>
      <c r="D117" s="884" t="s">
        <v>1905</v>
      </c>
      <c r="E117" s="884">
        <v>1</v>
      </c>
      <c r="F117" s="884">
        <v>45000</v>
      </c>
      <c r="G117" s="884">
        <v>45000</v>
      </c>
    </row>
    <row r="118" spans="1:7">
      <c r="A118" s="884" t="s">
        <v>2063</v>
      </c>
      <c r="B118" s="884" t="s">
        <v>2064</v>
      </c>
      <c r="C118" s="884"/>
      <c r="D118" s="884"/>
      <c r="E118" s="884">
        <v>1</v>
      </c>
      <c r="F118" s="884">
        <v>1350000</v>
      </c>
      <c r="G118" s="884">
        <v>1350000</v>
      </c>
    </row>
    <row r="119" spans="1:7">
      <c r="A119" s="884" t="s">
        <v>2065</v>
      </c>
      <c r="B119" s="884" t="s">
        <v>2066</v>
      </c>
      <c r="C119" s="884" t="s">
        <v>2067</v>
      </c>
      <c r="D119" s="884" t="s">
        <v>1905</v>
      </c>
      <c r="E119" s="884">
        <v>1</v>
      </c>
      <c r="F119" s="884">
        <v>45000</v>
      </c>
      <c r="G119" s="884">
        <v>45000</v>
      </c>
    </row>
    <row r="120" spans="1:7">
      <c r="A120" s="884" t="s">
        <v>2068</v>
      </c>
      <c r="B120" s="884" t="s">
        <v>2069</v>
      </c>
      <c r="C120" s="884" t="s">
        <v>2070</v>
      </c>
      <c r="D120" s="884" t="s">
        <v>1905</v>
      </c>
      <c r="E120" s="884">
        <v>1</v>
      </c>
      <c r="F120" s="884">
        <v>153000</v>
      </c>
      <c r="G120" s="884">
        <v>153000</v>
      </c>
    </row>
    <row r="121" spans="1:7">
      <c r="A121" s="884" t="s">
        <v>2071</v>
      </c>
      <c r="B121" s="884" t="s">
        <v>2072</v>
      </c>
      <c r="C121" s="884" t="s">
        <v>2073</v>
      </c>
      <c r="D121" s="884"/>
      <c r="E121" s="884">
        <v>2</v>
      </c>
      <c r="F121" s="884">
        <v>54000</v>
      </c>
      <c r="G121" s="884">
        <v>108000</v>
      </c>
    </row>
    <row r="122" spans="1:7">
      <c r="A122" s="884" t="s">
        <v>2074</v>
      </c>
      <c r="B122" s="884" t="s">
        <v>2075</v>
      </c>
      <c r="C122" s="884" t="s">
        <v>2076</v>
      </c>
      <c r="D122" s="884" t="s">
        <v>1905</v>
      </c>
      <c r="E122" s="884">
        <v>1</v>
      </c>
      <c r="F122" s="884">
        <v>45000</v>
      </c>
      <c r="G122" s="884">
        <v>45000</v>
      </c>
    </row>
    <row r="123" spans="1:7">
      <c r="A123" s="884" t="s">
        <v>2077</v>
      </c>
      <c r="B123" s="884" t="s">
        <v>2078</v>
      </c>
      <c r="C123" s="884" t="s">
        <v>2079</v>
      </c>
      <c r="D123" s="884" t="s">
        <v>1905</v>
      </c>
      <c r="E123" s="884">
        <v>3</v>
      </c>
      <c r="F123" s="884">
        <v>25200</v>
      </c>
      <c r="G123" s="884">
        <v>75600</v>
      </c>
    </row>
    <row r="124" spans="1:7">
      <c r="A124" s="884" t="s">
        <v>2080</v>
      </c>
      <c r="B124" s="884" t="s">
        <v>2081</v>
      </c>
      <c r="C124" s="884" t="s">
        <v>2082</v>
      </c>
      <c r="D124" s="884" t="s">
        <v>1905</v>
      </c>
      <c r="E124" s="884">
        <v>2</v>
      </c>
      <c r="F124" s="884">
        <v>99000</v>
      </c>
      <c r="G124" s="884">
        <v>198000</v>
      </c>
    </row>
    <row r="125" spans="1:7">
      <c r="A125" s="884"/>
      <c r="B125" s="884" t="s">
        <v>2083</v>
      </c>
      <c r="C125" s="884"/>
      <c r="D125" s="884"/>
      <c r="E125" s="884"/>
      <c r="F125" s="884"/>
      <c r="G125" s="884"/>
    </row>
    <row r="126" spans="1:7">
      <c r="A126" s="884">
        <v>1</v>
      </c>
      <c r="B126" s="884" t="s">
        <v>2084</v>
      </c>
      <c r="C126" s="884" t="s">
        <v>2085</v>
      </c>
      <c r="D126" s="884" t="s">
        <v>1905</v>
      </c>
      <c r="E126" s="884">
        <v>1</v>
      </c>
      <c r="F126" s="884">
        <v>630000</v>
      </c>
      <c r="G126" s="884">
        <v>630000</v>
      </c>
    </row>
    <row r="127" spans="1:7">
      <c r="A127" s="884">
        <v>2</v>
      </c>
      <c r="B127" s="884" t="s">
        <v>2086</v>
      </c>
      <c r="C127" s="884" t="s">
        <v>2087</v>
      </c>
      <c r="D127" s="884" t="s">
        <v>1905</v>
      </c>
      <c r="E127" s="884">
        <v>1</v>
      </c>
      <c r="F127" s="884">
        <v>900000</v>
      </c>
      <c r="G127" s="884">
        <v>900000</v>
      </c>
    </row>
    <row r="128" spans="1:7">
      <c r="A128" s="884"/>
      <c r="B128" s="884"/>
      <c r="C128" s="884"/>
      <c r="D128" s="884"/>
      <c r="E128" s="884"/>
      <c r="F128" s="884" t="s">
        <v>2088</v>
      </c>
      <c r="G128" s="884">
        <f>SUM(G56:G127)</f>
        <v>9379600</v>
      </c>
    </row>
    <row r="129" spans="1:10">
      <c r="A129" s="884"/>
      <c r="B129" s="884"/>
      <c r="C129" s="884"/>
      <c r="D129" s="884"/>
      <c r="E129" s="884"/>
      <c r="F129" s="884" t="s">
        <v>2089</v>
      </c>
      <c r="G129" s="884">
        <f>G128*18%</f>
        <v>1688328</v>
      </c>
    </row>
    <row r="130" spans="1:10">
      <c r="A130" s="884"/>
      <c r="B130" s="884"/>
      <c r="C130" s="884"/>
      <c r="D130" s="884"/>
      <c r="E130" s="884"/>
      <c r="F130" s="884" t="s">
        <v>2090</v>
      </c>
      <c r="G130" s="884">
        <f>G128+G129</f>
        <v>11067928</v>
      </c>
    </row>
    <row r="142" spans="1:10">
      <c r="J142" s="51"/>
    </row>
    <row r="143" spans="1:10">
      <c r="A143" s="384">
        <v>3</v>
      </c>
      <c r="B143" s="384"/>
      <c r="C143" s="384"/>
      <c r="D143" s="384"/>
      <c r="E143" s="384"/>
      <c r="F143" s="384"/>
      <c r="G143" s="881"/>
      <c r="J143" s="51"/>
    </row>
    <row r="144" spans="1:10">
      <c r="A144" s="132" t="s">
        <v>290</v>
      </c>
      <c r="B144" s="132" t="s">
        <v>1762</v>
      </c>
      <c r="C144" s="132" t="s">
        <v>2091</v>
      </c>
      <c r="D144" s="132" t="s">
        <v>550</v>
      </c>
      <c r="E144" s="132" t="s">
        <v>551</v>
      </c>
      <c r="F144" s="384"/>
      <c r="G144" s="881"/>
      <c r="J144" s="51"/>
    </row>
    <row r="145" spans="1:10" ht="25.5">
      <c r="A145" s="884">
        <v>1</v>
      </c>
      <c r="B145" s="883" t="s">
        <v>2092</v>
      </c>
      <c r="C145" s="183" t="s">
        <v>2093</v>
      </c>
      <c r="D145" s="884">
        <v>1300000</v>
      </c>
      <c r="E145" s="888">
        <f>D145*1</f>
        <v>1300000</v>
      </c>
      <c r="F145" s="384"/>
      <c r="G145" s="881"/>
      <c r="J145" s="51"/>
    </row>
    <row r="146" spans="1:10">
      <c r="A146" s="884">
        <v>2</v>
      </c>
      <c r="B146" s="183" t="s">
        <v>2094</v>
      </c>
      <c r="C146" s="183" t="s">
        <v>2093</v>
      </c>
      <c r="D146" s="884">
        <v>900000</v>
      </c>
      <c r="E146" s="888">
        <f>D146*1</f>
        <v>900000</v>
      </c>
      <c r="F146" s="384"/>
      <c r="G146" s="881"/>
      <c r="J146" s="51"/>
    </row>
    <row r="147" spans="1:10">
      <c r="A147" s="884"/>
      <c r="B147" s="884"/>
      <c r="C147" s="884"/>
      <c r="D147" s="183" t="s">
        <v>2095</v>
      </c>
      <c r="E147" s="70">
        <f>SUM(E145:E146)</f>
        <v>2200000</v>
      </c>
      <c r="F147" s="384"/>
      <c r="G147" s="881"/>
      <c r="J147" s="51"/>
    </row>
    <row r="148" spans="1:10">
      <c r="A148" s="884"/>
      <c r="B148" s="884"/>
      <c r="C148" s="884"/>
      <c r="D148" s="183" t="s">
        <v>2089</v>
      </c>
      <c r="E148" s="70">
        <f>E147*18%</f>
        <v>396000</v>
      </c>
      <c r="F148" s="384"/>
      <c r="G148" s="881"/>
      <c r="J148" s="51"/>
    </row>
    <row r="149" spans="1:10" ht="13.5" thickBot="1">
      <c r="A149" s="884"/>
      <c r="B149" s="884"/>
      <c r="C149" s="884"/>
      <c r="D149" s="183" t="s">
        <v>2096</v>
      </c>
      <c r="E149" s="158">
        <f>E147+E148</f>
        <v>2596000</v>
      </c>
      <c r="F149" s="384"/>
      <c r="G149" s="886"/>
      <c r="J149" s="51"/>
    </row>
    <row r="150" spans="1:10" ht="13.5" thickTop="1">
      <c r="J150" s="51"/>
    </row>
    <row r="151" spans="1:10" ht="13.5" thickBot="1">
      <c r="A151" s="884">
        <v>5</v>
      </c>
      <c r="B151" s="183" t="s">
        <v>2097</v>
      </c>
      <c r="C151" s="884"/>
      <c r="D151" s="884"/>
      <c r="E151" s="904">
        <v>7200000</v>
      </c>
      <c r="J151" s="878"/>
    </row>
    <row r="152" spans="1:10" ht="13.5" thickTop="1">
      <c r="J152" s="51"/>
    </row>
    <row r="153" spans="1:10">
      <c r="A153" s="877"/>
      <c r="B153" s="877"/>
      <c r="C153" s="877"/>
      <c r="D153" s="877"/>
      <c r="E153" s="877"/>
      <c r="F153" s="877"/>
    </row>
    <row r="154" spans="1:10">
      <c r="A154" s="879" t="s">
        <v>2098</v>
      </c>
      <c r="B154" s="1199" t="s">
        <v>2099</v>
      </c>
      <c r="C154" s="1200"/>
      <c r="D154" s="1200"/>
      <c r="E154" s="1200"/>
      <c r="F154" s="1201"/>
    </row>
    <row r="155" spans="1:10">
      <c r="A155" s="1202" t="s">
        <v>2100</v>
      </c>
      <c r="B155" s="1200"/>
      <c r="C155" s="1200"/>
      <c r="D155" s="1200"/>
      <c r="E155" s="1200"/>
      <c r="F155" s="1201"/>
      <c r="J155" s="378">
        <v>0</v>
      </c>
    </row>
    <row r="156" spans="1:10">
      <c r="A156" s="1202" t="s">
        <v>2101</v>
      </c>
      <c r="B156" s="1200"/>
      <c r="C156" s="1200"/>
      <c r="D156" s="1200"/>
      <c r="E156" s="1200"/>
      <c r="F156" s="1201"/>
      <c r="G156" s="881"/>
      <c r="H156" s="384"/>
      <c r="I156" s="6"/>
    </row>
    <row r="157" spans="1:10" ht="21">
      <c r="A157" s="880" t="s">
        <v>2102</v>
      </c>
      <c r="B157" s="879" t="s">
        <v>2103</v>
      </c>
      <c r="C157" s="879" t="s">
        <v>2104</v>
      </c>
      <c r="D157" s="879" t="s">
        <v>2105</v>
      </c>
      <c r="E157" s="894" t="s">
        <v>2106</v>
      </c>
      <c r="F157" s="879" t="s">
        <v>2107</v>
      </c>
      <c r="H157" s="384"/>
      <c r="I157" s="6"/>
    </row>
    <row r="158" spans="1:10" ht="201.75">
      <c r="A158" s="906">
        <v>1</v>
      </c>
      <c r="B158" s="907" t="s">
        <v>2108</v>
      </c>
      <c r="C158" s="908" t="s">
        <v>2109</v>
      </c>
      <c r="D158" s="909">
        <v>610</v>
      </c>
      <c r="E158" s="910">
        <f>33000</f>
        <v>33000</v>
      </c>
      <c r="F158" s="908">
        <f>D158*E158</f>
        <v>20130000</v>
      </c>
      <c r="H158" s="384"/>
      <c r="I158" s="6"/>
    </row>
    <row r="159" spans="1:10" ht="89.25">
      <c r="A159" s="906">
        <v>2</v>
      </c>
      <c r="B159" s="907" t="s">
        <v>2110</v>
      </c>
      <c r="C159" s="908" t="s">
        <v>2111</v>
      </c>
      <c r="D159" s="909">
        <v>62000</v>
      </c>
      <c r="E159" s="910">
        <v>15</v>
      </c>
      <c r="F159" s="911">
        <f>D159*E159</f>
        <v>930000</v>
      </c>
      <c r="H159" s="384"/>
      <c r="I159" s="6"/>
    </row>
    <row r="160" spans="1:10" ht="13.5" thickBot="1">
      <c r="A160" s="877"/>
      <c r="B160" s="1202" t="s">
        <v>2112</v>
      </c>
      <c r="C160" s="1200"/>
      <c r="D160" s="1200"/>
      <c r="E160" s="1201"/>
      <c r="F160" s="903">
        <f>SUM(F158:F159)</f>
        <v>21060000</v>
      </c>
      <c r="H160" s="384"/>
      <c r="I160" s="6"/>
    </row>
    <row r="161" spans="1:9" ht="13.5" thickTop="1">
      <c r="A161" s="877"/>
      <c r="B161" s="877"/>
      <c r="C161" s="877"/>
      <c r="D161" s="877"/>
      <c r="E161" s="877"/>
      <c r="F161" s="905"/>
      <c r="H161" s="384"/>
      <c r="I161" s="6"/>
    </row>
    <row r="162" spans="1:9">
      <c r="H162" s="384"/>
      <c r="I162" s="6"/>
    </row>
    <row r="163" spans="1:9">
      <c r="A163" s="1021" t="s">
        <v>2113</v>
      </c>
      <c r="B163" s="1021"/>
      <c r="C163" s="1021"/>
      <c r="D163" s="1021"/>
      <c r="E163" s="1021"/>
      <c r="F163" s="1021"/>
      <c r="G163" s="1021"/>
      <c r="I163" s="6"/>
    </row>
    <row r="164" spans="1:9">
      <c r="I164" s="6"/>
    </row>
    <row r="165" spans="1:9">
      <c r="I165" s="6"/>
    </row>
    <row r="166" spans="1:9">
      <c r="I166" s="6"/>
    </row>
    <row r="167" spans="1:9">
      <c r="A167" s="132" t="s">
        <v>290</v>
      </c>
      <c r="B167" s="132" t="s">
        <v>291</v>
      </c>
      <c r="C167" s="132" t="s">
        <v>2114</v>
      </c>
      <c r="D167" s="132" t="s">
        <v>2115</v>
      </c>
      <c r="E167" s="132" t="s">
        <v>2116</v>
      </c>
      <c r="F167" s="132" t="s">
        <v>550</v>
      </c>
      <c r="G167" s="132" t="s">
        <v>551</v>
      </c>
      <c r="I167" s="6"/>
    </row>
    <row r="168" spans="1:9">
      <c r="A168" s="884">
        <v>1</v>
      </c>
      <c r="B168" s="183" t="s">
        <v>2117</v>
      </c>
      <c r="C168" s="183" t="s">
        <v>2118</v>
      </c>
      <c r="D168" s="183" t="s">
        <v>2119</v>
      </c>
      <c r="E168" s="183" t="s">
        <v>2120</v>
      </c>
      <c r="F168" s="884">
        <v>42968.75</v>
      </c>
      <c r="G168" s="888">
        <f>200*42968.75</f>
        <v>8593750</v>
      </c>
      <c r="I168" s="6"/>
    </row>
    <row r="169" spans="1:9">
      <c r="A169" s="884"/>
      <c r="B169" s="884"/>
      <c r="C169" s="884"/>
      <c r="D169" s="884"/>
      <c r="E169" s="884"/>
      <c r="F169" s="895" t="s">
        <v>2121</v>
      </c>
      <c r="G169" s="888">
        <f>G168*14%</f>
        <v>1203125</v>
      </c>
      <c r="I169" s="6"/>
    </row>
    <row r="170" spans="1:9">
      <c r="A170" s="884"/>
      <c r="B170" s="884"/>
      <c r="C170" s="884"/>
      <c r="D170" s="884"/>
      <c r="E170" s="884"/>
      <c r="F170" s="895" t="s">
        <v>2122</v>
      </c>
      <c r="G170" s="888">
        <f>G168*14%</f>
        <v>1203125</v>
      </c>
      <c r="I170" s="6"/>
    </row>
    <row r="171" spans="1:9" ht="13.5" thickBot="1">
      <c r="A171" s="884"/>
      <c r="B171" s="884"/>
      <c r="C171" s="884"/>
      <c r="D171" s="884"/>
      <c r="E171" s="884"/>
      <c r="F171" s="183" t="s">
        <v>87</v>
      </c>
      <c r="G171" s="158">
        <f>SUM(G168:G170)</f>
        <v>11000000</v>
      </c>
      <c r="I171" s="6"/>
    </row>
    <row r="172" spans="1:9" ht="13.5" thickTop="1">
      <c r="A172" s="384"/>
      <c r="B172" s="384"/>
      <c r="C172" s="384"/>
      <c r="D172" s="384"/>
      <c r="E172" s="384"/>
      <c r="F172" s="84"/>
      <c r="G172" s="6"/>
      <c r="I172" s="6"/>
    </row>
    <row r="173" spans="1:9">
      <c r="A173" s="384">
        <v>4</v>
      </c>
      <c r="B173" s="384"/>
      <c r="C173" s="384"/>
      <c r="D173" s="384"/>
      <c r="E173" s="384"/>
      <c r="F173" s="384"/>
      <c r="G173" s="881"/>
      <c r="H173" s="384"/>
      <c r="I173" s="6"/>
    </row>
    <row r="174" spans="1:9">
      <c r="A174" s="132" t="s">
        <v>290</v>
      </c>
      <c r="B174" s="132" t="s">
        <v>2123</v>
      </c>
      <c r="C174" s="132" t="s">
        <v>2124</v>
      </c>
      <c r="D174" s="132" t="s">
        <v>1898</v>
      </c>
      <c r="E174" s="132" t="s">
        <v>1899</v>
      </c>
      <c r="F174" s="132" t="s">
        <v>1900</v>
      </c>
      <c r="G174" s="881"/>
      <c r="H174" s="384"/>
      <c r="I174" s="6"/>
    </row>
    <row r="175" spans="1:9" ht="25.5">
      <c r="A175" s="884">
        <v>1</v>
      </c>
      <c r="B175" s="183" t="s">
        <v>2125</v>
      </c>
      <c r="C175" s="883" t="s">
        <v>2126</v>
      </c>
      <c r="D175" s="884">
        <v>3</v>
      </c>
      <c r="E175" s="884">
        <v>4190724.53</v>
      </c>
      <c r="F175" s="884">
        <f>E175*D175</f>
        <v>12572173.59</v>
      </c>
      <c r="G175" s="881"/>
      <c r="H175" s="384"/>
      <c r="I175" s="6"/>
    </row>
    <row r="176" spans="1:9">
      <c r="A176" s="896"/>
      <c r="B176" s="406"/>
      <c r="C176" s="406"/>
      <c r="D176" s="897"/>
      <c r="E176" s="132" t="s">
        <v>2095</v>
      </c>
      <c r="F176" s="70">
        <f>F175</f>
        <v>12572173.59</v>
      </c>
      <c r="G176" s="881"/>
      <c r="H176" s="384"/>
      <c r="I176" s="6"/>
    </row>
    <row r="177" spans="1:9">
      <c r="A177" s="898"/>
      <c r="B177" s="384"/>
      <c r="C177" s="384"/>
      <c r="D177" s="899"/>
      <c r="E177" s="132" t="s">
        <v>2089</v>
      </c>
      <c r="F177" s="70">
        <f>F176*18%</f>
        <v>2262991.2461999999</v>
      </c>
      <c r="G177" s="881"/>
      <c r="H177" s="384"/>
      <c r="I177" s="6"/>
    </row>
    <row r="178" spans="1:9">
      <c r="A178" s="898"/>
      <c r="B178" s="384"/>
      <c r="C178" s="384"/>
      <c r="D178" s="899"/>
      <c r="E178" s="132" t="s">
        <v>2127</v>
      </c>
      <c r="F178" s="70">
        <f>(F176+F177)*0.1%</f>
        <v>14835.1648362</v>
      </c>
      <c r="G178" s="881"/>
      <c r="H178" s="384"/>
      <c r="I178" s="6"/>
    </row>
    <row r="179" spans="1:9" ht="13.5" thickBot="1">
      <c r="A179" s="900"/>
      <c r="B179" s="901"/>
      <c r="C179" s="901"/>
      <c r="D179" s="902"/>
      <c r="E179" s="132" t="s">
        <v>2096</v>
      </c>
      <c r="F179" s="158">
        <f>F176+F177+F178</f>
        <v>14850000.001036199</v>
      </c>
      <c r="G179" s="881"/>
      <c r="H179" s="890"/>
      <c r="I179" s="6"/>
    </row>
    <row r="180" spans="1:9" ht="13.5" thickTop="1">
      <c r="A180" s="384"/>
      <c r="B180" s="384"/>
      <c r="C180" s="384"/>
      <c r="D180" s="384"/>
      <c r="E180" s="78"/>
      <c r="F180" s="6"/>
      <c r="G180" s="881"/>
      <c r="H180" s="890"/>
      <c r="I180" s="6"/>
    </row>
    <row r="181" spans="1:9">
      <c r="A181" s="1205" t="s">
        <v>2128</v>
      </c>
      <c r="B181" s="1205"/>
      <c r="C181" s="1205"/>
      <c r="D181" s="1205"/>
      <c r="E181" s="1205"/>
      <c r="F181" s="1205"/>
      <c r="G181" s="1205"/>
      <c r="H181" s="1205"/>
      <c r="I181" s="1205"/>
    </row>
    <row r="182" spans="1:9">
      <c r="A182" s="1188" t="s">
        <v>2100</v>
      </c>
      <c r="B182" s="1189"/>
      <c r="C182" s="1189"/>
      <c r="D182" s="1189"/>
      <c r="E182" s="1189"/>
      <c r="F182" s="1190"/>
      <c r="G182" s="912"/>
      <c r="H182" s="912"/>
      <c r="I182" s="912"/>
    </row>
    <row r="183" spans="1:9">
      <c r="A183" s="1188" t="s">
        <v>2101</v>
      </c>
      <c r="B183" s="1189"/>
      <c r="C183" s="1189"/>
      <c r="D183" s="1189"/>
      <c r="E183" s="1189"/>
      <c r="F183" s="1190"/>
      <c r="G183" s="912"/>
      <c r="H183" s="912"/>
      <c r="I183" s="912"/>
    </row>
    <row r="184" spans="1:9" ht="21">
      <c r="A184" s="913" t="s">
        <v>2102</v>
      </c>
      <c r="B184" s="914" t="s">
        <v>2103</v>
      </c>
      <c r="C184" s="914" t="s">
        <v>2104</v>
      </c>
      <c r="D184" s="914" t="s">
        <v>2105</v>
      </c>
      <c r="E184" s="914" t="s">
        <v>2106</v>
      </c>
      <c r="F184" s="914" t="s">
        <v>2107</v>
      </c>
      <c r="G184" s="912"/>
      <c r="H184" s="912"/>
      <c r="I184" s="912"/>
    </row>
    <row r="185" spans="1:9">
      <c r="A185" s="915"/>
      <c r="B185" s="915"/>
      <c r="C185" s="915"/>
      <c r="D185" s="915"/>
      <c r="E185" s="915"/>
      <c r="F185" s="915"/>
      <c r="G185" s="912"/>
      <c r="H185" s="912"/>
      <c r="I185" s="912"/>
    </row>
    <row r="186" spans="1:9">
      <c r="A186" s="914" t="s">
        <v>2129</v>
      </c>
      <c r="B186" s="1191" t="s">
        <v>2130</v>
      </c>
      <c r="C186" s="1189"/>
      <c r="D186" s="1189"/>
      <c r="E186" s="1189"/>
      <c r="F186" s="1190"/>
      <c r="G186" s="912"/>
      <c r="H186" s="912"/>
      <c r="I186" s="912"/>
    </row>
    <row r="187" spans="1:9">
      <c r="A187" s="916">
        <v>1</v>
      </c>
      <c r="B187" s="929" t="s">
        <v>2131</v>
      </c>
      <c r="C187" s="930" t="s">
        <v>554</v>
      </c>
      <c r="D187" s="917">
        <v>2</v>
      </c>
      <c r="E187" s="931">
        <v>4550000</v>
      </c>
      <c r="F187" s="1207">
        <f>D187*E187</f>
        <v>9100000</v>
      </c>
      <c r="G187" s="912"/>
      <c r="H187" s="912"/>
      <c r="I187" s="912"/>
    </row>
    <row r="188" spans="1:9">
      <c r="A188" s="384"/>
      <c r="B188" s="384"/>
      <c r="C188" s="384"/>
      <c r="D188" s="384"/>
      <c r="E188" s="78"/>
      <c r="F188" s="6"/>
      <c r="G188" s="881"/>
      <c r="H188" s="890"/>
      <c r="I188" s="6"/>
    </row>
    <row r="189" spans="1:9">
      <c r="A189" s="384"/>
      <c r="B189" s="384"/>
      <c r="C189" s="384"/>
      <c r="D189" s="384"/>
      <c r="E189" s="78"/>
      <c r="F189" s="6"/>
      <c r="G189" s="881"/>
      <c r="H189" s="890"/>
      <c r="I189" s="6"/>
    </row>
    <row r="190" spans="1:9">
      <c r="A190" s="384"/>
      <c r="B190" s="384"/>
      <c r="C190" s="384"/>
      <c r="D190" s="384"/>
      <c r="E190" s="78"/>
      <c r="F190" s="6"/>
      <c r="G190" s="881"/>
      <c r="H190" s="890"/>
      <c r="I190" s="6"/>
    </row>
    <row r="191" spans="1:9">
      <c r="A191" s="384"/>
      <c r="B191" s="384"/>
      <c r="C191" s="384"/>
      <c r="D191" s="384"/>
      <c r="E191" s="384"/>
      <c r="F191" s="384"/>
      <c r="G191" s="881"/>
      <c r="H191" s="384"/>
      <c r="I191" s="6"/>
    </row>
    <row r="193" spans="1:9">
      <c r="A193" s="1205" t="s">
        <v>537</v>
      </c>
      <c r="B193" s="1205"/>
      <c r="C193" s="1205"/>
      <c r="D193" s="1205"/>
      <c r="E193" s="1205"/>
      <c r="F193" s="1205"/>
      <c r="G193" s="1205"/>
      <c r="H193" s="1205"/>
      <c r="I193" s="1205"/>
    </row>
    <row r="194" spans="1:9">
      <c r="A194" s="1188" t="s">
        <v>2100</v>
      </c>
      <c r="B194" s="1189"/>
      <c r="C194" s="1189"/>
      <c r="D194" s="1189"/>
      <c r="E194" s="1189"/>
      <c r="F194" s="1190"/>
      <c r="G194" s="912"/>
      <c r="H194" s="912"/>
      <c r="I194" s="912"/>
    </row>
    <row r="195" spans="1:9">
      <c r="A195" s="1188" t="s">
        <v>2101</v>
      </c>
      <c r="B195" s="1189"/>
      <c r="C195" s="1189"/>
      <c r="D195" s="1189"/>
      <c r="E195" s="1189"/>
      <c r="F195" s="1190"/>
      <c r="G195" s="912"/>
      <c r="H195" s="912"/>
      <c r="I195" s="912"/>
    </row>
    <row r="196" spans="1:9" ht="21">
      <c r="A196" s="913" t="s">
        <v>2102</v>
      </c>
      <c r="B196" s="914" t="s">
        <v>2103</v>
      </c>
      <c r="C196" s="914" t="s">
        <v>2104</v>
      </c>
      <c r="D196" s="914" t="s">
        <v>2105</v>
      </c>
      <c r="E196" s="914" t="s">
        <v>2106</v>
      </c>
      <c r="F196" s="914" t="s">
        <v>2107</v>
      </c>
      <c r="G196" s="912"/>
      <c r="H196" s="912"/>
      <c r="I196" s="912"/>
    </row>
    <row r="197" spans="1:9">
      <c r="A197" s="915"/>
      <c r="B197" s="915"/>
      <c r="C197" s="915"/>
      <c r="D197" s="915"/>
      <c r="E197" s="915"/>
      <c r="F197" s="915"/>
      <c r="G197" s="912"/>
      <c r="H197" s="912"/>
      <c r="I197" s="912"/>
    </row>
    <row r="198" spans="1:9">
      <c r="A198" s="914" t="s">
        <v>2129</v>
      </c>
      <c r="B198" s="1191" t="s">
        <v>2130</v>
      </c>
      <c r="C198" s="1189"/>
      <c r="D198" s="1189"/>
      <c r="E198" s="1189"/>
      <c r="F198" s="1190"/>
      <c r="G198" s="912"/>
      <c r="H198" s="912"/>
      <c r="I198" s="912"/>
    </row>
    <row r="199" spans="1:9" ht="101.25">
      <c r="A199" s="916">
        <v>1</v>
      </c>
      <c r="B199" s="907" t="s">
        <v>2132</v>
      </c>
      <c r="C199" s="913" t="s">
        <v>2133</v>
      </c>
      <c r="D199" s="917">
        <v>2100</v>
      </c>
      <c r="E199" s="917">
        <v>1277</v>
      </c>
      <c r="F199" s="913">
        <f>D199*E199</f>
        <v>2681700</v>
      </c>
      <c r="G199" s="912"/>
      <c r="H199" s="912"/>
      <c r="I199" s="912"/>
    </row>
    <row r="200" spans="1:9" ht="122.25">
      <c r="A200" s="916">
        <v>2</v>
      </c>
      <c r="B200" s="907" t="s">
        <v>2134</v>
      </c>
      <c r="C200" s="913" t="s">
        <v>2133</v>
      </c>
      <c r="D200" s="917">
        <v>500</v>
      </c>
      <c r="E200" s="917">
        <v>2000</v>
      </c>
      <c r="F200" s="913">
        <f>D200*E200</f>
        <v>1000000</v>
      </c>
      <c r="G200" s="912"/>
      <c r="H200" s="912"/>
      <c r="I200" s="912"/>
    </row>
    <row r="201" spans="1:9" ht="123">
      <c r="A201" s="906">
        <v>3</v>
      </c>
      <c r="B201" s="907" t="s">
        <v>2135</v>
      </c>
      <c r="C201" s="908" t="s">
        <v>2133</v>
      </c>
      <c r="D201" s="917">
        <v>50</v>
      </c>
      <c r="E201" s="917">
        <v>1900</v>
      </c>
      <c r="F201" s="913">
        <f>D201*E201</f>
        <v>95000</v>
      </c>
      <c r="G201" s="912"/>
      <c r="H201" s="912"/>
      <c r="I201" s="912"/>
    </row>
    <row r="202" spans="1:9" ht="33">
      <c r="A202" s="916">
        <v>4</v>
      </c>
      <c r="B202" s="907" t="s">
        <v>2136</v>
      </c>
      <c r="C202" s="913" t="s">
        <v>2137</v>
      </c>
      <c r="D202" s="917">
        <v>1</v>
      </c>
      <c r="E202" s="917">
        <v>85000</v>
      </c>
      <c r="F202" s="913">
        <f>D202*E202</f>
        <v>85000</v>
      </c>
      <c r="G202" s="912"/>
      <c r="H202" s="912"/>
      <c r="I202" s="912"/>
    </row>
    <row r="203" spans="1:9" ht="101.25">
      <c r="A203" s="916">
        <v>5</v>
      </c>
      <c r="B203" s="907" t="s">
        <v>2138</v>
      </c>
      <c r="C203" s="913" t="s">
        <v>2133</v>
      </c>
      <c r="D203" s="917">
        <v>8</v>
      </c>
      <c r="E203" s="917">
        <v>17000</v>
      </c>
      <c r="F203" s="913">
        <f t="shared" ref="F203:F221" si="6">D203*E203</f>
        <v>136000</v>
      </c>
      <c r="G203" s="912"/>
      <c r="H203" s="912"/>
      <c r="I203" s="912"/>
    </row>
    <row r="204" spans="1:9" ht="135">
      <c r="A204" s="906">
        <v>6</v>
      </c>
      <c r="B204" s="907" t="s">
        <v>2139</v>
      </c>
      <c r="C204" s="918" t="s">
        <v>2140</v>
      </c>
      <c r="D204" s="917">
        <v>25</v>
      </c>
      <c r="E204" s="917">
        <v>14000</v>
      </c>
      <c r="F204" s="913">
        <f t="shared" si="6"/>
        <v>350000</v>
      </c>
      <c r="G204" s="912"/>
      <c r="H204" s="912"/>
      <c r="I204" s="912"/>
    </row>
    <row r="205" spans="1:9" ht="135">
      <c r="A205" s="906">
        <v>7</v>
      </c>
      <c r="B205" s="907" t="s">
        <v>2141</v>
      </c>
      <c r="C205" s="918" t="s">
        <v>2140</v>
      </c>
      <c r="D205" s="917">
        <v>100</v>
      </c>
      <c r="E205" s="917">
        <v>4000</v>
      </c>
      <c r="F205" s="913">
        <f t="shared" si="6"/>
        <v>400000</v>
      </c>
      <c r="G205" s="912"/>
      <c r="H205" s="912"/>
      <c r="I205" s="912"/>
    </row>
    <row r="206" spans="1:9" ht="78.75">
      <c r="A206" s="906">
        <v>8</v>
      </c>
      <c r="B206" s="907" t="s">
        <v>2142</v>
      </c>
      <c r="C206" s="908" t="s">
        <v>2133</v>
      </c>
      <c r="D206" s="917">
        <v>200</v>
      </c>
      <c r="E206" s="917">
        <v>2000</v>
      </c>
      <c r="F206" s="913">
        <f t="shared" si="6"/>
        <v>400000</v>
      </c>
      <c r="G206" s="912"/>
      <c r="H206" s="912"/>
      <c r="I206" s="912"/>
    </row>
    <row r="207" spans="1:9" ht="112.5">
      <c r="A207" s="916">
        <v>9</v>
      </c>
      <c r="B207" s="907" t="s">
        <v>2143</v>
      </c>
      <c r="C207" s="913" t="s">
        <v>2133</v>
      </c>
      <c r="D207" s="917">
        <v>230</v>
      </c>
      <c r="E207" s="917">
        <v>2000</v>
      </c>
      <c r="F207" s="913">
        <f t="shared" si="6"/>
        <v>460000</v>
      </c>
      <c r="G207" s="912"/>
      <c r="H207" s="912"/>
      <c r="I207" s="912"/>
    </row>
    <row r="208" spans="1:9" ht="133.5">
      <c r="A208" s="906">
        <v>11</v>
      </c>
      <c r="B208" s="907" t="s">
        <v>2144</v>
      </c>
      <c r="C208" s="908" t="s">
        <v>2133</v>
      </c>
      <c r="D208" s="917">
        <v>800</v>
      </c>
      <c r="E208" s="917">
        <v>3500</v>
      </c>
      <c r="F208" s="913">
        <f t="shared" si="6"/>
        <v>2800000</v>
      </c>
      <c r="G208" s="912"/>
      <c r="H208" s="912"/>
      <c r="I208" s="912"/>
    </row>
    <row r="209" spans="1:9" ht="146.25">
      <c r="A209" s="906">
        <v>12</v>
      </c>
      <c r="B209" s="907" t="s">
        <v>2145</v>
      </c>
      <c r="C209" s="908" t="s">
        <v>2133</v>
      </c>
      <c r="D209" s="917">
        <v>62</v>
      </c>
      <c r="E209" s="917">
        <v>4500</v>
      </c>
      <c r="F209" s="913">
        <f t="shared" si="6"/>
        <v>279000</v>
      </c>
      <c r="G209" s="912"/>
      <c r="H209" s="912"/>
      <c r="I209" s="912"/>
    </row>
    <row r="210" spans="1:9" ht="135">
      <c r="A210" s="906">
        <v>13</v>
      </c>
      <c r="B210" s="907" t="s">
        <v>2146</v>
      </c>
      <c r="C210" s="908" t="s">
        <v>2133</v>
      </c>
      <c r="D210" s="917">
        <v>100</v>
      </c>
      <c r="E210" s="917">
        <v>2322</v>
      </c>
      <c r="F210" s="913">
        <f t="shared" si="6"/>
        <v>232200</v>
      </c>
      <c r="G210" s="912"/>
      <c r="H210" s="912"/>
      <c r="I210" s="912"/>
    </row>
    <row r="211" spans="1:9" ht="180">
      <c r="A211" s="906">
        <v>14</v>
      </c>
      <c r="B211" s="907" t="s">
        <v>2147</v>
      </c>
      <c r="C211" s="910" t="s">
        <v>2148</v>
      </c>
      <c r="D211" s="917">
        <v>1</v>
      </c>
      <c r="E211" s="917">
        <v>310000</v>
      </c>
      <c r="F211" s="913">
        <f t="shared" si="6"/>
        <v>310000</v>
      </c>
      <c r="G211" s="912"/>
      <c r="H211" s="912"/>
      <c r="I211" s="912"/>
    </row>
    <row r="212" spans="1:9" ht="112.5">
      <c r="A212" s="916">
        <v>15</v>
      </c>
      <c r="B212" s="907" t="s">
        <v>2149</v>
      </c>
      <c r="C212" s="919" t="s">
        <v>2148</v>
      </c>
      <c r="D212" s="917">
        <v>1</v>
      </c>
      <c r="E212" s="917">
        <v>275000</v>
      </c>
      <c r="F212" s="913">
        <f t="shared" si="6"/>
        <v>275000</v>
      </c>
      <c r="G212" s="912"/>
      <c r="H212" s="912"/>
      <c r="I212" s="912"/>
    </row>
    <row r="213" spans="1:9" ht="180">
      <c r="A213" s="906">
        <v>16</v>
      </c>
      <c r="B213" s="907" t="s">
        <v>2150</v>
      </c>
      <c r="C213" s="919" t="s">
        <v>2148</v>
      </c>
      <c r="D213" s="917">
        <v>1</v>
      </c>
      <c r="E213" s="917">
        <v>25000</v>
      </c>
      <c r="F213" s="913">
        <f t="shared" si="6"/>
        <v>25000</v>
      </c>
      <c r="G213" s="912"/>
      <c r="H213" s="912"/>
      <c r="I213" s="912"/>
    </row>
    <row r="214" spans="1:9" ht="123.75">
      <c r="A214" s="906">
        <v>17</v>
      </c>
      <c r="B214" s="907" t="s">
        <v>2151</v>
      </c>
      <c r="C214" s="919" t="s">
        <v>2148</v>
      </c>
      <c r="D214" s="917">
        <v>1</v>
      </c>
      <c r="E214" s="917">
        <v>2550000</v>
      </c>
      <c r="F214" s="913">
        <f t="shared" si="6"/>
        <v>2550000</v>
      </c>
      <c r="G214" s="912"/>
      <c r="H214" s="912"/>
      <c r="I214" s="912"/>
    </row>
    <row r="215" spans="1:9" ht="213.75">
      <c r="A215" s="906">
        <v>18</v>
      </c>
      <c r="B215" s="907" t="s">
        <v>2152</v>
      </c>
      <c r="C215" s="908" t="s">
        <v>2137</v>
      </c>
      <c r="D215" s="917">
        <v>1</v>
      </c>
      <c r="E215" s="917">
        <v>1020000</v>
      </c>
      <c r="F215" s="913">
        <f t="shared" si="6"/>
        <v>1020000</v>
      </c>
      <c r="G215" s="912"/>
      <c r="H215" s="912"/>
      <c r="I215" s="912"/>
    </row>
    <row r="216" spans="1:9" ht="180">
      <c r="A216" s="906">
        <v>19</v>
      </c>
      <c r="B216" s="907" t="s">
        <v>2153</v>
      </c>
      <c r="C216" s="918" t="s">
        <v>2140</v>
      </c>
      <c r="D216" s="917">
        <v>1</v>
      </c>
      <c r="E216" s="917">
        <v>850000</v>
      </c>
      <c r="F216" s="913">
        <f t="shared" si="6"/>
        <v>850000</v>
      </c>
      <c r="G216" s="912"/>
      <c r="H216" s="912"/>
      <c r="I216" s="912"/>
    </row>
    <row r="217" spans="1:9" ht="213">
      <c r="A217" s="906">
        <v>20</v>
      </c>
      <c r="B217" s="907" t="s">
        <v>2154</v>
      </c>
      <c r="C217" s="918" t="s">
        <v>2140</v>
      </c>
      <c r="D217" s="917">
        <v>5</v>
      </c>
      <c r="E217" s="917">
        <v>88000</v>
      </c>
      <c r="F217" s="913">
        <f t="shared" si="6"/>
        <v>440000</v>
      </c>
      <c r="G217" s="912"/>
      <c r="H217" s="912"/>
      <c r="I217" s="912"/>
    </row>
    <row r="218" spans="1:9" ht="111.75">
      <c r="A218" s="916">
        <v>21</v>
      </c>
      <c r="B218" s="907" t="s">
        <v>2155</v>
      </c>
      <c r="C218" s="913" t="s">
        <v>1871</v>
      </c>
      <c r="D218" s="917">
        <v>1</v>
      </c>
      <c r="E218" s="917">
        <v>900000</v>
      </c>
      <c r="F218" s="913">
        <f t="shared" si="6"/>
        <v>900000</v>
      </c>
      <c r="G218" s="912"/>
      <c r="H218" s="912"/>
      <c r="I218" s="912"/>
    </row>
    <row r="219" spans="1:9" ht="78.75">
      <c r="A219" s="906">
        <v>22</v>
      </c>
      <c r="B219" s="907" t="s">
        <v>2156</v>
      </c>
      <c r="C219" s="908" t="s">
        <v>2137</v>
      </c>
      <c r="D219" s="917">
        <v>2</v>
      </c>
      <c r="E219" s="917">
        <v>250000</v>
      </c>
      <c r="F219" s="913">
        <f t="shared" si="6"/>
        <v>500000</v>
      </c>
      <c r="G219" s="912"/>
      <c r="H219" s="912"/>
      <c r="I219" s="912"/>
    </row>
    <row r="220" spans="1:9" ht="223.5">
      <c r="A220" s="906">
        <v>23</v>
      </c>
      <c r="B220" s="907" t="s">
        <v>2157</v>
      </c>
      <c r="C220" s="918" t="s">
        <v>2158</v>
      </c>
      <c r="D220" s="917">
        <v>26</v>
      </c>
      <c r="E220" s="917">
        <v>11200</v>
      </c>
      <c r="F220" s="913">
        <f t="shared" si="6"/>
        <v>291200</v>
      </c>
      <c r="G220" s="912"/>
      <c r="H220" s="912"/>
      <c r="I220" s="912"/>
    </row>
    <row r="221" spans="1:9">
      <c r="A221" s="916">
        <v>24</v>
      </c>
      <c r="B221" s="907" t="s">
        <v>2159</v>
      </c>
      <c r="C221" s="913" t="s">
        <v>2137</v>
      </c>
      <c r="D221" s="917">
        <v>1</v>
      </c>
      <c r="E221" s="920">
        <v>300000</v>
      </c>
      <c r="F221" s="921">
        <f t="shared" si="6"/>
        <v>300000</v>
      </c>
      <c r="G221" s="912"/>
      <c r="H221" s="912"/>
      <c r="I221" s="912"/>
    </row>
    <row r="222" spans="1:9" ht="13.5" thickBot="1">
      <c r="A222" s="915"/>
      <c r="B222" s="1188" t="s">
        <v>2160</v>
      </c>
      <c r="C222" s="1189"/>
      <c r="D222" s="1189"/>
      <c r="E222" s="1190"/>
      <c r="F222" s="922">
        <f>SUM(F199:F221)</f>
        <v>16380100</v>
      </c>
      <c r="G222" s="912"/>
      <c r="H222" s="912"/>
      <c r="I222" s="912"/>
    </row>
    <row r="223" spans="1:9" ht="13.5" thickTop="1">
      <c r="A223" s="915"/>
      <c r="B223" s="915"/>
      <c r="C223" s="915"/>
      <c r="D223" s="915"/>
      <c r="E223" s="915"/>
      <c r="F223" s="923"/>
      <c r="G223" s="912"/>
      <c r="H223" s="912"/>
      <c r="I223" s="912"/>
    </row>
    <row r="224" spans="1:9">
      <c r="A224" s="912"/>
      <c r="B224" s="912"/>
      <c r="C224" s="912"/>
      <c r="D224" s="912"/>
      <c r="E224" s="912"/>
      <c r="F224" s="912"/>
      <c r="G224" s="912"/>
      <c r="H224" s="912"/>
      <c r="I224" s="912"/>
    </row>
    <row r="225" spans="1:9" ht="13.5" thickBot="1">
      <c r="A225" s="924"/>
      <c r="B225" s="1188" t="s">
        <v>2161</v>
      </c>
      <c r="C225" s="1189"/>
      <c r="D225" s="1189"/>
      <c r="E225" s="1190"/>
      <c r="F225" s="922">
        <f>F222</f>
        <v>16380100</v>
      </c>
      <c r="G225" s="912"/>
      <c r="H225" s="912"/>
      <c r="I225" s="912"/>
    </row>
    <row r="226" spans="1:9" ht="13.5" thickTop="1">
      <c r="A226" s="915"/>
      <c r="B226" s="915"/>
      <c r="C226" s="915"/>
      <c r="D226" s="915"/>
      <c r="E226" s="915"/>
      <c r="F226" s="923"/>
      <c r="G226" s="912"/>
      <c r="H226" s="912"/>
      <c r="I226" s="912"/>
    </row>
    <row r="227" spans="1:9">
      <c r="A227" s="915"/>
      <c r="B227" s="1188" t="s">
        <v>2162</v>
      </c>
      <c r="C227" s="1189"/>
      <c r="D227" s="1190"/>
      <c r="E227" s="915"/>
      <c r="F227" s="925">
        <v>393.3</v>
      </c>
      <c r="G227" s="912"/>
      <c r="H227" s="912"/>
      <c r="I227" s="912"/>
    </row>
    <row r="228" spans="1:9">
      <c r="A228" s="915"/>
      <c r="B228" s="1188" t="s">
        <v>2163</v>
      </c>
      <c r="C228" s="1189"/>
      <c r="D228" s="1190"/>
      <c r="E228" s="1192" t="s">
        <v>2164</v>
      </c>
      <c r="F228" s="1193"/>
      <c r="G228" s="912"/>
      <c r="H228" s="912"/>
      <c r="I228" s="912"/>
    </row>
    <row r="229" spans="1:9">
      <c r="A229" s="915"/>
      <c r="B229" s="1194" t="s">
        <v>2165</v>
      </c>
      <c r="C229" s="1195"/>
      <c r="D229" s="1196"/>
      <c r="E229" s="1197" t="s">
        <v>2166</v>
      </c>
      <c r="F229" s="1198"/>
      <c r="G229" s="912"/>
      <c r="H229" s="912"/>
      <c r="I229" s="912"/>
    </row>
    <row r="231" spans="1:9">
      <c r="B231" s="378" t="s">
        <v>2167</v>
      </c>
    </row>
    <row r="232" spans="1:9">
      <c r="A232" s="132">
        <v>2</v>
      </c>
      <c r="B232" s="132" t="s">
        <v>504</v>
      </c>
      <c r="C232" s="884"/>
      <c r="D232" s="884"/>
      <c r="E232" s="884"/>
      <c r="F232" s="884"/>
    </row>
    <row r="233" spans="1:9">
      <c r="A233" s="884">
        <v>1</v>
      </c>
      <c r="B233" s="183" t="s">
        <v>2168</v>
      </c>
      <c r="C233" s="884"/>
      <c r="D233" s="884"/>
      <c r="E233" s="884"/>
      <c r="F233" s="884">
        <f>21811821.89</f>
        <v>21811821.890000001</v>
      </c>
    </row>
    <row r="234" spans="1:9" ht="13.5" thickBot="1">
      <c r="A234" s="884"/>
      <c r="B234" s="884"/>
      <c r="C234" s="884"/>
      <c r="D234" s="884"/>
      <c r="E234" s="132" t="s">
        <v>87</v>
      </c>
      <c r="F234" s="783">
        <f>SUM(F233:F233)</f>
        <v>21811821.890000001</v>
      </c>
    </row>
    <row r="235" spans="1:9" ht="13.5" thickTop="1"/>
  </sheetData>
  <mergeCells count="26">
    <mergeCell ref="B39:F39"/>
    <mergeCell ref="B42:E42"/>
    <mergeCell ref="A1:E1"/>
    <mergeCell ref="A163:G163"/>
    <mergeCell ref="A44:I44"/>
    <mergeCell ref="B29:F29"/>
    <mergeCell ref="B37:E37"/>
    <mergeCell ref="B229:D229"/>
    <mergeCell ref="E229:F229"/>
    <mergeCell ref="B154:F154"/>
    <mergeCell ref="A155:F155"/>
    <mergeCell ref="A156:F156"/>
    <mergeCell ref="B160:E160"/>
    <mergeCell ref="A194:F194"/>
    <mergeCell ref="A195:F195"/>
    <mergeCell ref="A183:F183"/>
    <mergeCell ref="B186:F186"/>
    <mergeCell ref="A193:I193"/>
    <mergeCell ref="A181:I181"/>
    <mergeCell ref="A182:F182"/>
    <mergeCell ref="B225:E225"/>
    <mergeCell ref="B227:D227"/>
    <mergeCell ref="B198:F198"/>
    <mergeCell ref="B222:E222"/>
    <mergeCell ref="B228:D228"/>
    <mergeCell ref="E228:F228"/>
  </mergeCells>
  <hyperlinks>
    <hyperlink ref="F169" r:id="rId1" xr:uid="{7FE69E2C-4E33-44E3-B558-FC0D299D8452}"/>
    <hyperlink ref="F170" r:id="rId2" xr:uid="{60195FE4-A759-4171-859A-0A2212631A82}"/>
  </hyperlinks>
  <pageMargins left="0.7" right="0.7" top="0.75" bottom="0.75" header="0.3" footer="0.3"/>
  <pageSetup paperSize="9" scale="55" orientation="portrait" r:id="rId3"/>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Vikash jain</dc:creator>
  <cp:keywords/>
  <dc:description/>
  <cp:lastModifiedBy>X</cp:lastModifiedBy>
  <cp:revision/>
  <dcterms:created xsi:type="dcterms:W3CDTF">1996-10-14T23:33:28Z</dcterms:created>
  <dcterms:modified xsi:type="dcterms:W3CDTF">2026-08-14T10:01:40Z</dcterms:modified>
  <cp:category/>
  <cp:contentStatus/>
</cp:coreProperties>
</file>